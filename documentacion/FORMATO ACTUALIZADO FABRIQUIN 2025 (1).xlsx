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toNegro5\Desktop\movimientos caja 2026\"/>
    </mc:Choice>
  </mc:AlternateContent>
  <bookViews>
    <workbookView xWindow="-120" yWindow="-120" windowWidth="20730" windowHeight="11160"/>
  </bookViews>
  <sheets>
    <sheet name="recibos" sheetId="1" r:id="rId1"/>
    <sheet name="nombres" sheetId="2" r:id="rId2"/>
    <sheet name="ESTABILIZANTE " sheetId="3" r:id="rId3"/>
  </sheets>
  <definedNames>
    <definedName name="_xlnm._FilterDatabase" localSheetId="0" hidden="1">recibos!$J$1:$L$53</definedName>
    <definedName name="_xlnm.Print_Area" localSheetId="0">recibos!$A$1:$H$41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C41" i="1"/>
  <c r="C27" i="1" l="1"/>
  <c r="C28" i="1"/>
  <c r="C29" i="1"/>
  <c r="C30" i="1"/>
  <c r="D27" i="1"/>
  <c r="D28" i="1"/>
  <c r="J43" i="1" l="1"/>
  <c r="K43" i="1"/>
  <c r="L8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4" i="1"/>
  <c r="J45" i="1"/>
  <c r="J46" i="1"/>
  <c r="J47" i="1"/>
  <c r="J48" i="1"/>
  <c r="J49" i="1"/>
  <c r="J50" i="1"/>
  <c r="J51" i="1"/>
  <c r="J52" i="1"/>
  <c r="J53" i="1"/>
  <c r="C31" i="1"/>
  <c r="C32" i="1"/>
  <c r="C33" i="1"/>
  <c r="C34" i="1"/>
  <c r="C35" i="1"/>
  <c r="H4" i="3" l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D29" i="1" l="1"/>
  <c r="D30" i="1" l="1"/>
  <c r="D31" i="1"/>
  <c r="D32" i="1"/>
  <c r="D33" i="1"/>
  <c r="D34" i="1"/>
  <c r="D35" i="1"/>
  <c r="D36" i="1"/>
  <c r="D37" i="1"/>
  <c r="D38" i="1"/>
  <c r="D39" i="1"/>
  <c r="D40" i="1"/>
  <c r="D41" i="1"/>
  <c r="K47" i="1" l="1"/>
  <c r="K8" i="1" l="1"/>
  <c r="L3" i="1" l="1"/>
  <c r="L4" i="1"/>
  <c r="L5" i="1"/>
  <c r="L6" i="1"/>
  <c r="L7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K3" i="1"/>
  <c r="K4" i="1"/>
  <c r="K5" i="1"/>
  <c r="K6" i="1"/>
  <c r="K7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4" i="1"/>
  <c r="K45" i="1"/>
  <c r="K46" i="1"/>
  <c r="K48" i="1"/>
  <c r="K49" i="1"/>
  <c r="K50" i="1"/>
  <c r="K51" i="1"/>
  <c r="K52" i="1"/>
  <c r="K53" i="1"/>
  <c r="L2" i="1"/>
  <c r="K2" i="1"/>
  <c r="J2" i="1"/>
  <c r="B28" i="1" l="1"/>
  <c r="B29" i="1"/>
  <c r="B30" i="1"/>
  <c r="B27" i="1"/>
  <c r="H24" i="1" l="1"/>
  <c r="G3" i="1"/>
  <c r="G24" i="1" s="1"/>
  <c r="C3" i="1"/>
  <c r="C24" i="1" s="1"/>
  <c r="C4" i="3" l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23" i="1" l="1"/>
</calcChain>
</file>

<file path=xl/sharedStrings.xml><?xml version="1.0" encoding="utf-8"?>
<sst xmlns="http://schemas.openxmlformats.org/spreadsheetml/2006/main" count="279" uniqueCount="201">
  <si>
    <t xml:space="preserve">DESCRIPCION </t>
  </si>
  <si>
    <t>UNIDAD  MEDIDA</t>
  </si>
  <si>
    <t>SALDO  ANTERIOR</t>
  </si>
  <si>
    <t>CANTIDAD ENTREGADA</t>
  </si>
  <si>
    <t>CAPA</t>
  </si>
  <si>
    <t>KG</t>
  </si>
  <si>
    <t xml:space="preserve">CAPOTE </t>
  </si>
  <si>
    <t xml:space="preserve">PICADURA </t>
  </si>
  <si>
    <t>CESTAS</t>
  </si>
  <si>
    <t>SACAS</t>
  </si>
  <si>
    <t xml:space="preserve">GOMA </t>
  </si>
  <si>
    <t>PERIODICO</t>
  </si>
  <si>
    <t>TRAPOS</t>
  </si>
  <si>
    <t>RESORTES</t>
  </si>
  <si>
    <t xml:space="preserve">PACORAS </t>
  </si>
  <si>
    <t xml:space="preserve">CORTADORES </t>
  </si>
  <si>
    <t>CUCHILLAS</t>
  </si>
  <si>
    <t xml:space="preserve">PRESTAMOS </t>
  </si>
  <si>
    <t>REZAGOS</t>
  </si>
  <si>
    <t>ENTREGADO POR</t>
  </si>
  <si>
    <t>RECIBIDO  POR</t>
  </si>
  <si>
    <t>FECHA:</t>
  </si>
  <si>
    <t>NOMBRE FABRIQUIN:</t>
  </si>
  <si>
    <t>MAQ. ROLLERAS</t>
  </si>
  <si>
    <r>
      <rPr>
        <sz val="12"/>
        <color theme="1"/>
        <rFont val="Engravers MT"/>
        <family val="1"/>
      </rPr>
      <t>FABRICA DE TABACOS
GATO NEGRO
    “Gonzalo Jaimes Bastos”
RIF. V-06676738-4</t>
    </r>
    <r>
      <rPr>
        <sz val="12"/>
        <color theme="1"/>
        <rFont val="Baskerville Old Face"/>
        <family val="1"/>
      </rPr>
      <t xml:space="preserve">    
</t>
    </r>
  </si>
  <si>
    <t xml:space="preserve">RECIBIDA </t>
  </si>
  <si>
    <t xml:space="preserve">SALDO </t>
  </si>
  <si>
    <t>ELVIRA LOPEZ</t>
  </si>
  <si>
    <t>F01</t>
  </si>
  <si>
    <t xml:space="preserve">ALCIDES CORREA </t>
  </si>
  <si>
    <t xml:space="preserve">CC-88.193.514   </t>
  </si>
  <si>
    <t>F03</t>
  </si>
  <si>
    <t xml:space="preserve">BLANCA ALVARADO   </t>
  </si>
  <si>
    <t xml:space="preserve">CC-60.402.510  </t>
  </si>
  <si>
    <t>F06</t>
  </si>
  <si>
    <t>F07</t>
  </si>
  <si>
    <t xml:space="preserve">ERNESTO REYES  </t>
  </si>
  <si>
    <t>F08</t>
  </si>
  <si>
    <t>GUILLERMO ZAMBRANO</t>
  </si>
  <si>
    <t>F09</t>
  </si>
  <si>
    <t xml:space="preserve">HUGO ALMEIDA           </t>
  </si>
  <si>
    <t>F10</t>
  </si>
  <si>
    <t xml:space="preserve">ILDA SERRANO      </t>
  </si>
  <si>
    <t>F11</t>
  </si>
  <si>
    <t xml:space="preserve">JOSE EBLAN GIRON     </t>
  </si>
  <si>
    <t>F12</t>
  </si>
  <si>
    <t xml:space="preserve">JOSE JURADO   </t>
  </si>
  <si>
    <t>F13</t>
  </si>
  <si>
    <t xml:space="preserve">LUZ MERY ABAUNZA     </t>
  </si>
  <si>
    <t>F15</t>
  </si>
  <si>
    <t xml:space="preserve">LUIS ROJAS           </t>
  </si>
  <si>
    <t>F16</t>
  </si>
  <si>
    <t xml:space="preserve">LUIS VALDERRAMA    </t>
  </si>
  <si>
    <t>F17</t>
  </si>
  <si>
    <t xml:space="preserve">LILIANA VEGA    </t>
  </si>
  <si>
    <t>F22</t>
  </si>
  <si>
    <t xml:space="preserve">SULAY ALMEIDA               </t>
  </si>
  <si>
    <t>F23</t>
  </si>
  <si>
    <t xml:space="preserve">RUBIELA MARTINEZ    </t>
  </si>
  <si>
    <t>F24</t>
  </si>
  <si>
    <t xml:space="preserve">ROSMIRA DURAN  </t>
  </si>
  <si>
    <t>F25</t>
  </si>
  <si>
    <t xml:space="preserve">ROSMIRA REY       </t>
  </si>
  <si>
    <t>F26</t>
  </si>
  <si>
    <t>ROSALBA MATAGIRA</t>
  </si>
  <si>
    <t>F27</t>
  </si>
  <si>
    <t xml:space="preserve">ROSA CORREA    </t>
  </si>
  <si>
    <t>F28</t>
  </si>
  <si>
    <t xml:space="preserve">LUZ ESTELA REYES SILVA  </t>
  </si>
  <si>
    <t>F29</t>
  </si>
  <si>
    <t xml:space="preserve">TERESA REYES       </t>
  </si>
  <si>
    <t>F30</t>
  </si>
  <si>
    <t>F31</t>
  </si>
  <si>
    <t xml:space="preserve">YARIRE ROA                 </t>
  </si>
  <si>
    <t>F33</t>
  </si>
  <si>
    <t xml:space="preserve">YOLI BECERRA      </t>
  </si>
  <si>
    <t>V-11.017.442</t>
  </si>
  <si>
    <t>F34</t>
  </si>
  <si>
    <t xml:space="preserve">GLORIA RODRIGUEZ                  </t>
  </si>
  <si>
    <t>F35</t>
  </si>
  <si>
    <t xml:space="preserve">LUIS ERNESTO ALMEIDA MANTILLA     </t>
  </si>
  <si>
    <t>F36</t>
  </si>
  <si>
    <t xml:space="preserve">RENE HAMILTON GOMEZ ALMEIDA      </t>
  </si>
  <si>
    <t>F37</t>
  </si>
  <si>
    <t xml:space="preserve">MAYERLIN BOLIVAR CAMARGO   </t>
  </si>
  <si>
    <t>F40</t>
  </si>
  <si>
    <t xml:space="preserve">RAMON PARRA  </t>
  </si>
  <si>
    <t>F43</t>
  </si>
  <si>
    <t xml:space="preserve">ELIZABET REYES    </t>
  </si>
  <si>
    <t>F46</t>
  </si>
  <si>
    <t xml:space="preserve">KARINA RINCON SILVA     </t>
  </si>
  <si>
    <t>F47</t>
  </si>
  <si>
    <t xml:space="preserve">HUMBERTO LUNA            </t>
  </si>
  <si>
    <t>V-25.344.223</t>
  </si>
  <si>
    <t>F48</t>
  </si>
  <si>
    <t xml:space="preserve">MARIA MEDINA                                                                                                            </t>
  </si>
  <si>
    <t>F49</t>
  </si>
  <si>
    <t xml:space="preserve">PEDRO ALCIRA          </t>
  </si>
  <si>
    <t>F50</t>
  </si>
  <si>
    <t xml:space="preserve">ESPERANZA REY          </t>
  </si>
  <si>
    <t xml:space="preserve">MARIA ELENA CORREA   </t>
  </si>
  <si>
    <t>cedula</t>
  </si>
  <si>
    <t xml:space="preserve">FECHA </t>
  </si>
  <si>
    <t xml:space="preserve">NOMBRE FABRIQUIN </t>
  </si>
  <si>
    <t xml:space="preserve">NUMERO </t>
  </si>
  <si>
    <t xml:space="preserve">ESTABILIZANTE  63 PAQUETES </t>
  </si>
  <si>
    <t xml:space="preserve">LUIS ROJAS </t>
  </si>
  <si>
    <t>ALCIDES CORREA</t>
  </si>
  <si>
    <t xml:space="preserve"> </t>
  </si>
  <si>
    <t xml:space="preserve">MAYERLIN BOLIVAR </t>
  </si>
  <si>
    <t>SAMUEL BERMUDEZ</t>
  </si>
  <si>
    <t xml:space="preserve">JOSE JURADO </t>
  </si>
  <si>
    <t xml:space="preserve">LUIS ALMEIDA </t>
  </si>
  <si>
    <t xml:space="preserve">RENE ALMEIDA </t>
  </si>
  <si>
    <t xml:space="preserve">HUMBERTO LUNA </t>
  </si>
  <si>
    <t xml:space="preserve">LUIS ERNESTO ALMEIDA </t>
  </si>
  <si>
    <t xml:space="preserve">SULAY ALMEIDA </t>
  </si>
  <si>
    <t>ERNESTO REYES</t>
  </si>
  <si>
    <t xml:space="preserve">JOSE EBLAN </t>
  </si>
  <si>
    <t xml:space="preserve">JOSE ABLAN GIRON </t>
  </si>
  <si>
    <t xml:space="preserve">LEYDI SERRANO </t>
  </si>
  <si>
    <t>V-15.958.666</t>
  </si>
  <si>
    <t>V-8986394</t>
  </si>
  <si>
    <t>V-29.664.726</t>
  </si>
  <si>
    <t>CC-5.535.335</t>
  </si>
  <si>
    <t>V-29.515.312</t>
  </si>
  <si>
    <t>V-8.998.550</t>
  </si>
  <si>
    <t>CC-60.413.802</t>
  </si>
  <si>
    <t>V-9.130.173</t>
  </si>
  <si>
    <t>CC-60.407.054</t>
  </si>
  <si>
    <t>V-23.095.033</t>
  </si>
  <si>
    <t>CC-79.336.610</t>
  </si>
  <si>
    <t>V-11.021.605</t>
  </si>
  <si>
    <t>V-11.021.593</t>
  </si>
  <si>
    <t>V-60.412.324</t>
  </si>
  <si>
    <t>CC-37.543.611</t>
  </si>
  <si>
    <t>V-23.165.190</t>
  </si>
  <si>
    <t>CC-37.221.293</t>
  </si>
  <si>
    <t>V-15.856.304</t>
  </si>
  <si>
    <t>V-11.021.592</t>
  </si>
  <si>
    <t>V-27.893.136</t>
  </si>
  <si>
    <t>V-15.956.387</t>
  </si>
  <si>
    <t>V-17.465.799</t>
  </si>
  <si>
    <t>V-5.327.891</t>
  </si>
  <si>
    <t>V-13.365.579</t>
  </si>
  <si>
    <t>V-21.033.815</t>
  </si>
  <si>
    <t>V-15.774.803</t>
  </si>
  <si>
    <t>V-22.680.548</t>
  </si>
  <si>
    <t>V-25.955.714</t>
  </si>
  <si>
    <t>V-22.633.248</t>
  </si>
  <si>
    <t>CC-84.395.969</t>
  </si>
  <si>
    <t xml:space="preserve">RAUL REYES </t>
  </si>
  <si>
    <t>V-11.718.244</t>
  </si>
  <si>
    <t>PETTER BENAVIDES</t>
  </si>
  <si>
    <t>V-8.991.028</t>
  </si>
  <si>
    <t xml:space="preserve">F44 </t>
  </si>
  <si>
    <t>F51</t>
  </si>
  <si>
    <t>F52</t>
  </si>
  <si>
    <t>F53</t>
  </si>
  <si>
    <t>F54</t>
  </si>
  <si>
    <t xml:space="preserve">YENDER PADILLA </t>
  </si>
  <si>
    <t>CC-1.092.340.667</t>
  </si>
  <si>
    <t>GASTO FABRICA</t>
  </si>
  <si>
    <t>MARIA ELENA CORREA</t>
  </si>
  <si>
    <t xml:space="preserve">MARINA MEDINA </t>
  </si>
  <si>
    <t xml:space="preserve">ROSMIRA DURAN </t>
  </si>
  <si>
    <t xml:space="preserve">RAUL ALMEIDA </t>
  </si>
  <si>
    <t xml:space="preserve">PETTER BENAVIDES </t>
  </si>
  <si>
    <t xml:space="preserve">FABRICA </t>
  </si>
  <si>
    <t>LUIS ROJAS</t>
  </si>
  <si>
    <t>ALCIDES</t>
  </si>
  <si>
    <t>MAYERLIN  BOLIVAR</t>
  </si>
  <si>
    <t xml:space="preserve">ALBA SANABRIA </t>
  </si>
  <si>
    <t>V-20.427.079</t>
  </si>
  <si>
    <t>F57</t>
  </si>
  <si>
    <t>V-14.975.665</t>
  </si>
  <si>
    <t>F58</t>
  </si>
  <si>
    <t>SANDRA MILENA MORENO</t>
  </si>
  <si>
    <t>F59</t>
  </si>
  <si>
    <t>SANDRA MILENA ANTOLINES</t>
  </si>
  <si>
    <t>F60</t>
  </si>
  <si>
    <t xml:space="preserve">MARIELA MARTINEZ </t>
  </si>
  <si>
    <t xml:space="preserve">MANUEL CONTRARAS </t>
  </si>
  <si>
    <t>YEFERSON CONTRTERAS</t>
  </si>
  <si>
    <t>F61</t>
  </si>
  <si>
    <t>F62</t>
  </si>
  <si>
    <t xml:space="preserve">SAMUEL BERMUDEZ </t>
  </si>
  <si>
    <t>V-18.355.048</t>
  </si>
  <si>
    <t>V-5.642.663</t>
  </si>
  <si>
    <t>CC 1.102.348.573</t>
  </si>
  <si>
    <t>V</t>
  </si>
  <si>
    <t>E-84.563.031</t>
  </si>
  <si>
    <t>V-26.156.239</t>
  </si>
  <si>
    <t>V-27.920.999</t>
  </si>
  <si>
    <t>F63</t>
  </si>
  <si>
    <t>DAYNER STEVEN ROBLES ANTOLINEZ</t>
  </si>
  <si>
    <t>CC -1.102.349.158</t>
  </si>
  <si>
    <t>20 DE MARZO DEL 2026</t>
  </si>
  <si>
    <t xml:space="preserve">F64 </t>
  </si>
  <si>
    <t xml:space="preserve">JHONNY ALEXIS ALZATE NIÑO </t>
  </si>
  <si>
    <t>CC-1.149.459.338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</si>
</sst>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[$-200A]d&quot; de &quot;mmmm&quot; de &quot;yyyy;@"/>
    <numFmt numFmtId="165" formatCode="dd/mm/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askerville Old Face"/>
      <family val="1"/>
    </font>
    <font>
      <sz val="12"/>
      <color theme="1"/>
      <name val="Engravers MT"/>
      <family val="1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1"/>
      <color theme="1"/>
      <name val="Algerian"/>
      <family val="5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shrinkToFit="1"/>
    </xf>
    <xf numFmtId="0" fontId="0" fillId="0" borderId="3" xfId="0" applyBorder="1"/>
    <xf numFmtId="0" fontId="4" fillId="0" borderId="3" xfId="0" applyFont="1" applyFill="1" applyBorder="1" applyAlignment="1">
      <alignment horizontal="center" vertical="center"/>
    </xf>
    <xf numFmtId="0" fontId="7" fillId="2" borderId="3" xfId="0" applyFont="1" applyFill="1" applyBorder="1"/>
    <xf numFmtId="0" fontId="0" fillId="2" borderId="3" xfId="0" applyFill="1" applyBorder="1"/>
    <xf numFmtId="49" fontId="0" fillId="2" borderId="3" xfId="1" applyNumberFormat="1" applyFont="1" applyFill="1" applyBorder="1" applyAlignment="1">
      <alignment horizontal="center"/>
    </xf>
    <xf numFmtId="0" fontId="0" fillId="3" borderId="3" xfId="0" applyFill="1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3" fontId="0" fillId="0" borderId="3" xfId="0" applyNumberFormat="1" applyBorder="1"/>
    <xf numFmtId="0" fontId="10" fillId="0" borderId="0" xfId="0" applyFont="1" applyAlignment="1">
      <alignment shrinkToFit="1"/>
    </xf>
    <xf numFmtId="0" fontId="10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shrinkToFit="1"/>
    </xf>
    <xf numFmtId="0" fontId="5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3" xfId="0" applyFont="1" applyFill="1" applyBorder="1" applyAlignment="1">
      <alignment shrinkToFit="1"/>
    </xf>
    <xf numFmtId="0" fontId="5" fillId="0" borderId="3" xfId="0" applyFont="1" applyBorder="1"/>
    <xf numFmtId="0" fontId="10" fillId="0" borderId="3" xfId="0" applyFont="1" applyBorder="1"/>
    <xf numFmtId="43" fontId="10" fillId="0" borderId="3" xfId="1" applyFont="1" applyBorder="1"/>
    <xf numFmtId="0" fontId="5" fillId="0" borderId="0" xfId="0" applyFont="1" applyFill="1" applyBorder="1" applyAlignment="1">
      <alignment shrinkToFit="1"/>
    </xf>
    <xf numFmtId="0" fontId="5" fillId="0" borderId="0" xfId="0" applyFont="1" applyBorder="1"/>
    <xf numFmtId="0" fontId="5" fillId="0" borderId="7" xfId="0" applyFont="1" applyBorder="1"/>
    <xf numFmtId="0" fontId="10" fillId="0" borderId="3" xfId="0" applyFont="1" applyBorder="1" applyAlignment="1"/>
    <xf numFmtId="0" fontId="5" fillId="0" borderId="3" xfId="0" applyFont="1" applyFill="1" applyBorder="1" applyAlignment="1"/>
    <xf numFmtId="43" fontId="10" fillId="0" borderId="3" xfId="1" applyFont="1" applyBorder="1" applyAlignment="1"/>
    <xf numFmtId="0" fontId="5" fillId="0" borderId="3" xfId="0" applyFont="1" applyBorder="1" applyAlignment="1"/>
    <xf numFmtId="165" fontId="0" fillId="3" borderId="3" xfId="0" applyNumberFormat="1" applyFill="1" applyBorder="1" applyAlignment="1"/>
    <xf numFmtId="165" fontId="0" fillId="2" borderId="3" xfId="0" applyNumberFormat="1" applyFill="1" applyBorder="1" applyAlignment="1"/>
    <xf numFmtId="165" fontId="0" fillId="0" borderId="3" xfId="0" applyNumberFormat="1" applyBorder="1" applyAlignment="1"/>
    <xf numFmtId="0" fontId="0" fillId="0" borderId="3" xfId="0" applyFill="1" applyBorder="1"/>
    <xf numFmtId="43" fontId="5" fillId="0" borderId="3" xfId="1" applyFont="1" applyBorder="1" applyAlignment="1">
      <alignment horizontal="center"/>
    </xf>
    <xf numFmtId="165" fontId="0" fillId="0" borderId="3" xfId="0" applyNumberFormat="1" applyFill="1" applyBorder="1" applyAlignment="1"/>
    <xf numFmtId="0" fontId="0" fillId="0" borderId="8" xfId="0" applyFill="1" applyBorder="1"/>
    <xf numFmtId="0" fontId="2" fillId="0" borderId="7" xfId="0" applyFont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164" fontId="10" fillId="0" borderId="4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164" fontId="10" fillId="0" borderId="5" xfId="0" applyNumberFormat="1" applyFont="1" applyBorder="1" applyAlignment="1">
      <alignment horizontal="center"/>
    </xf>
    <xf numFmtId="0" fontId="6" fillId="0" borderId="3" xfId="0" applyFont="1" applyFill="1" applyBorder="1" applyAlignment="1">
      <alignment horizontal="left" vertical="center"/>
    </xf>
    <xf numFmtId="14" fontId="10" fillId="0" borderId="3" xfId="0" applyNumberFormat="1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375543</xdr:colOff>
      <xdr:row>0</xdr:row>
      <xdr:rowOff>68049</xdr:rowOff>
    </xdr:from>
    <xdr:to>
      <xdr:col>0</xdr:col>
      <xdr:colOff>1209893</xdr:colOff>
      <xdr:row>0</xdr:row>
      <xdr:rowOff>799231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543" y="68049"/>
          <a:ext cx="834350" cy="731182"/>
        </a:xfrm>
        <a:prstGeom prst="rect">
          <a:avLst/>
        </a:prstGeom>
      </xdr:spPr>
    </xdr:pic>
    <xdr:clientData/>
  </xdr:twoCellAnchor>
  <xdr:oneCellAnchor>
    <xdr:from>
      <xdr:col>0</xdr:col>
      <xdr:colOff>529566</xdr:colOff>
      <xdr:row>21</xdr:row>
      <xdr:rowOff>45529</xdr:rowOff>
    </xdr:from>
    <xdr:ext cx="834350" cy="731182"/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66" y="7908147"/>
          <a:ext cx="834350" cy="7311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4"/>
  <sheetViews>
    <sheetView tabSelected="1" view="pageBreakPreview" zoomScale="89" zoomScaleNormal="100" zoomScaleSheetLayoutView="89" workbookViewId="0">
      <selection sqref="A1:H41"/>
    </sheetView>
  </sheetViews>
  <sheetFormatPr baseColWidth="10" defaultRowHeight="15" x14ac:dyDescent="0.25"/>
  <cols>
    <col min="1" max="1" width="28.7109375" style="1" customWidth="1"/>
    <col min="2" max="2" width="11.85546875" customWidth="1"/>
    <col min="3" max="3" width="14.28515625" customWidth="1"/>
    <col min="4" max="4" width="16.5703125" customWidth="1"/>
    <col min="5" max="5" width="17" customWidth="1"/>
    <col min="6" max="6" width="15.42578125" customWidth="1"/>
    <col min="7" max="7" width="22.5703125" customWidth="1"/>
    <col min="8" max="8" width="29.28515625" customWidth="1"/>
    <col min="11" max="11" width="24.28515625" customWidth="1"/>
    <col min="12" max="12" width="19.28515625" customWidth="1"/>
  </cols>
  <sheetData>
    <row r="1" spans="1:12" ht="63.75" customHeight="1" x14ac:dyDescent="0.25">
      <c r="A1" s="11"/>
      <c r="B1" s="12" t="s">
        <v>108</v>
      </c>
      <c r="C1" s="36" t="s">
        <v>24</v>
      </c>
      <c r="D1" s="36"/>
      <c r="E1" s="36"/>
      <c r="F1" s="36"/>
      <c r="G1" s="36"/>
      <c r="H1" s="36"/>
    </row>
    <row r="2" spans="1:12" ht="24.95" customHeight="1" x14ac:dyDescent="0.25">
      <c r="A2" s="41" t="s">
        <v>21</v>
      </c>
      <c r="B2" s="42"/>
      <c r="C2" s="43" t="s">
        <v>197</v>
      </c>
      <c r="D2" s="44"/>
      <c r="E2" s="44"/>
      <c r="F2" s="44"/>
      <c r="G2" s="44"/>
      <c r="H2" s="45"/>
      <c r="J2" t="str">
        <f>+nombres!A1</f>
        <v>F01</v>
      </c>
      <c r="K2" t="str">
        <f>+nombres!B1</f>
        <v xml:space="preserve">ALCIDES CORREA </v>
      </c>
      <c r="L2" t="str">
        <f>+nombres!C1</f>
        <v xml:space="preserve">CC-88.193.514   </v>
      </c>
    </row>
    <row r="3" spans="1:12" ht="24.95" customHeight="1" x14ac:dyDescent="0.25">
      <c r="A3" s="41" t="s">
        <v>22</v>
      </c>
      <c r="B3" s="42"/>
      <c r="C3" s="46" t="str">
        <f>VLOOKUP(H3,nombres!A:C,2,0)</f>
        <v xml:space="preserve">JHONNY ALEXIS ALZATE NIÑO </v>
      </c>
      <c r="D3" s="46"/>
      <c r="E3" s="46"/>
      <c r="F3" s="3" t="s">
        <v>101</v>
      </c>
      <c r="G3" s="9" t="str">
        <f>VLOOKUP(H3,nombres!A:C,3,0)</f>
        <v>CC-1.149.459.338</v>
      </c>
      <c r="H3" s="8" t="s">
        <v>198</v>
      </c>
      <c r="J3" t="str">
        <f>+nombres!A2</f>
        <v>F03</v>
      </c>
      <c r="K3" t="str">
        <f>+nombres!B2</f>
        <v xml:space="preserve">BLANCA ALVARADO   </v>
      </c>
      <c r="L3" t="str">
        <f>+nombres!C2</f>
        <v xml:space="preserve">CC-60.402.510  </v>
      </c>
    </row>
    <row r="4" spans="1:12" ht="15" customHeight="1" x14ac:dyDescent="0.25">
      <c r="A4" s="37" t="s">
        <v>0</v>
      </c>
      <c r="B4" s="39" t="s">
        <v>1</v>
      </c>
      <c r="C4" s="39" t="s">
        <v>2</v>
      </c>
      <c r="D4" s="39" t="s">
        <v>3</v>
      </c>
      <c r="E4" s="13" t="s">
        <v>25</v>
      </c>
      <c r="F4" s="13" t="s">
        <v>26</v>
      </c>
      <c r="G4" s="39" t="s">
        <v>19</v>
      </c>
      <c r="H4" s="39" t="s">
        <v>20</v>
      </c>
      <c r="J4" t="str">
        <f>+nombres!A3</f>
        <v>F06</v>
      </c>
      <c r="K4" t="str">
        <f>+nombres!B3</f>
        <v>ELVIRA LOPEZ</v>
      </c>
      <c r="L4" t="str">
        <f>+nombres!C3</f>
        <v>V-29.664.726</v>
      </c>
    </row>
    <row r="5" spans="1:12" ht="15.75" x14ac:dyDescent="0.25">
      <c r="A5" s="38"/>
      <c r="B5" s="40"/>
      <c r="C5" s="40"/>
      <c r="D5" s="40"/>
      <c r="E5" s="14"/>
      <c r="F5" s="14"/>
      <c r="G5" s="40"/>
      <c r="H5" s="40"/>
      <c r="J5" t="str">
        <f>+nombres!A4</f>
        <v>F07</v>
      </c>
      <c r="K5" t="str">
        <f>+nombres!B4</f>
        <v xml:space="preserve">ERNESTO REYES  </v>
      </c>
      <c r="L5" t="str">
        <f>+nombres!C4</f>
        <v>CC-5.535.335</v>
      </c>
    </row>
    <row r="6" spans="1:12" ht="30" customHeight="1" x14ac:dyDescent="0.25">
      <c r="A6" s="15" t="s">
        <v>4</v>
      </c>
      <c r="B6" s="16" t="s">
        <v>5</v>
      </c>
      <c r="C6" s="16">
        <v>0</v>
      </c>
      <c r="D6" s="16">
        <v>5</v>
      </c>
      <c r="E6" s="17"/>
      <c r="F6" s="17"/>
      <c r="G6" s="47"/>
      <c r="H6" s="47"/>
      <c r="J6" t="str">
        <f>+nombres!A5</f>
        <v>F08</v>
      </c>
      <c r="K6" t="str">
        <f>+nombres!B5</f>
        <v>GUILLERMO ZAMBRANO</v>
      </c>
      <c r="L6" t="str">
        <f>+nombres!C5</f>
        <v>V-5.642.663</v>
      </c>
    </row>
    <row r="7" spans="1:12" ht="30" customHeight="1" x14ac:dyDescent="0.25">
      <c r="A7" s="18" t="s">
        <v>6</v>
      </c>
      <c r="B7" s="16" t="s">
        <v>5</v>
      </c>
      <c r="C7" s="16">
        <v>0</v>
      </c>
      <c r="D7" s="16">
        <v>9</v>
      </c>
      <c r="E7" s="17"/>
      <c r="F7" s="17"/>
      <c r="G7" s="47"/>
      <c r="H7" s="47"/>
      <c r="J7" t="str">
        <f>+nombres!A6</f>
        <v>F09</v>
      </c>
      <c r="K7" t="str">
        <f>+nombres!B6</f>
        <v xml:space="preserve">HUGO ALMEIDA           </v>
      </c>
      <c r="L7" t="str">
        <f>+nombres!C6</f>
        <v>V-8.998.550</v>
      </c>
    </row>
    <row r="8" spans="1:12" ht="30" customHeight="1" x14ac:dyDescent="0.25">
      <c r="A8" s="18" t="s">
        <v>7</v>
      </c>
      <c r="B8" s="16" t="s">
        <v>5</v>
      </c>
      <c r="C8" s="16">
        <v>0</v>
      </c>
      <c r="D8" s="16">
        <v>35</v>
      </c>
      <c r="E8" s="17"/>
      <c r="F8" s="17"/>
      <c r="G8" s="47"/>
      <c r="H8" s="47"/>
      <c r="J8" t="str">
        <f>+nombres!A7</f>
        <v>F10</v>
      </c>
      <c r="K8" t="str">
        <f>+nombres!B7</f>
        <v xml:space="preserve">ILDA SERRANO      </v>
      </c>
      <c r="L8" t="str">
        <f>+nombres!C7</f>
        <v>CC-60.413.802</v>
      </c>
    </row>
    <row r="9" spans="1:12" ht="30" customHeight="1" x14ac:dyDescent="0.25">
      <c r="A9" s="18" t="s">
        <v>8</v>
      </c>
      <c r="B9" s="17"/>
      <c r="C9" s="16">
        <v>0</v>
      </c>
      <c r="D9" s="16">
        <v>4</v>
      </c>
      <c r="E9" s="17"/>
      <c r="F9" s="17"/>
      <c r="G9" s="19"/>
      <c r="H9" s="19"/>
      <c r="J9" t="str">
        <f>+nombres!A8</f>
        <v>F11</v>
      </c>
      <c r="K9" t="str">
        <f>+nombres!B8</f>
        <v xml:space="preserve">JOSE EBLAN GIRON     </v>
      </c>
      <c r="L9" t="str">
        <f>+nombres!C8</f>
        <v>V-9.130.173</v>
      </c>
    </row>
    <row r="10" spans="1:12" ht="30" customHeight="1" x14ac:dyDescent="0.25">
      <c r="A10" s="18" t="s">
        <v>9</v>
      </c>
      <c r="B10" s="17"/>
      <c r="C10" s="16">
        <v>0</v>
      </c>
      <c r="D10" s="25"/>
      <c r="E10" s="17"/>
      <c r="F10" s="17"/>
      <c r="G10" s="19"/>
      <c r="H10" s="19"/>
      <c r="J10" t="str">
        <f>+nombres!A9</f>
        <v>F12</v>
      </c>
      <c r="K10" t="str">
        <f>+nombres!B9</f>
        <v xml:space="preserve">JOSE JURADO   </v>
      </c>
      <c r="L10" t="str">
        <f>+nombres!C9</f>
        <v>V-8986394</v>
      </c>
    </row>
    <row r="11" spans="1:12" ht="30" customHeight="1" x14ac:dyDescent="0.25">
      <c r="A11" s="18" t="s">
        <v>10</v>
      </c>
      <c r="B11" s="17"/>
      <c r="C11" s="16">
        <v>0</v>
      </c>
      <c r="D11" s="26"/>
      <c r="E11" s="20"/>
      <c r="F11" s="20"/>
      <c r="G11" s="19"/>
      <c r="H11" s="19"/>
      <c r="J11" t="str">
        <f>+nombres!A10</f>
        <v>F13</v>
      </c>
      <c r="K11" t="str">
        <f>+nombres!B10</f>
        <v xml:space="preserve">LUZ MERY ABAUNZA     </v>
      </c>
      <c r="L11" t="str">
        <f>+nombres!C10</f>
        <v>CC-60.407.054</v>
      </c>
    </row>
    <row r="12" spans="1:12" ht="30" customHeight="1" x14ac:dyDescent="0.25">
      <c r="A12" s="18" t="s">
        <v>11</v>
      </c>
      <c r="B12" s="16" t="s">
        <v>5</v>
      </c>
      <c r="C12" s="16">
        <v>0</v>
      </c>
      <c r="D12" s="33"/>
      <c r="E12" s="21"/>
      <c r="F12" s="21"/>
      <c r="G12" s="19"/>
      <c r="H12" s="19"/>
      <c r="J12" t="str">
        <f>+nombres!A11</f>
        <v>F15</v>
      </c>
      <c r="K12" t="str">
        <f>+nombres!B11</f>
        <v xml:space="preserve">LUIS ROJAS           </v>
      </c>
      <c r="L12" t="str">
        <f>+nombres!C11</f>
        <v>CC-79.336.610</v>
      </c>
    </row>
    <row r="13" spans="1:12" ht="30" customHeight="1" x14ac:dyDescent="0.25">
      <c r="A13" s="18" t="s">
        <v>12</v>
      </c>
      <c r="B13" s="20"/>
      <c r="C13" s="16">
        <v>0</v>
      </c>
      <c r="D13" s="27"/>
      <c r="E13" s="21"/>
      <c r="F13" s="21"/>
      <c r="G13" s="19"/>
      <c r="H13" s="19"/>
      <c r="J13" t="str">
        <f>+nombres!A12</f>
        <v>F16</v>
      </c>
      <c r="K13" t="str">
        <f>+nombres!B12</f>
        <v xml:space="preserve">LUIS VALDERRAMA    </v>
      </c>
      <c r="L13" t="str">
        <f>+nombres!C12</f>
        <v>V-23.095.033</v>
      </c>
    </row>
    <row r="14" spans="1:12" ht="30" customHeight="1" x14ac:dyDescent="0.25">
      <c r="A14" s="18" t="s">
        <v>13</v>
      </c>
      <c r="B14" s="20"/>
      <c r="C14" s="16">
        <v>0</v>
      </c>
      <c r="D14" s="28"/>
      <c r="E14" s="16"/>
      <c r="F14" s="16"/>
      <c r="G14" s="19"/>
      <c r="H14" s="19"/>
      <c r="J14" t="str">
        <f>+nombres!A13</f>
        <v>F17</v>
      </c>
      <c r="K14" t="str">
        <f>+nombres!B13</f>
        <v xml:space="preserve">LILIANA VEGA    </v>
      </c>
      <c r="L14" t="str">
        <f>+nombres!C13</f>
        <v>V-11.021.605</v>
      </c>
    </row>
    <row r="15" spans="1:12" ht="30" customHeight="1" x14ac:dyDescent="0.25">
      <c r="A15" s="18" t="s">
        <v>23</v>
      </c>
      <c r="B15" s="19"/>
      <c r="C15" s="16">
        <v>0</v>
      </c>
      <c r="D15" s="28"/>
      <c r="E15" s="16"/>
      <c r="F15" s="16"/>
      <c r="G15" s="19"/>
      <c r="H15" s="19"/>
      <c r="J15" t="str">
        <f>+nombres!A14</f>
        <v>F22</v>
      </c>
      <c r="K15" t="str">
        <f>+nombres!B14</f>
        <v xml:space="preserve">SULAY ALMEIDA               </v>
      </c>
      <c r="L15" t="str">
        <f>+nombres!C14</f>
        <v>V-11.021.593</v>
      </c>
    </row>
    <row r="16" spans="1:12" ht="30" customHeight="1" x14ac:dyDescent="0.25">
      <c r="A16" s="18" t="s">
        <v>14</v>
      </c>
      <c r="B16" s="19"/>
      <c r="C16" s="16">
        <v>0</v>
      </c>
      <c r="D16" s="28"/>
      <c r="E16" s="16"/>
      <c r="F16" s="16"/>
      <c r="G16" s="19"/>
      <c r="H16" s="19"/>
      <c r="J16" t="str">
        <f>+nombres!A15</f>
        <v>F23</v>
      </c>
      <c r="K16" t="str">
        <f>+nombres!B15</f>
        <v xml:space="preserve">RUBIELA MARTINEZ    </v>
      </c>
      <c r="L16" t="str">
        <f>+nombres!C15</f>
        <v>V-60.412.324</v>
      </c>
    </row>
    <row r="17" spans="1:12" ht="30" customHeight="1" x14ac:dyDescent="0.25">
      <c r="A17" s="18" t="s">
        <v>15</v>
      </c>
      <c r="B17" s="19"/>
      <c r="C17" s="16">
        <v>0</v>
      </c>
      <c r="D17" s="28"/>
      <c r="E17" s="16"/>
      <c r="F17" s="16"/>
      <c r="G17" s="19"/>
      <c r="H17" s="19"/>
      <c r="J17" t="str">
        <f>+nombres!A16</f>
        <v>F24</v>
      </c>
      <c r="K17" t="str">
        <f>+nombres!B16</f>
        <v xml:space="preserve">ROSMIRA DURAN  </v>
      </c>
      <c r="L17" t="str">
        <f>+nombres!C16</f>
        <v>CC-37.543.611</v>
      </c>
    </row>
    <row r="18" spans="1:12" ht="30" customHeight="1" x14ac:dyDescent="0.25">
      <c r="A18" s="18" t="s">
        <v>16</v>
      </c>
      <c r="B18" s="19"/>
      <c r="C18" s="16">
        <v>0</v>
      </c>
      <c r="D18" s="28"/>
      <c r="E18" s="16"/>
      <c r="F18" s="16"/>
      <c r="G18" s="19"/>
      <c r="H18" s="19"/>
      <c r="J18" t="str">
        <f>+nombres!A17</f>
        <v>F25</v>
      </c>
      <c r="K18" t="str">
        <f>+nombres!B17</f>
        <v xml:space="preserve">ROSMIRA REY       </v>
      </c>
      <c r="L18" t="str">
        <f>+nombres!C17</f>
        <v>V-23.165.190</v>
      </c>
    </row>
    <row r="19" spans="1:12" ht="30" customHeight="1" x14ac:dyDescent="0.25">
      <c r="A19" s="18" t="s">
        <v>17</v>
      </c>
      <c r="B19" s="19"/>
      <c r="C19" s="16">
        <v>0</v>
      </c>
      <c r="D19" s="28"/>
      <c r="E19" s="16"/>
      <c r="F19" s="16"/>
      <c r="G19" s="19"/>
      <c r="H19" s="19"/>
      <c r="J19" t="str">
        <f>+nombres!A18</f>
        <v>F26</v>
      </c>
      <c r="K19" t="str">
        <f>+nombres!B18</f>
        <v>ROSALBA MATAGIRA</v>
      </c>
      <c r="L19" t="str">
        <f>+nombres!C18</f>
        <v>CC-37.221.293</v>
      </c>
    </row>
    <row r="20" spans="1:12" ht="30" customHeight="1" x14ac:dyDescent="0.25">
      <c r="A20" s="18" t="s">
        <v>18</v>
      </c>
      <c r="B20" s="19"/>
      <c r="C20" s="16">
        <v>0</v>
      </c>
      <c r="D20" s="28"/>
      <c r="E20" s="19"/>
      <c r="F20" s="19"/>
      <c r="G20" s="19"/>
      <c r="H20" s="19"/>
      <c r="J20" t="str">
        <f>+nombres!A19</f>
        <v>F27</v>
      </c>
      <c r="K20" t="str">
        <f>+nombres!B19</f>
        <v xml:space="preserve">ROSA CORREA    </v>
      </c>
      <c r="L20" t="str">
        <f>+nombres!C19</f>
        <v>V-15.856.304</v>
      </c>
    </row>
    <row r="21" spans="1:12" ht="30" customHeight="1" x14ac:dyDescent="0.25">
      <c r="A21" s="22"/>
      <c r="B21" s="23"/>
      <c r="C21" s="24"/>
      <c r="D21" s="24"/>
      <c r="E21" s="24"/>
      <c r="F21" s="24"/>
      <c r="G21" s="24"/>
      <c r="H21" s="24"/>
      <c r="J21" t="str">
        <f>+nombres!A20</f>
        <v>F28</v>
      </c>
      <c r="K21" t="str">
        <f>+nombres!B20</f>
        <v xml:space="preserve">LUZ ESTELA REYES SILVA  </v>
      </c>
      <c r="L21" t="str">
        <f>+nombres!C20</f>
        <v>V-11.021.592</v>
      </c>
    </row>
    <row r="22" spans="1:12" ht="63.75" customHeight="1" x14ac:dyDescent="0.25">
      <c r="A22" s="11"/>
      <c r="B22" s="12"/>
      <c r="C22" s="36" t="s">
        <v>24</v>
      </c>
      <c r="D22" s="36"/>
      <c r="E22" s="36"/>
      <c r="F22" s="36"/>
      <c r="G22" s="36"/>
      <c r="H22" s="36"/>
      <c r="J22" t="str">
        <f>+nombres!A21</f>
        <v>F29</v>
      </c>
      <c r="K22" t="str">
        <f>+nombres!B21</f>
        <v xml:space="preserve">TERESA REYES       </v>
      </c>
      <c r="L22" t="str">
        <f>+nombres!C21</f>
        <v>V-27.893.136</v>
      </c>
    </row>
    <row r="23" spans="1:12" ht="24.95" customHeight="1" x14ac:dyDescent="0.25">
      <c r="A23" s="41" t="s">
        <v>21</v>
      </c>
      <c r="B23" s="42"/>
      <c r="C23" s="43" t="str">
        <f>C2</f>
        <v>20 DE MARZO DEL 2026</v>
      </c>
      <c r="D23" s="44"/>
      <c r="E23" s="44"/>
      <c r="F23" s="44"/>
      <c r="G23" s="44"/>
      <c r="H23" s="45"/>
      <c r="J23" t="str">
        <f>+nombres!A22</f>
        <v>F30</v>
      </c>
      <c r="K23" t="str">
        <f>+nombres!B22</f>
        <v xml:space="preserve">SAMUEL BERMUDEZ </v>
      </c>
      <c r="L23" t="str">
        <f>+nombres!C22</f>
        <v>V</v>
      </c>
    </row>
    <row r="24" spans="1:12" ht="24.95" customHeight="1" x14ac:dyDescent="0.25">
      <c r="A24" s="41" t="s">
        <v>22</v>
      </c>
      <c r="B24" s="42"/>
      <c r="C24" s="46" t="str">
        <f>C3</f>
        <v xml:space="preserve">JHONNY ALEXIS ALZATE NIÑO </v>
      </c>
      <c r="D24" s="46"/>
      <c r="E24" s="46"/>
      <c r="F24" s="3" t="s">
        <v>101</v>
      </c>
      <c r="G24" s="9" t="str">
        <f>G3</f>
        <v>CC-1.149.459.338</v>
      </c>
      <c r="H24" s="8" t="str">
        <f>H3</f>
        <v xml:space="preserve">F64 </v>
      </c>
      <c r="J24" t="str">
        <f>+nombres!A23</f>
        <v>F31</v>
      </c>
      <c r="K24" t="str">
        <f>+nombres!B23</f>
        <v xml:space="preserve">YARIRE ROA                 </v>
      </c>
      <c r="L24" t="str">
        <f>+nombres!C23</f>
        <v>V-14.975.665</v>
      </c>
    </row>
    <row r="25" spans="1:12" ht="15" customHeight="1" x14ac:dyDescent="0.25">
      <c r="A25" s="37" t="s">
        <v>0</v>
      </c>
      <c r="B25" s="39" t="s">
        <v>1</v>
      </c>
      <c r="C25" s="39" t="s">
        <v>2</v>
      </c>
      <c r="D25" s="39" t="s">
        <v>3</v>
      </c>
      <c r="E25" s="13" t="s">
        <v>25</v>
      </c>
      <c r="F25" s="13" t="s">
        <v>26</v>
      </c>
      <c r="G25" s="39" t="s">
        <v>19</v>
      </c>
      <c r="H25" s="39" t="s">
        <v>20</v>
      </c>
      <c r="J25" t="str">
        <f>+nombres!A24</f>
        <v>F33</v>
      </c>
      <c r="K25" t="str">
        <f>+nombres!B24</f>
        <v xml:space="preserve">YOLI BECERRA      </v>
      </c>
      <c r="L25" t="str">
        <f>+nombres!C24</f>
        <v>V-11.017.442</v>
      </c>
    </row>
    <row r="26" spans="1:12" ht="15.75" x14ac:dyDescent="0.25">
      <c r="A26" s="38"/>
      <c r="B26" s="40"/>
      <c r="C26" s="40"/>
      <c r="D26" s="40"/>
      <c r="E26" s="14"/>
      <c r="F26" s="14"/>
      <c r="G26" s="40"/>
      <c r="H26" s="40"/>
      <c r="J26" t="str">
        <f>+nombres!A25</f>
        <v>F34</v>
      </c>
      <c r="K26" t="str">
        <f>+nombres!B25</f>
        <v xml:space="preserve">GLORIA RODRIGUEZ                  </v>
      </c>
      <c r="L26" t="str">
        <f>+nombres!C25</f>
        <v>V-29.515.312</v>
      </c>
    </row>
    <row r="27" spans="1:12" ht="30" customHeight="1" x14ac:dyDescent="0.25">
      <c r="A27" s="15" t="s">
        <v>4</v>
      </c>
      <c r="B27" s="16" t="str">
        <f t="shared" ref="B27:D30" si="0">+B6</f>
        <v>KG</v>
      </c>
      <c r="C27" s="16">
        <f>+C6</f>
        <v>0</v>
      </c>
      <c r="D27" s="16">
        <f>+D6</f>
        <v>5</v>
      </c>
      <c r="E27" s="17"/>
      <c r="F27" s="17"/>
      <c r="G27" s="47"/>
      <c r="H27" s="47"/>
      <c r="J27" t="str">
        <f>+nombres!A26</f>
        <v>F35</v>
      </c>
      <c r="K27" t="str">
        <f>+nombres!B26</f>
        <v xml:space="preserve">LUIS ERNESTO ALMEIDA MANTILLA     </v>
      </c>
      <c r="L27" t="str">
        <f>+nombres!C26</f>
        <v>V-13.365.579</v>
      </c>
    </row>
    <row r="28" spans="1:12" ht="30" customHeight="1" x14ac:dyDescent="0.25">
      <c r="A28" s="18" t="s">
        <v>6</v>
      </c>
      <c r="B28" s="16" t="str">
        <f t="shared" si="0"/>
        <v>KG</v>
      </c>
      <c r="C28" s="16">
        <f t="shared" si="0"/>
        <v>0</v>
      </c>
      <c r="D28" s="16">
        <f t="shared" si="0"/>
        <v>9</v>
      </c>
      <c r="E28" s="17"/>
      <c r="F28" s="17"/>
      <c r="G28" s="47"/>
      <c r="H28" s="47"/>
      <c r="J28" t="str">
        <f>+nombres!A27</f>
        <v>F36</v>
      </c>
      <c r="K28" t="str">
        <f>+nombres!B27</f>
        <v xml:space="preserve">RENE HAMILTON GOMEZ ALMEIDA      </v>
      </c>
      <c r="L28" t="str">
        <f>+nombres!C27</f>
        <v>V-21.033.815</v>
      </c>
    </row>
    <row r="29" spans="1:12" ht="30" customHeight="1" x14ac:dyDescent="0.25">
      <c r="A29" s="18" t="s">
        <v>7</v>
      </c>
      <c r="B29" s="16" t="str">
        <f t="shared" si="0"/>
        <v>KG</v>
      </c>
      <c r="C29" s="16">
        <f t="shared" si="0"/>
        <v>0</v>
      </c>
      <c r="D29" s="16">
        <f t="shared" si="0"/>
        <v>35</v>
      </c>
      <c r="E29" s="17"/>
      <c r="F29" s="17"/>
      <c r="G29" s="47"/>
      <c r="H29" s="47"/>
      <c r="J29" t="str">
        <f>+nombres!A28</f>
        <v>F37</v>
      </c>
      <c r="K29" t="str">
        <f>+nombres!B28</f>
        <v xml:space="preserve">MAYERLIN BOLIVAR CAMARGO   </v>
      </c>
      <c r="L29" t="str">
        <f>+nombres!C28</f>
        <v>V-15.774.803</v>
      </c>
    </row>
    <row r="30" spans="1:12" ht="30" customHeight="1" x14ac:dyDescent="0.25">
      <c r="A30" s="18" t="s">
        <v>8</v>
      </c>
      <c r="B30" s="16">
        <f t="shared" si="0"/>
        <v>0</v>
      </c>
      <c r="C30" s="16">
        <f t="shared" si="0"/>
        <v>0</v>
      </c>
      <c r="D30" s="16">
        <f t="shared" si="0"/>
        <v>4</v>
      </c>
      <c r="E30" s="17"/>
      <c r="F30" s="17"/>
      <c r="G30" s="19"/>
      <c r="H30" s="19"/>
      <c r="J30" t="str">
        <f>+nombres!A29</f>
        <v>F40</v>
      </c>
      <c r="K30" t="str">
        <f>+nombres!B29</f>
        <v xml:space="preserve">RAMON PARRA  </v>
      </c>
      <c r="L30" t="str">
        <f>+nombres!C29</f>
        <v>V-5.327.891</v>
      </c>
    </row>
    <row r="31" spans="1:12" ht="30" customHeight="1" x14ac:dyDescent="0.25">
      <c r="A31" s="18" t="s">
        <v>9</v>
      </c>
      <c r="B31" s="17"/>
      <c r="C31" s="16">
        <f t="shared" ref="C31:C41" si="1">+C10</f>
        <v>0</v>
      </c>
      <c r="D31" s="16">
        <f t="shared" ref="D31:D32" si="2">+D10</f>
        <v>0</v>
      </c>
      <c r="E31" s="17"/>
      <c r="F31" s="17"/>
      <c r="G31" s="19"/>
      <c r="H31" s="19"/>
      <c r="J31" t="str">
        <f>+nombres!A30</f>
        <v>F43</v>
      </c>
      <c r="K31" t="str">
        <f>+nombres!B30</f>
        <v xml:space="preserve">ELIZABET REYES    </v>
      </c>
      <c r="L31" t="str">
        <f>+nombres!C30</f>
        <v>V-15.956.387</v>
      </c>
    </row>
    <row r="32" spans="1:12" ht="30" customHeight="1" x14ac:dyDescent="0.25">
      <c r="A32" s="18" t="s">
        <v>10</v>
      </c>
      <c r="B32" s="17"/>
      <c r="C32" s="16">
        <f t="shared" si="1"/>
        <v>0</v>
      </c>
      <c r="D32" s="16">
        <f t="shared" si="2"/>
        <v>0</v>
      </c>
      <c r="E32" s="20"/>
      <c r="F32" s="20"/>
      <c r="G32" s="19"/>
      <c r="H32" s="19"/>
      <c r="J32" t="str">
        <f>+nombres!A31</f>
        <v>F46</v>
      </c>
      <c r="K32" t="str">
        <f>+nombres!B31</f>
        <v xml:space="preserve">KARINA RINCON SILVA     </v>
      </c>
      <c r="L32" t="str">
        <f>+nombres!C31</f>
        <v>V-17.465.799</v>
      </c>
    </row>
    <row r="33" spans="1:12" ht="30" customHeight="1" x14ac:dyDescent="0.25">
      <c r="A33" s="18" t="s">
        <v>11</v>
      </c>
      <c r="B33" s="16" t="s">
        <v>5</v>
      </c>
      <c r="C33" s="16">
        <f t="shared" si="1"/>
        <v>0</v>
      </c>
      <c r="D33" s="16">
        <f t="shared" ref="D33" si="3">+D12</f>
        <v>0</v>
      </c>
      <c r="E33" s="21"/>
      <c r="F33" s="21"/>
      <c r="G33" s="19"/>
      <c r="H33" s="19"/>
      <c r="J33" t="str">
        <f>+nombres!A32</f>
        <v>F47</v>
      </c>
      <c r="K33" t="str">
        <f>+nombres!B32</f>
        <v xml:space="preserve">HUMBERTO LUNA            </v>
      </c>
      <c r="L33" t="str">
        <f>+nombres!C32</f>
        <v>V-25.344.223</v>
      </c>
    </row>
    <row r="34" spans="1:12" ht="30" customHeight="1" x14ac:dyDescent="0.25">
      <c r="A34" s="18" t="s">
        <v>12</v>
      </c>
      <c r="B34" s="20"/>
      <c r="C34" s="16">
        <f t="shared" si="1"/>
        <v>0</v>
      </c>
      <c r="D34" s="16">
        <f t="shared" ref="D34" si="4">+D13</f>
        <v>0</v>
      </c>
      <c r="E34" s="21"/>
      <c r="F34" s="21"/>
      <c r="G34" s="19"/>
      <c r="H34" s="19"/>
      <c r="J34" t="str">
        <f>+nombres!A33</f>
        <v>F48</v>
      </c>
      <c r="K34" t="str">
        <f>+nombres!B33</f>
        <v xml:space="preserve">MARIA MEDINA                                                                                                            </v>
      </c>
      <c r="L34" t="str">
        <f>+nombres!C33</f>
        <v>V-22.680.548</v>
      </c>
    </row>
    <row r="35" spans="1:12" ht="30" customHeight="1" x14ac:dyDescent="0.25">
      <c r="A35" s="18" t="s">
        <v>13</v>
      </c>
      <c r="B35" s="20"/>
      <c r="C35" s="16">
        <f t="shared" si="1"/>
        <v>0</v>
      </c>
      <c r="D35" s="16">
        <f t="shared" ref="D35" si="5">+D14</f>
        <v>0</v>
      </c>
      <c r="E35" s="16"/>
      <c r="F35" s="16"/>
      <c r="G35" s="19"/>
      <c r="H35" s="19"/>
      <c r="J35" t="str">
        <f>+nombres!A34</f>
        <v>F49</v>
      </c>
      <c r="K35" t="str">
        <f>+nombres!B34</f>
        <v xml:space="preserve">PEDRO ALCIRA          </v>
      </c>
      <c r="L35" t="str">
        <f>+nombres!C34</f>
        <v>V-25.955.714</v>
      </c>
    </row>
    <row r="36" spans="1:12" ht="30" customHeight="1" x14ac:dyDescent="0.25">
      <c r="A36" s="18" t="s">
        <v>23</v>
      </c>
      <c r="B36" s="19"/>
      <c r="C36" s="16">
        <f t="shared" si="1"/>
        <v>0</v>
      </c>
      <c r="D36" s="16">
        <f t="shared" ref="D36" si="6">+D15</f>
        <v>0</v>
      </c>
      <c r="E36" s="16"/>
      <c r="F36" s="16"/>
      <c r="G36" s="19"/>
      <c r="H36" s="19"/>
      <c r="J36" t="str">
        <f>+nombres!A35</f>
        <v>F50</v>
      </c>
      <c r="K36" t="str">
        <f>+nombres!B35</f>
        <v xml:space="preserve">ESPERANZA REY          </v>
      </c>
      <c r="L36" t="str">
        <f>+nombres!C35</f>
        <v>V-22.633.248</v>
      </c>
    </row>
    <row r="37" spans="1:12" ht="30" customHeight="1" x14ac:dyDescent="0.25">
      <c r="A37" s="18" t="s">
        <v>14</v>
      </c>
      <c r="B37" s="19"/>
      <c r="C37" s="16">
        <f t="shared" si="1"/>
        <v>0</v>
      </c>
      <c r="D37" s="16">
        <f t="shared" ref="D37" si="7">+D16</f>
        <v>0</v>
      </c>
      <c r="E37" s="16"/>
      <c r="F37" s="16"/>
      <c r="G37" s="19"/>
      <c r="H37" s="19"/>
      <c r="J37" t="str">
        <f>+nombres!A36</f>
        <v xml:space="preserve">F44 </v>
      </c>
      <c r="K37" t="str">
        <f>+nombres!B36</f>
        <v xml:space="preserve">MARIA ELENA CORREA   </v>
      </c>
      <c r="L37" t="str">
        <f>+nombres!C36</f>
        <v>CC-84.395.969</v>
      </c>
    </row>
    <row r="38" spans="1:12" ht="30" customHeight="1" x14ac:dyDescent="0.25">
      <c r="A38" s="18" t="s">
        <v>15</v>
      </c>
      <c r="B38" s="19"/>
      <c r="C38" s="16">
        <f t="shared" si="1"/>
        <v>0</v>
      </c>
      <c r="D38" s="16">
        <f t="shared" ref="D38" si="8">+D17</f>
        <v>0</v>
      </c>
      <c r="E38" s="16"/>
      <c r="F38" s="16"/>
      <c r="G38" s="19"/>
      <c r="H38" s="19"/>
      <c r="J38" t="str">
        <f>+nombres!A37</f>
        <v>F51</v>
      </c>
      <c r="K38" t="str">
        <f>+nombres!B37</f>
        <v xml:space="preserve">RAUL REYES </v>
      </c>
      <c r="L38" t="str">
        <f>+nombres!C37</f>
        <v>V-11.718.244</v>
      </c>
    </row>
    <row r="39" spans="1:12" ht="30" customHeight="1" x14ac:dyDescent="0.25">
      <c r="A39" s="18" t="s">
        <v>16</v>
      </c>
      <c r="B39" s="19"/>
      <c r="C39" s="16">
        <f t="shared" si="1"/>
        <v>0</v>
      </c>
      <c r="D39" s="16">
        <f t="shared" ref="D39" si="9">+D18</f>
        <v>0</v>
      </c>
      <c r="E39" s="16"/>
      <c r="F39" s="16"/>
      <c r="G39" s="19"/>
      <c r="H39" s="19"/>
      <c r="J39" t="str">
        <f>+nombres!A38</f>
        <v>F52</v>
      </c>
      <c r="K39" t="str">
        <f>+nombres!B38</f>
        <v xml:space="preserve">LEYDI SERRANO </v>
      </c>
      <c r="L39" t="str">
        <f>+nombres!C38</f>
        <v>V-15.958.666</v>
      </c>
    </row>
    <row r="40" spans="1:12" ht="30" customHeight="1" x14ac:dyDescent="0.25">
      <c r="A40" s="18" t="s">
        <v>17</v>
      </c>
      <c r="B40" s="19"/>
      <c r="C40" s="16">
        <f t="shared" si="1"/>
        <v>0</v>
      </c>
      <c r="D40" s="16">
        <f t="shared" ref="D40" si="10">+D19</f>
        <v>0</v>
      </c>
      <c r="E40" s="16"/>
      <c r="F40" s="16"/>
      <c r="G40" s="19"/>
      <c r="H40" s="19"/>
      <c r="J40" t="str">
        <f>+nombres!A39</f>
        <v>F53</v>
      </c>
      <c r="K40" t="str">
        <f>+nombres!B39</f>
        <v>PETTER BENAVIDES</v>
      </c>
      <c r="L40" t="str">
        <f>+nombres!C39</f>
        <v>V-8.991.028</v>
      </c>
    </row>
    <row r="41" spans="1:12" ht="30" customHeight="1" x14ac:dyDescent="0.25">
      <c r="A41" s="18" t="s">
        <v>18</v>
      </c>
      <c r="B41" s="19"/>
      <c r="C41" s="16">
        <f t="shared" si="1"/>
        <v>0</v>
      </c>
      <c r="D41" s="16">
        <f t="shared" ref="D41" si="11">+D20</f>
        <v>0</v>
      </c>
      <c r="E41" s="19"/>
      <c r="F41" s="19"/>
      <c r="G41" s="19"/>
      <c r="H41" s="19"/>
      <c r="J41" t="str">
        <f>+nombres!A40</f>
        <v>F54</v>
      </c>
      <c r="K41" t="str">
        <f>+nombres!B40</f>
        <v xml:space="preserve">YENDER PADILLA </v>
      </c>
      <c r="L41" t="str">
        <f>+nombres!C40</f>
        <v>CC-1.092.340.667</v>
      </c>
    </row>
    <row r="42" spans="1:12" x14ac:dyDescent="0.25">
      <c r="J42" t="str">
        <f>+nombres!A41</f>
        <v>F57</v>
      </c>
      <c r="K42" t="str">
        <f>+nombres!B41</f>
        <v xml:space="preserve">ALBA SANABRIA </v>
      </c>
      <c r="L42" t="str">
        <f>+nombres!C41</f>
        <v>V-20.427.079</v>
      </c>
    </row>
    <row r="43" spans="1:12" x14ac:dyDescent="0.25">
      <c r="J43" t="str">
        <f>+nombres!A42</f>
        <v>F58</v>
      </c>
      <c r="K43" t="str">
        <f>+nombres!B42</f>
        <v>SANDRA MILENA MORENO</v>
      </c>
      <c r="L43" t="str">
        <f>+nombres!C42</f>
        <v>V-18.355.048</v>
      </c>
    </row>
    <row r="44" spans="1:12" x14ac:dyDescent="0.25">
      <c r="J44" t="str">
        <f>+nombres!A43</f>
        <v>F59</v>
      </c>
      <c r="K44" t="str">
        <f>+nombres!B43</f>
        <v>SANDRA MILENA ANTOLINES</v>
      </c>
      <c r="L44" t="str">
        <f>+nombres!C43</f>
        <v>CC 1.102.348.573</v>
      </c>
    </row>
    <row r="45" spans="1:12" x14ac:dyDescent="0.25">
      <c r="J45" t="str">
        <f>+nombres!A44</f>
        <v>F60</v>
      </c>
      <c r="K45" t="str">
        <f>+nombres!B44</f>
        <v xml:space="preserve">MARIELA MARTINEZ </v>
      </c>
      <c r="L45" t="str">
        <f>+nombres!C44</f>
        <v>E-84.563.031</v>
      </c>
    </row>
    <row r="46" spans="1:12" x14ac:dyDescent="0.25">
      <c r="J46" t="str">
        <f>+nombres!A45</f>
        <v>F61</v>
      </c>
      <c r="K46" t="str">
        <f>+nombres!B45</f>
        <v xml:space="preserve">MANUEL CONTRARAS </v>
      </c>
      <c r="L46" t="str">
        <f>+nombres!C45</f>
        <v>V-26.156.239</v>
      </c>
    </row>
    <row r="47" spans="1:12" x14ac:dyDescent="0.25">
      <c r="J47" t="str">
        <f>+nombres!A46</f>
        <v>F62</v>
      </c>
      <c r="K47" t="str">
        <f>+nombres!B46</f>
        <v>YEFERSON CONTRTERAS</v>
      </c>
      <c r="L47" t="str">
        <f>+nombres!C46</f>
        <v>V-27.920.999</v>
      </c>
    </row>
    <row r="48" spans="1:12" x14ac:dyDescent="0.25">
      <c r="J48" t="str">
        <f>+nombres!A47</f>
        <v>F63</v>
      </c>
      <c r="K48" t="str">
        <f>+nombres!B47</f>
        <v>DAYNER STEVEN ROBLES ANTOLINEZ</v>
      </c>
      <c r="L48" t="str">
        <f>+nombres!C47</f>
        <v>CC -1.102.349.158</v>
      </c>
    </row>
    <row r="49" spans="10:12" x14ac:dyDescent="0.25">
      <c r="J49" t="str">
        <f>+nombres!A48</f>
        <v xml:space="preserve">F64 </v>
      </c>
      <c r="K49" t="str">
        <f>+nombres!B48</f>
        <v xml:space="preserve">JHONNY ALEXIS ALZATE NIÑO </v>
      </c>
      <c r="L49" t="str">
        <f>+nombres!C48</f>
        <v>CC-1.149.459.338</v>
      </c>
    </row>
    <row r="50" spans="10:12" x14ac:dyDescent="0.25">
      <c r="J50">
        <f>+nombres!A49</f>
        <v>0</v>
      </c>
      <c r="K50">
        <f>+nombres!B49</f>
        <v>0</v>
      </c>
      <c r="L50">
        <f>+nombres!C49</f>
        <v>0</v>
      </c>
    </row>
    <row r="51" spans="10:12" x14ac:dyDescent="0.25">
      <c r="J51">
        <f>+nombres!A50</f>
        <v>0</v>
      </c>
      <c r="K51">
        <f>+nombres!B50</f>
        <v>0</v>
      </c>
      <c r="L51">
        <f>+nombres!C50</f>
        <v>0</v>
      </c>
    </row>
    <row r="52" spans="10:12" x14ac:dyDescent="0.25">
      <c r="J52">
        <f>+nombres!A51</f>
        <v>0</v>
      </c>
      <c r="K52">
        <f>+nombres!B51</f>
        <v>0</v>
      </c>
      <c r="L52">
        <f>+nombres!C51</f>
        <v>0</v>
      </c>
    </row>
    <row r="53" spans="10:12" x14ac:dyDescent="0.25">
      <c r="J53">
        <f>+nombres!A52</f>
        <v>0</v>
      </c>
      <c r="K53">
        <f>+nombres!B52</f>
        <v>0</v>
      </c>
      <c r="L53">
        <f>+nombres!C52</f>
        <v>0</v>
      </c>
    </row>
    <row r="54" spans="10:12" x14ac:dyDescent="0.25">
      <c r="L54">
        <f>+nombres!C53</f>
        <v>0</v>
      </c>
    </row>
  </sheetData>
  <autoFilter ref="J1:L53">
    <sortState ref="J2:L53">
      <sortCondition ref="K1:K53"/>
    </sortState>
  </autoFilter>
  <mergeCells count="26">
    <mergeCell ref="H6:H8"/>
    <mergeCell ref="G27:G29"/>
    <mergeCell ref="H27:H29"/>
    <mergeCell ref="C22:H22"/>
    <mergeCell ref="A23:B23"/>
    <mergeCell ref="A24:B24"/>
    <mergeCell ref="C24:E24"/>
    <mergeCell ref="C23:H23"/>
    <mergeCell ref="G6:G8"/>
    <mergeCell ref="A25:A26"/>
    <mergeCell ref="H25:H26"/>
    <mergeCell ref="G25:G26"/>
    <mergeCell ref="D25:D26"/>
    <mergeCell ref="C25:C26"/>
    <mergeCell ref="B25:B26"/>
    <mergeCell ref="C1:H1"/>
    <mergeCell ref="A4:A5"/>
    <mergeCell ref="B4:B5"/>
    <mergeCell ref="C4:C5"/>
    <mergeCell ref="D4:D5"/>
    <mergeCell ref="A3:B3"/>
    <mergeCell ref="A2:B2"/>
    <mergeCell ref="G4:G5"/>
    <mergeCell ref="H4:H5"/>
    <mergeCell ref="C2:H2"/>
    <mergeCell ref="C3:E3"/>
  </mergeCells>
  <pageMargins left="0.23622047244094491" right="0.23622047244094491" top="0.19685039370078741" bottom="0.19685039370078741" header="0.31496062992125984" footer="0.31496062992125984"/>
  <pageSetup scale="65" orientation="portrait" horizontalDpi="300" verticalDpi="300" r:id="rId1"/>
  <rowBreaks count="1" manualBreakCount="1">
    <brk id="21" max="7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nombres!$A$1:$A$50</xm:f>
          </x14:formula1>
          <xm:sqref>H3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32" workbookViewId="0">
      <selection activeCell="C49" sqref="C49"/>
    </sheetView>
  </sheetViews>
  <sheetFormatPr baseColWidth="10" defaultRowHeight="15" x14ac:dyDescent="0.25"/>
  <cols>
    <col min="2" max="2" width="38.28515625" customWidth="1"/>
    <col min="3" max="3" width="18.42578125" customWidth="1"/>
  </cols>
  <sheetData>
    <row r="1" spans="1:3" x14ac:dyDescent="0.25">
      <c r="A1" s="2" t="s">
        <v>28</v>
      </c>
      <c r="B1" s="2" t="s">
        <v>29</v>
      </c>
      <c r="C1" s="2" t="s">
        <v>30</v>
      </c>
    </row>
    <row r="2" spans="1:3" x14ac:dyDescent="0.25">
      <c r="A2" s="2" t="s">
        <v>31</v>
      </c>
      <c r="B2" s="2" t="s">
        <v>32</v>
      </c>
      <c r="C2" s="2" t="s">
        <v>33</v>
      </c>
    </row>
    <row r="3" spans="1:3" x14ac:dyDescent="0.25">
      <c r="A3" s="2" t="s">
        <v>34</v>
      </c>
      <c r="B3" s="2" t="s">
        <v>27</v>
      </c>
      <c r="C3" s="2" t="s">
        <v>123</v>
      </c>
    </row>
    <row r="4" spans="1:3" x14ac:dyDescent="0.25">
      <c r="A4" s="2" t="s">
        <v>35</v>
      </c>
      <c r="B4" s="2" t="s">
        <v>36</v>
      </c>
      <c r="C4" s="2" t="s">
        <v>124</v>
      </c>
    </row>
    <row r="5" spans="1:3" x14ac:dyDescent="0.25">
      <c r="A5" s="2" t="s">
        <v>37</v>
      </c>
      <c r="B5" s="2" t="s">
        <v>38</v>
      </c>
      <c r="C5" s="2" t="s">
        <v>188</v>
      </c>
    </row>
    <row r="6" spans="1:3" x14ac:dyDescent="0.25">
      <c r="A6" s="2" t="s">
        <v>39</v>
      </c>
      <c r="B6" s="2" t="s">
        <v>40</v>
      </c>
      <c r="C6" s="2" t="s">
        <v>126</v>
      </c>
    </row>
    <row r="7" spans="1:3" x14ac:dyDescent="0.25">
      <c r="A7" s="2" t="s">
        <v>41</v>
      </c>
      <c r="B7" s="2" t="s">
        <v>42</v>
      </c>
      <c r="C7" s="2" t="s">
        <v>127</v>
      </c>
    </row>
    <row r="8" spans="1:3" x14ac:dyDescent="0.25">
      <c r="A8" s="2" t="s">
        <v>43</v>
      </c>
      <c r="B8" s="2" t="s">
        <v>44</v>
      </c>
      <c r="C8" s="2" t="s">
        <v>128</v>
      </c>
    </row>
    <row r="9" spans="1:3" x14ac:dyDescent="0.25">
      <c r="A9" s="2" t="s">
        <v>45</v>
      </c>
      <c r="B9" s="2" t="s">
        <v>46</v>
      </c>
      <c r="C9" s="10" t="s">
        <v>122</v>
      </c>
    </row>
    <row r="10" spans="1:3" x14ac:dyDescent="0.25">
      <c r="A10" s="2" t="s">
        <v>47</v>
      </c>
      <c r="B10" s="2" t="s">
        <v>48</v>
      </c>
      <c r="C10" s="2" t="s">
        <v>129</v>
      </c>
    </row>
    <row r="11" spans="1:3" x14ac:dyDescent="0.25">
      <c r="A11" s="2" t="s">
        <v>49</v>
      </c>
      <c r="B11" s="2" t="s">
        <v>50</v>
      </c>
      <c r="C11" s="2" t="s">
        <v>131</v>
      </c>
    </row>
    <row r="12" spans="1:3" x14ac:dyDescent="0.25">
      <c r="A12" s="2" t="s">
        <v>51</v>
      </c>
      <c r="B12" s="2" t="s">
        <v>52</v>
      </c>
      <c r="C12" s="2" t="s">
        <v>130</v>
      </c>
    </row>
    <row r="13" spans="1:3" x14ac:dyDescent="0.25">
      <c r="A13" s="2" t="s">
        <v>53</v>
      </c>
      <c r="B13" s="2" t="s">
        <v>54</v>
      </c>
      <c r="C13" s="2" t="s">
        <v>132</v>
      </c>
    </row>
    <row r="14" spans="1:3" x14ac:dyDescent="0.25">
      <c r="A14" s="2" t="s">
        <v>55</v>
      </c>
      <c r="B14" s="2" t="s">
        <v>56</v>
      </c>
      <c r="C14" s="2" t="s">
        <v>133</v>
      </c>
    </row>
    <row r="15" spans="1:3" x14ac:dyDescent="0.25">
      <c r="A15" s="2" t="s">
        <v>57</v>
      </c>
      <c r="B15" s="2" t="s">
        <v>58</v>
      </c>
      <c r="C15" s="2" t="s">
        <v>134</v>
      </c>
    </row>
    <row r="16" spans="1:3" x14ac:dyDescent="0.25">
      <c r="A16" s="2" t="s">
        <v>59</v>
      </c>
      <c r="B16" s="2" t="s">
        <v>60</v>
      </c>
      <c r="C16" s="2" t="s">
        <v>135</v>
      </c>
    </row>
    <row r="17" spans="1:3" x14ac:dyDescent="0.25">
      <c r="A17" s="2" t="s">
        <v>61</v>
      </c>
      <c r="B17" s="2" t="s">
        <v>62</v>
      </c>
      <c r="C17" s="2" t="s">
        <v>136</v>
      </c>
    </row>
    <row r="18" spans="1:3" x14ac:dyDescent="0.25">
      <c r="A18" s="2" t="s">
        <v>63</v>
      </c>
      <c r="B18" s="2" t="s">
        <v>64</v>
      </c>
      <c r="C18" s="2" t="s">
        <v>137</v>
      </c>
    </row>
    <row r="19" spans="1:3" x14ac:dyDescent="0.25">
      <c r="A19" s="2" t="s">
        <v>65</v>
      </c>
      <c r="B19" s="2" t="s">
        <v>66</v>
      </c>
      <c r="C19" s="2" t="s">
        <v>138</v>
      </c>
    </row>
    <row r="20" spans="1:3" x14ac:dyDescent="0.25">
      <c r="A20" s="2" t="s">
        <v>67</v>
      </c>
      <c r="B20" s="2" t="s">
        <v>68</v>
      </c>
      <c r="C20" s="2" t="s">
        <v>139</v>
      </c>
    </row>
    <row r="21" spans="1:3" x14ac:dyDescent="0.25">
      <c r="A21" s="2" t="s">
        <v>69</v>
      </c>
      <c r="B21" s="2" t="s">
        <v>70</v>
      </c>
      <c r="C21" s="2" t="s">
        <v>140</v>
      </c>
    </row>
    <row r="22" spans="1:3" x14ac:dyDescent="0.25">
      <c r="A22" s="2" t="s">
        <v>71</v>
      </c>
      <c r="B22" s="2" t="s">
        <v>186</v>
      </c>
      <c r="C22" s="10" t="s">
        <v>190</v>
      </c>
    </row>
    <row r="23" spans="1:3" x14ac:dyDescent="0.25">
      <c r="A23" s="2" t="s">
        <v>72</v>
      </c>
      <c r="B23" s="2" t="s">
        <v>73</v>
      </c>
      <c r="C23" s="2" t="s">
        <v>175</v>
      </c>
    </row>
    <row r="24" spans="1:3" x14ac:dyDescent="0.25">
      <c r="A24" s="2" t="s">
        <v>74</v>
      </c>
      <c r="B24" s="2" t="s">
        <v>75</v>
      </c>
      <c r="C24" s="2" t="s">
        <v>76</v>
      </c>
    </row>
    <row r="25" spans="1:3" x14ac:dyDescent="0.25">
      <c r="A25" s="2" t="s">
        <v>77</v>
      </c>
      <c r="B25" s="2" t="s">
        <v>78</v>
      </c>
      <c r="C25" s="2" t="s">
        <v>125</v>
      </c>
    </row>
    <row r="26" spans="1:3" x14ac:dyDescent="0.25">
      <c r="A26" s="2" t="s">
        <v>79</v>
      </c>
      <c r="B26" s="2" t="s">
        <v>80</v>
      </c>
      <c r="C26" s="2" t="s">
        <v>144</v>
      </c>
    </row>
    <row r="27" spans="1:3" x14ac:dyDescent="0.25">
      <c r="A27" s="2" t="s">
        <v>81</v>
      </c>
      <c r="B27" s="2" t="s">
        <v>82</v>
      </c>
      <c r="C27" s="2" t="s">
        <v>145</v>
      </c>
    </row>
    <row r="28" spans="1:3" x14ac:dyDescent="0.25">
      <c r="A28" s="2" t="s">
        <v>83</v>
      </c>
      <c r="B28" s="2" t="s">
        <v>84</v>
      </c>
      <c r="C28" s="2" t="s">
        <v>146</v>
      </c>
    </row>
    <row r="29" spans="1:3" x14ac:dyDescent="0.25">
      <c r="A29" s="2" t="s">
        <v>85</v>
      </c>
      <c r="B29" s="2" t="s">
        <v>86</v>
      </c>
      <c r="C29" s="2" t="s">
        <v>143</v>
      </c>
    </row>
    <row r="30" spans="1:3" x14ac:dyDescent="0.25">
      <c r="A30" s="2" t="s">
        <v>87</v>
      </c>
      <c r="B30" s="2" t="s">
        <v>88</v>
      </c>
      <c r="C30" s="2" t="s">
        <v>141</v>
      </c>
    </row>
    <row r="31" spans="1:3" x14ac:dyDescent="0.25">
      <c r="A31" s="2" t="s">
        <v>89</v>
      </c>
      <c r="B31" s="2" t="s">
        <v>90</v>
      </c>
      <c r="C31" s="2" t="s">
        <v>142</v>
      </c>
    </row>
    <row r="32" spans="1:3" x14ac:dyDescent="0.25">
      <c r="A32" s="2" t="s">
        <v>91</v>
      </c>
      <c r="B32" s="2" t="s">
        <v>92</v>
      </c>
      <c r="C32" s="2" t="s">
        <v>93</v>
      </c>
    </row>
    <row r="33" spans="1:3" x14ac:dyDescent="0.25">
      <c r="A33" s="2" t="s">
        <v>94</v>
      </c>
      <c r="B33" s="2" t="s">
        <v>95</v>
      </c>
      <c r="C33" s="2" t="s">
        <v>147</v>
      </c>
    </row>
    <row r="34" spans="1:3" x14ac:dyDescent="0.25">
      <c r="A34" s="2" t="s">
        <v>96</v>
      </c>
      <c r="B34" s="2" t="s">
        <v>97</v>
      </c>
      <c r="C34" s="2" t="s">
        <v>148</v>
      </c>
    </row>
    <row r="35" spans="1:3" x14ac:dyDescent="0.25">
      <c r="A35" s="2" t="s">
        <v>98</v>
      </c>
      <c r="B35" s="2" t="s">
        <v>99</v>
      </c>
      <c r="C35" s="2" t="s">
        <v>149</v>
      </c>
    </row>
    <row r="36" spans="1:3" x14ac:dyDescent="0.25">
      <c r="A36" s="2" t="s">
        <v>155</v>
      </c>
      <c r="B36" s="2" t="s">
        <v>100</v>
      </c>
      <c r="C36" s="2" t="s">
        <v>150</v>
      </c>
    </row>
    <row r="37" spans="1:3" x14ac:dyDescent="0.25">
      <c r="A37" s="2" t="s">
        <v>156</v>
      </c>
      <c r="B37" s="2" t="s">
        <v>151</v>
      </c>
      <c r="C37" s="2" t="s">
        <v>152</v>
      </c>
    </row>
    <row r="38" spans="1:3" x14ac:dyDescent="0.25">
      <c r="A38" s="2" t="s">
        <v>157</v>
      </c>
      <c r="B38" s="2" t="s">
        <v>120</v>
      </c>
      <c r="C38" s="2" t="s">
        <v>121</v>
      </c>
    </row>
    <row r="39" spans="1:3" x14ac:dyDescent="0.25">
      <c r="A39" s="32" t="s">
        <v>158</v>
      </c>
      <c r="B39" s="32" t="s">
        <v>153</v>
      </c>
      <c r="C39" s="32" t="s">
        <v>154</v>
      </c>
    </row>
    <row r="40" spans="1:3" x14ac:dyDescent="0.25">
      <c r="A40" s="32" t="s">
        <v>159</v>
      </c>
      <c r="B40" s="32" t="s">
        <v>160</v>
      </c>
      <c r="C40" s="32" t="s">
        <v>161</v>
      </c>
    </row>
    <row r="41" spans="1:3" x14ac:dyDescent="0.25">
      <c r="A41" s="32" t="s">
        <v>174</v>
      </c>
      <c r="B41" s="32" t="s">
        <v>172</v>
      </c>
      <c r="C41" s="2" t="s">
        <v>173</v>
      </c>
    </row>
    <row r="42" spans="1:3" x14ac:dyDescent="0.25">
      <c r="A42" s="32" t="s">
        <v>176</v>
      </c>
      <c r="B42" s="32" t="s">
        <v>177</v>
      </c>
      <c r="C42" s="32" t="s">
        <v>187</v>
      </c>
    </row>
    <row r="43" spans="1:3" x14ac:dyDescent="0.25">
      <c r="A43" s="32" t="s">
        <v>178</v>
      </c>
      <c r="B43" s="32" t="s">
        <v>179</v>
      </c>
      <c r="C43" s="32" t="s">
        <v>189</v>
      </c>
    </row>
    <row r="44" spans="1:3" x14ac:dyDescent="0.25">
      <c r="A44" s="32" t="s">
        <v>180</v>
      </c>
      <c r="B44" s="32" t="s">
        <v>181</v>
      </c>
      <c r="C44" s="32" t="s">
        <v>191</v>
      </c>
    </row>
    <row r="45" spans="1:3" x14ac:dyDescent="0.25">
      <c r="A45" s="32" t="s">
        <v>184</v>
      </c>
      <c r="B45" s="32" t="s">
        <v>182</v>
      </c>
      <c r="C45" s="32" t="s">
        <v>192</v>
      </c>
    </row>
    <row r="46" spans="1:3" x14ac:dyDescent="0.25">
      <c r="A46" s="32" t="s">
        <v>185</v>
      </c>
      <c r="B46" s="32" t="s">
        <v>183</v>
      </c>
      <c r="C46" s="32" t="s">
        <v>193</v>
      </c>
    </row>
    <row r="47" spans="1:3" x14ac:dyDescent="0.25">
      <c r="A47" s="35" t="s">
        <v>194</v>
      </c>
      <c r="B47" s="35" t="s">
        <v>195</v>
      </c>
      <c r="C47" s="35" t="s">
        <v>196</v>
      </c>
    </row>
    <row r="48" spans="1:3" x14ac:dyDescent="0.25">
      <c r="A48" s="35" t="s">
        <v>198</v>
      </c>
      <c r="B48" s="35" t="s">
        <v>199</v>
      </c>
      <c r="C48" s="35" t="s">
        <v>200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selection activeCell="E12" sqref="E12"/>
    </sheetView>
  </sheetViews>
  <sheetFormatPr baseColWidth="10" defaultRowHeight="15" x14ac:dyDescent="0.25"/>
  <cols>
    <col min="1" max="1" width="20.5703125" customWidth="1"/>
    <col min="2" max="2" width="35" customWidth="1"/>
    <col min="3" max="3" width="16.85546875" customWidth="1"/>
    <col min="4" max="4" width="19.5703125" customWidth="1"/>
    <col min="6" max="6" width="22.42578125" customWidth="1"/>
    <col min="7" max="7" width="26.28515625" customWidth="1"/>
  </cols>
  <sheetData>
    <row r="1" spans="1:8" ht="15.75" x14ac:dyDescent="0.25">
      <c r="A1" s="4" t="s">
        <v>105</v>
      </c>
      <c r="B1" s="5"/>
      <c r="C1" s="5"/>
      <c r="F1" s="4" t="s">
        <v>105</v>
      </c>
      <c r="G1" s="5"/>
      <c r="H1" s="5"/>
    </row>
    <row r="2" spans="1:8" x14ac:dyDescent="0.25">
      <c r="A2" s="6" t="s">
        <v>102</v>
      </c>
      <c r="B2" s="5" t="s">
        <v>103</v>
      </c>
      <c r="C2" s="5" t="s">
        <v>104</v>
      </c>
      <c r="F2" s="6" t="s">
        <v>102</v>
      </c>
      <c r="G2" s="5" t="s">
        <v>103</v>
      </c>
      <c r="H2" s="5" t="s">
        <v>104</v>
      </c>
    </row>
    <row r="3" spans="1:8" x14ac:dyDescent="0.25">
      <c r="A3" s="29">
        <v>45680</v>
      </c>
      <c r="B3" s="7" t="s">
        <v>106</v>
      </c>
      <c r="C3" s="7">
        <v>1</v>
      </c>
      <c r="F3" s="34">
        <v>45992</v>
      </c>
      <c r="G3" s="32" t="s">
        <v>111</v>
      </c>
      <c r="H3" s="32">
        <v>1</v>
      </c>
    </row>
    <row r="4" spans="1:8" x14ac:dyDescent="0.25">
      <c r="A4" s="29">
        <v>45680</v>
      </c>
      <c r="B4" s="7" t="s">
        <v>107</v>
      </c>
      <c r="C4" s="7">
        <f>+C3+1</f>
        <v>2</v>
      </c>
      <c r="F4" s="34">
        <v>45999</v>
      </c>
      <c r="G4" s="32" t="s">
        <v>169</v>
      </c>
      <c r="H4" s="32">
        <f>+H3+1</f>
        <v>2</v>
      </c>
    </row>
    <row r="5" spans="1:8" x14ac:dyDescent="0.25">
      <c r="A5" s="29">
        <v>45682</v>
      </c>
      <c r="B5" s="7" t="s">
        <v>110</v>
      </c>
      <c r="C5" s="7">
        <f t="shared" ref="C5:C65" si="0">+C4+1</f>
        <v>3</v>
      </c>
      <c r="F5" s="34">
        <v>46001</v>
      </c>
      <c r="G5" s="32" t="s">
        <v>170</v>
      </c>
      <c r="H5" s="32">
        <f t="shared" ref="H5:H64" si="1">+H4+1</f>
        <v>3</v>
      </c>
    </row>
    <row r="6" spans="1:8" x14ac:dyDescent="0.25">
      <c r="A6" s="29">
        <v>45838</v>
      </c>
      <c r="B6" s="7" t="s">
        <v>109</v>
      </c>
      <c r="C6" s="7">
        <f t="shared" si="0"/>
        <v>4</v>
      </c>
      <c r="F6" s="34">
        <v>46001</v>
      </c>
      <c r="G6" s="32" t="s">
        <v>171</v>
      </c>
      <c r="H6" s="32">
        <f t="shared" si="1"/>
        <v>4</v>
      </c>
    </row>
    <row r="7" spans="1:8" x14ac:dyDescent="0.25">
      <c r="A7" s="29">
        <v>45842</v>
      </c>
      <c r="B7" s="7" t="s">
        <v>111</v>
      </c>
      <c r="C7" s="7">
        <f t="shared" si="0"/>
        <v>5</v>
      </c>
      <c r="F7" s="34">
        <v>46035</v>
      </c>
      <c r="G7" s="32" t="s">
        <v>168</v>
      </c>
      <c r="H7" s="32">
        <f t="shared" si="1"/>
        <v>5</v>
      </c>
    </row>
    <row r="8" spans="1:8" x14ac:dyDescent="0.25">
      <c r="A8" s="29">
        <v>45845</v>
      </c>
      <c r="B8" s="7" t="s">
        <v>112</v>
      </c>
      <c r="C8" s="7">
        <f t="shared" si="0"/>
        <v>6</v>
      </c>
      <c r="F8" s="34"/>
      <c r="G8" s="32"/>
      <c r="H8" s="32">
        <f t="shared" si="1"/>
        <v>6</v>
      </c>
    </row>
    <row r="9" spans="1:8" x14ac:dyDescent="0.25">
      <c r="A9" s="29">
        <v>45845</v>
      </c>
      <c r="B9" s="7" t="s">
        <v>27</v>
      </c>
      <c r="C9" s="7">
        <f t="shared" si="0"/>
        <v>7</v>
      </c>
      <c r="F9" s="34"/>
      <c r="G9" s="32"/>
      <c r="H9" s="32">
        <f t="shared" si="1"/>
        <v>7</v>
      </c>
    </row>
    <row r="10" spans="1:8" x14ac:dyDescent="0.25">
      <c r="A10" s="29">
        <v>45846</v>
      </c>
      <c r="B10" s="7" t="s">
        <v>106</v>
      </c>
      <c r="C10" s="7">
        <f t="shared" si="0"/>
        <v>8</v>
      </c>
      <c r="F10" s="34"/>
      <c r="G10" s="32"/>
      <c r="H10" s="32">
        <f t="shared" si="1"/>
        <v>8</v>
      </c>
    </row>
    <row r="11" spans="1:8" x14ac:dyDescent="0.25">
      <c r="A11" s="29">
        <v>45864</v>
      </c>
      <c r="B11" s="7" t="s">
        <v>106</v>
      </c>
      <c r="C11" s="7">
        <f t="shared" si="0"/>
        <v>9</v>
      </c>
      <c r="F11" s="34"/>
      <c r="G11" s="32"/>
      <c r="H11" s="32">
        <f t="shared" si="1"/>
        <v>9</v>
      </c>
    </row>
    <row r="12" spans="1:8" x14ac:dyDescent="0.25">
      <c r="A12" s="29">
        <v>45864</v>
      </c>
      <c r="B12" s="7" t="s">
        <v>110</v>
      </c>
      <c r="C12" s="7">
        <f t="shared" si="0"/>
        <v>10</v>
      </c>
      <c r="F12" s="34"/>
      <c r="G12" s="32"/>
      <c r="H12" s="32">
        <f t="shared" si="1"/>
        <v>10</v>
      </c>
    </row>
    <row r="13" spans="1:8" x14ac:dyDescent="0.25">
      <c r="A13" s="29">
        <v>45864</v>
      </c>
      <c r="B13" s="7" t="s">
        <v>113</v>
      </c>
      <c r="C13" s="7">
        <f t="shared" si="0"/>
        <v>11</v>
      </c>
      <c r="F13" s="34"/>
      <c r="G13" s="32"/>
      <c r="H13" s="32">
        <f t="shared" si="1"/>
        <v>11</v>
      </c>
    </row>
    <row r="14" spans="1:8" x14ac:dyDescent="0.25">
      <c r="A14" s="29">
        <v>45864</v>
      </c>
      <c r="B14" s="7" t="s">
        <v>109</v>
      </c>
      <c r="C14" s="7">
        <f t="shared" si="0"/>
        <v>12</v>
      </c>
      <c r="F14" s="34"/>
      <c r="G14" s="32"/>
      <c r="H14" s="32">
        <f t="shared" si="1"/>
        <v>12</v>
      </c>
    </row>
    <row r="15" spans="1:8" x14ac:dyDescent="0.25">
      <c r="A15" s="29">
        <v>45871</v>
      </c>
      <c r="B15" s="7" t="s">
        <v>118</v>
      </c>
      <c r="C15" s="7">
        <f t="shared" si="0"/>
        <v>13</v>
      </c>
      <c r="F15" s="34"/>
      <c r="G15" s="32"/>
      <c r="H15" s="32">
        <f t="shared" si="1"/>
        <v>13</v>
      </c>
    </row>
    <row r="16" spans="1:8" x14ac:dyDescent="0.25">
      <c r="A16" s="29">
        <v>45871</v>
      </c>
      <c r="B16" s="7" t="s">
        <v>27</v>
      </c>
      <c r="C16" s="7">
        <f t="shared" si="0"/>
        <v>14</v>
      </c>
      <c r="F16" s="34"/>
      <c r="G16" s="32"/>
      <c r="H16" s="32">
        <f t="shared" si="1"/>
        <v>14</v>
      </c>
    </row>
    <row r="17" spans="1:8" x14ac:dyDescent="0.25">
      <c r="A17" s="29">
        <v>45871</v>
      </c>
      <c r="B17" s="7" t="s">
        <v>114</v>
      </c>
      <c r="C17" s="7">
        <f t="shared" si="0"/>
        <v>15</v>
      </c>
      <c r="F17" s="34"/>
      <c r="G17" s="32"/>
      <c r="H17" s="32">
        <f t="shared" si="1"/>
        <v>15</v>
      </c>
    </row>
    <row r="18" spans="1:8" x14ac:dyDescent="0.25">
      <c r="A18" s="29">
        <v>45871</v>
      </c>
      <c r="B18" s="7" t="s">
        <v>117</v>
      </c>
      <c r="C18" s="7">
        <f t="shared" si="0"/>
        <v>16</v>
      </c>
      <c r="F18" s="34"/>
      <c r="G18" s="32"/>
      <c r="H18" s="32">
        <f t="shared" si="1"/>
        <v>16</v>
      </c>
    </row>
    <row r="19" spans="1:8" x14ac:dyDescent="0.25">
      <c r="A19" s="29">
        <v>45878</v>
      </c>
      <c r="B19" s="7" t="s">
        <v>27</v>
      </c>
      <c r="C19" s="7">
        <f t="shared" si="0"/>
        <v>17</v>
      </c>
      <c r="F19" s="34"/>
      <c r="G19" s="32"/>
      <c r="H19" s="32">
        <f t="shared" si="1"/>
        <v>17</v>
      </c>
    </row>
    <row r="20" spans="1:8" x14ac:dyDescent="0.25">
      <c r="A20" s="29">
        <v>45878</v>
      </c>
      <c r="B20" s="7" t="s">
        <v>115</v>
      </c>
      <c r="C20" s="7">
        <f t="shared" si="0"/>
        <v>18</v>
      </c>
      <c r="F20" s="34"/>
      <c r="G20" s="32"/>
      <c r="H20" s="32">
        <f t="shared" si="1"/>
        <v>18</v>
      </c>
    </row>
    <row r="21" spans="1:8" x14ac:dyDescent="0.25">
      <c r="A21" s="29">
        <v>45878</v>
      </c>
      <c r="B21" s="7" t="s">
        <v>116</v>
      </c>
      <c r="C21" s="7">
        <f t="shared" si="0"/>
        <v>19</v>
      </c>
      <c r="F21" s="34"/>
      <c r="G21" s="32"/>
      <c r="H21" s="32">
        <f t="shared" si="1"/>
        <v>19</v>
      </c>
    </row>
    <row r="22" spans="1:8" x14ac:dyDescent="0.25">
      <c r="A22" s="29">
        <v>45878</v>
      </c>
      <c r="B22" s="7" t="s">
        <v>106</v>
      </c>
      <c r="C22" s="7">
        <f t="shared" si="0"/>
        <v>20</v>
      </c>
      <c r="F22" s="34"/>
      <c r="G22" s="32"/>
      <c r="H22" s="32">
        <f t="shared" si="1"/>
        <v>20</v>
      </c>
    </row>
    <row r="23" spans="1:8" x14ac:dyDescent="0.25">
      <c r="A23" s="29">
        <v>45891</v>
      </c>
      <c r="B23" s="7" t="s">
        <v>110</v>
      </c>
      <c r="C23" s="7">
        <f t="shared" si="0"/>
        <v>21</v>
      </c>
      <c r="F23" s="34"/>
      <c r="G23" s="32"/>
      <c r="H23" s="32">
        <f t="shared" si="1"/>
        <v>21</v>
      </c>
    </row>
    <row r="24" spans="1:8" x14ac:dyDescent="0.25">
      <c r="A24" s="29">
        <v>45892</v>
      </c>
      <c r="B24" s="7" t="s">
        <v>114</v>
      </c>
      <c r="C24" s="7">
        <f t="shared" si="0"/>
        <v>22</v>
      </c>
      <c r="F24" s="34"/>
      <c r="G24" s="32"/>
      <c r="H24" s="32">
        <f t="shared" si="1"/>
        <v>22</v>
      </c>
    </row>
    <row r="25" spans="1:8" x14ac:dyDescent="0.25">
      <c r="A25" s="30"/>
      <c r="B25" s="5"/>
      <c r="C25" s="5">
        <f t="shared" si="0"/>
        <v>23</v>
      </c>
      <c r="F25" s="34"/>
      <c r="G25" s="32"/>
      <c r="H25" s="32">
        <f t="shared" si="1"/>
        <v>23</v>
      </c>
    </row>
    <row r="26" spans="1:8" x14ac:dyDescent="0.25">
      <c r="A26" s="31">
        <v>45895</v>
      </c>
      <c r="B26" s="2" t="s">
        <v>111</v>
      </c>
      <c r="C26" s="2">
        <f t="shared" si="0"/>
        <v>24</v>
      </c>
      <c r="F26" s="34"/>
      <c r="G26" s="32"/>
      <c r="H26" s="32">
        <f t="shared" si="1"/>
        <v>24</v>
      </c>
    </row>
    <row r="27" spans="1:8" x14ac:dyDescent="0.25">
      <c r="A27" s="31">
        <v>45900</v>
      </c>
      <c r="B27" s="2" t="s">
        <v>113</v>
      </c>
      <c r="C27" s="2">
        <f t="shared" si="0"/>
        <v>25</v>
      </c>
      <c r="F27" s="34"/>
      <c r="G27" s="32"/>
      <c r="H27" s="32">
        <f t="shared" si="1"/>
        <v>25</v>
      </c>
    </row>
    <row r="28" spans="1:8" x14ac:dyDescent="0.25">
      <c r="A28" s="31">
        <v>45900</v>
      </c>
      <c r="B28" s="2" t="s">
        <v>106</v>
      </c>
      <c r="C28" s="2">
        <f t="shared" si="0"/>
        <v>26</v>
      </c>
      <c r="F28" s="34"/>
      <c r="G28" s="32"/>
      <c r="H28" s="32">
        <f t="shared" si="1"/>
        <v>26</v>
      </c>
    </row>
    <row r="29" spans="1:8" x14ac:dyDescent="0.25">
      <c r="A29" s="31">
        <v>45908</v>
      </c>
      <c r="B29" s="2" t="s">
        <v>110</v>
      </c>
      <c r="C29" s="2">
        <f t="shared" si="0"/>
        <v>27</v>
      </c>
      <c r="F29" s="34"/>
      <c r="G29" s="32"/>
      <c r="H29" s="32">
        <f t="shared" si="1"/>
        <v>27</v>
      </c>
    </row>
    <row r="30" spans="1:8" x14ac:dyDescent="0.25">
      <c r="A30" s="31">
        <v>45908</v>
      </c>
      <c r="B30" s="2" t="s">
        <v>109</v>
      </c>
      <c r="C30" s="2">
        <f t="shared" si="0"/>
        <v>28</v>
      </c>
      <c r="F30" s="34"/>
      <c r="G30" s="32"/>
      <c r="H30" s="32">
        <f t="shared" si="1"/>
        <v>28</v>
      </c>
    </row>
    <row r="31" spans="1:8" x14ac:dyDescent="0.25">
      <c r="A31" s="31">
        <v>45908</v>
      </c>
      <c r="B31" s="2" t="s">
        <v>107</v>
      </c>
      <c r="C31" s="2">
        <f t="shared" si="0"/>
        <v>29</v>
      </c>
      <c r="F31" s="34"/>
      <c r="G31" s="32"/>
      <c r="H31" s="32">
        <f t="shared" si="1"/>
        <v>29</v>
      </c>
    </row>
    <row r="32" spans="1:8" x14ac:dyDescent="0.25">
      <c r="A32" s="31">
        <v>45908</v>
      </c>
      <c r="B32" s="2" t="s">
        <v>116</v>
      </c>
      <c r="C32" s="2">
        <f t="shared" si="0"/>
        <v>30</v>
      </c>
      <c r="F32" s="34"/>
      <c r="G32" s="32"/>
      <c r="H32" s="32">
        <f t="shared" si="1"/>
        <v>30</v>
      </c>
    </row>
    <row r="33" spans="1:8" x14ac:dyDescent="0.25">
      <c r="A33" s="31">
        <v>45915</v>
      </c>
      <c r="B33" s="2" t="s">
        <v>119</v>
      </c>
      <c r="C33" s="2">
        <f t="shared" si="0"/>
        <v>31</v>
      </c>
      <c r="F33" s="34"/>
      <c r="G33" s="32"/>
      <c r="H33" s="32">
        <f t="shared" si="1"/>
        <v>31</v>
      </c>
    </row>
    <row r="34" spans="1:8" x14ac:dyDescent="0.25">
      <c r="A34" s="31">
        <v>45915</v>
      </c>
      <c r="B34" s="2" t="s">
        <v>114</v>
      </c>
      <c r="C34" s="2">
        <f t="shared" si="0"/>
        <v>32</v>
      </c>
      <c r="F34" s="34"/>
      <c r="G34" s="32"/>
      <c r="H34" s="32">
        <f t="shared" si="1"/>
        <v>32</v>
      </c>
    </row>
    <row r="35" spans="1:8" x14ac:dyDescent="0.25">
      <c r="A35" s="31">
        <v>45923</v>
      </c>
      <c r="B35" s="2" t="s">
        <v>113</v>
      </c>
      <c r="C35" s="2">
        <f t="shared" si="0"/>
        <v>33</v>
      </c>
      <c r="F35" s="34"/>
      <c r="G35" s="32"/>
      <c r="H35" s="32">
        <f t="shared" si="1"/>
        <v>33</v>
      </c>
    </row>
    <row r="36" spans="1:8" x14ac:dyDescent="0.25">
      <c r="A36" s="31">
        <v>45923</v>
      </c>
      <c r="B36" s="2" t="s">
        <v>109</v>
      </c>
      <c r="C36" s="2">
        <f t="shared" si="0"/>
        <v>34</v>
      </c>
      <c r="F36" s="34"/>
      <c r="G36" s="32"/>
      <c r="H36" s="32">
        <f t="shared" si="1"/>
        <v>34</v>
      </c>
    </row>
    <row r="37" spans="1:8" x14ac:dyDescent="0.25">
      <c r="A37" s="31">
        <v>45923</v>
      </c>
      <c r="B37" s="2" t="s">
        <v>106</v>
      </c>
      <c r="C37" s="2">
        <f t="shared" si="0"/>
        <v>35</v>
      </c>
      <c r="F37" s="34"/>
      <c r="G37" s="32"/>
      <c r="H37" s="32">
        <f t="shared" si="1"/>
        <v>35</v>
      </c>
    </row>
    <row r="38" spans="1:8" x14ac:dyDescent="0.25">
      <c r="A38" s="31">
        <v>45931</v>
      </c>
      <c r="B38" s="2" t="s">
        <v>114</v>
      </c>
      <c r="C38" s="2">
        <f t="shared" si="0"/>
        <v>36</v>
      </c>
      <c r="F38" s="34"/>
      <c r="G38" s="32"/>
      <c r="H38" s="32">
        <f t="shared" si="1"/>
        <v>36</v>
      </c>
    </row>
    <row r="39" spans="1:8" x14ac:dyDescent="0.25">
      <c r="A39" s="31">
        <v>45967</v>
      </c>
      <c r="B39" s="2" t="s">
        <v>164</v>
      </c>
      <c r="C39" s="2">
        <f t="shared" si="0"/>
        <v>37</v>
      </c>
      <c r="F39" s="34"/>
      <c r="G39" s="32"/>
      <c r="H39" s="32">
        <f t="shared" si="1"/>
        <v>37</v>
      </c>
    </row>
    <row r="40" spans="1:8" x14ac:dyDescent="0.25">
      <c r="A40" s="31">
        <v>45967</v>
      </c>
      <c r="B40" s="2" t="s">
        <v>110</v>
      </c>
      <c r="C40" s="2">
        <f t="shared" si="0"/>
        <v>38</v>
      </c>
      <c r="F40" s="34"/>
      <c r="G40" s="32"/>
      <c r="H40" s="32">
        <f t="shared" si="1"/>
        <v>38</v>
      </c>
    </row>
    <row r="41" spans="1:8" x14ac:dyDescent="0.25">
      <c r="A41" s="31">
        <v>45967</v>
      </c>
      <c r="B41" s="2" t="s">
        <v>165</v>
      </c>
      <c r="C41" s="2">
        <f t="shared" si="0"/>
        <v>39</v>
      </c>
      <c r="F41" s="34"/>
      <c r="G41" s="32"/>
      <c r="H41" s="32">
        <f t="shared" si="1"/>
        <v>39</v>
      </c>
    </row>
    <row r="42" spans="1:8" x14ac:dyDescent="0.25">
      <c r="A42" s="31">
        <v>45967</v>
      </c>
      <c r="B42" s="2" t="s">
        <v>115</v>
      </c>
      <c r="C42" s="2">
        <f t="shared" si="0"/>
        <v>40</v>
      </c>
      <c r="F42" s="34"/>
      <c r="G42" s="32"/>
      <c r="H42" s="32">
        <f t="shared" si="1"/>
        <v>40</v>
      </c>
    </row>
    <row r="43" spans="1:8" x14ac:dyDescent="0.25">
      <c r="A43" s="31">
        <v>45967</v>
      </c>
      <c r="B43" s="2" t="s">
        <v>106</v>
      </c>
      <c r="C43" s="2">
        <f t="shared" si="0"/>
        <v>41</v>
      </c>
      <c r="F43" s="34"/>
      <c r="G43" s="32"/>
      <c r="H43" s="32">
        <f t="shared" si="1"/>
        <v>41</v>
      </c>
    </row>
    <row r="44" spans="1:8" x14ac:dyDescent="0.25">
      <c r="A44" s="31">
        <v>45941</v>
      </c>
      <c r="B44" s="2" t="s">
        <v>114</v>
      </c>
      <c r="C44" s="2">
        <f t="shared" si="0"/>
        <v>42</v>
      </c>
      <c r="F44" s="34"/>
      <c r="G44" s="32"/>
      <c r="H44" s="32">
        <f t="shared" si="1"/>
        <v>42</v>
      </c>
    </row>
    <row r="45" spans="1:8" x14ac:dyDescent="0.25">
      <c r="A45" s="31">
        <v>45941</v>
      </c>
      <c r="B45" s="2" t="s">
        <v>117</v>
      </c>
      <c r="C45" s="2">
        <f t="shared" si="0"/>
        <v>43</v>
      </c>
      <c r="F45" s="34"/>
      <c r="G45" s="32"/>
      <c r="H45" s="32">
        <f t="shared" si="1"/>
        <v>43</v>
      </c>
    </row>
    <row r="46" spans="1:8" x14ac:dyDescent="0.25">
      <c r="A46" s="31">
        <v>45941</v>
      </c>
      <c r="B46" s="2" t="s">
        <v>163</v>
      </c>
      <c r="C46" s="2">
        <f t="shared" si="0"/>
        <v>44</v>
      </c>
      <c r="F46" s="34"/>
      <c r="G46" s="32"/>
      <c r="H46" s="32">
        <f t="shared" si="1"/>
        <v>44</v>
      </c>
    </row>
    <row r="47" spans="1:8" x14ac:dyDescent="0.25">
      <c r="A47" s="31">
        <v>45941</v>
      </c>
      <c r="B47" s="2" t="s">
        <v>109</v>
      </c>
      <c r="C47" s="2">
        <f t="shared" si="0"/>
        <v>45</v>
      </c>
      <c r="F47" s="34"/>
      <c r="G47" s="32"/>
      <c r="H47" s="32">
        <f t="shared" si="1"/>
        <v>45</v>
      </c>
    </row>
    <row r="48" spans="1:8" x14ac:dyDescent="0.25">
      <c r="A48" s="31">
        <v>45948</v>
      </c>
      <c r="B48" s="2" t="s">
        <v>118</v>
      </c>
      <c r="C48" s="2">
        <f t="shared" si="0"/>
        <v>46</v>
      </c>
      <c r="F48" s="34"/>
      <c r="G48" s="32"/>
      <c r="H48" s="32">
        <f t="shared" si="1"/>
        <v>46</v>
      </c>
    </row>
    <row r="49" spans="1:8" x14ac:dyDescent="0.25">
      <c r="A49" s="31">
        <v>45948</v>
      </c>
      <c r="B49" s="2" t="s">
        <v>166</v>
      </c>
      <c r="C49" s="2">
        <f t="shared" si="0"/>
        <v>47</v>
      </c>
      <c r="F49" s="34"/>
      <c r="G49" s="32"/>
      <c r="H49" s="32">
        <f t="shared" si="1"/>
        <v>47</v>
      </c>
    </row>
    <row r="50" spans="1:8" x14ac:dyDescent="0.25">
      <c r="A50" s="31">
        <v>45948</v>
      </c>
      <c r="B50" s="2" t="s">
        <v>113</v>
      </c>
      <c r="C50" s="2">
        <f t="shared" si="0"/>
        <v>48</v>
      </c>
      <c r="F50" s="34"/>
      <c r="G50" s="32"/>
      <c r="H50" s="32">
        <f t="shared" si="1"/>
        <v>48</v>
      </c>
    </row>
    <row r="51" spans="1:8" x14ac:dyDescent="0.25">
      <c r="A51" s="31">
        <v>45948</v>
      </c>
      <c r="B51" s="2" t="s">
        <v>106</v>
      </c>
      <c r="C51" s="2">
        <f t="shared" si="0"/>
        <v>49</v>
      </c>
      <c r="F51" s="34"/>
      <c r="G51" s="32"/>
      <c r="H51" s="32">
        <f t="shared" si="1"/>
        <v>49</v>
      </c>
    </row>
    <row r="52" spans="1:8" x14ac:dyDescent="0.25">
      <c r="A52" s="31">
        <v>45957</v>
      </c>
      <c r="B52" s="2" t="s">
        <v>162</v>
      </c>
      <c r="C52" s="2">
        <f t="shared" si="0"/>
        <v>50</v>
      </c>
      <c r="F52" s="34"/>
      <c r="G52" s="32"/>
      <c r="H52" s="32">
        <f t="shared" si="1"/>
        <v>50</v>
      </c>
    </row>
    <row r="53" spans="1:8" x14ac:dyDescent="0.25">
      <c r="A53" s="31">
        <v>45957</v>
      </c>
      <c r="B53" s="32" t="s">
        <v>109</v>
      </c>
      <c r="C53" s="32">
        <f>+C52+1</f>
        <v>51</v>
      </c>
      <c r="F53" s="34"/>
      <c r="G53" s="32"/>
      <c r="H53" s="32">
        <f t="shared" si="1"/>
        <v>51</v>
      </c>
    </row>
    <row r="54" spans="1:8" x14ac:dyDescent="0.25">
      <c r="A54" s="31">
        <v>45957</v>
      </c>
      <c r="B54" s="32" t="s">
        <v>111</v>
      </c>
      <c r="C54" s="32">
        <f t="shared" si="0"/>
        <v>52</v>
      </c>
      <c r="F54" s="34"/>
      <c r="G54" s="32"/>
      <c r="H54" s="32">
        <f t="shared" si="1"/>
        <v>52</v>
      </c>
    </row>
    <row r="55" spans="1:8" x14ac:dyDescent="0.25">
      <c r="A55" s="31">
        <v>45957</v>
      </c>
      <c r="B55" s="32" t="s">
        <v>167</v>
      </c>
      <c r="C55" s="32">
        <f t="shared" si="0"/>
        <v>53</v>
      </c>
      <c r="F55" s="34"/>
      <c r="G55" s="32"/>
      <c r="H55" s="32">
        <f t="shared" si="1"/>
        <v>53</v>
      </c>
    </row>
    <row r="56" spans="1:8" x14ac:dyDescent="0.25">
      <c r="A56" s="31">
        <v>45962</v>
      </c>
      <c r="B56" s="2" t="s">
        <v>114</v>
      </c>
      <c r="C56" s="2">
        <f t="shared" si="0"/>
        <v>54</v>
      </c>
      <c r="F56" s="34"/>
      <c r="G56" s="32"/>
      <c r="H56" s="32">
        <f t="shared" si="1"/>
        <v>54</v>
      </c>
    </row>
    <row r="57" spans="1:8" x14ac:dyDescent="0.25">
      <c r="A57" s="31">
        <v>45962</v>
      </c>
      <c r="B57" s="2" t="s">
        <v>109</v>
      </c>
      <c r="C57" s="2">
        <f t="shared" si="0"/>
        <v>55</v>
      </c>
      <c r="F57" s="34"/>
      <c r="G57" s="32"/>
      <c r="H57" s="32">
        <f t="shared" si="1"/>
        <v>55</v>
      </c>
    </row>
    <row r="58" spans="1:8" x14ac:dyDescent="0.25">
      <c r="A58" s="31">
        <v>45962</v>
      </c>
      <c r="B58" s="2" t="s">
        <v>106</v>
      </c>
      <c r="C58" s="2">
        <f t="shared" si="0"/>
        <v>56</v>
      </c>
      <c r="F58" s="34"/>
      <c r="G58" s="32"/>
      <c r="H58" s="32">
        <f t="shared" si="1"/>
        <v>56</v>
      </c>
    </row>
    <row r="59" spans="1:8" x14ac:dyDescent="0.25">
      <c r="A59" s="30">
        <v>45962</v>
      </c>
      <c r="B59" s="5"/>
      <c r="C59" s="2">
        <f t="shared" si="0"/>
        <v>57</v>
      </c>
      <c r="F59" s="34"/>
      <c r="G59" s="32"/>
      <c r="H59" s="32">
        <f t="shared" si="1"/>
        <v>57</v>
      </c>
    </row>
    <row r="60" spans="1:8" x14ac:dyDescent="0.25">
      <c r="A60" s="31">
        <v>45962</v>
      </c>
      <c r="B60" s="2" t="s">
        <v>115</v>
      </c>
      <c r="C60" s="2">
        <f t="shared" si="0"/>
        <v>58</v>
      </c>
      <c r="F60" s="34"/>
      <c r="G60" s="32"/>
      <c r="H60" s="32">
        <f t="shared" si="1"/>
        <v>58</v>
      </c>
    </row>
    <row r="61" spans="1:8" x14ac:dyDescent="0.25">
      <c r="A61" s="31">
        <v>45969</v>
      </c>
      <c r="B61" s="2" t="s">
        <v>118</v>
      </c>
      <c r="C61" s="2">
        <f t="shared" si="0"/>
        <v>59</v>
      </c>
      <c r="F61" s="34"/>
      <c r="G61" s="32"/>
      <c r="H61" s="32">
        <f t="shared" si="1"/>
        <v>59</v>
      </c>
    </row>
    <row r="62" spans="1:8" x14ac:dyDescent="0.25">
      <c r="A62" s="31">
        <v>45978</v>
      </c>
      <c r="B62" s="2" t="s">
        <v>106</v>
      </c>
      <c r="C62" s="2">
        <f t="shared" si="0"/>
        <v>60</v>
      </c>
      <c r="F62" s="34"/>
      <c r="G62" s="32"/>
      <c r="H62" s="32">
        <f t="shared" si="1"/>
        <v>60</v>
      </c>
    </row>
    <row r="63" spans="1:8" x14ac:dyDescent="0.25">
      <c r="A63" s="31">
        <v>45985</v>
      </c>
      <c r="B63" s="2" t="s">
        <v>114</v>
      </c>
      <c r="C63" s="2">
        <f t="shared" si="0"/>
        <v>61</v>
      </c>
      <c r="F63" s="34"/>
      <c r="G63" s="32"/>
      <c r="H63" s="32">
        <f t="shared" si="1"/>
        <v>61</v>
      </c>
    </row>
    <row r="64" spans="1:8" x14ac:dyDescent="0.25">
      <c r="A64" s="31">
        <v>45985</v>
      </c>
      <c r="B64" s="2" t="s">
        <v>113</v>
      </c>
      <c r="C64" s="2">
        <f t="shared" si="0"/>
        <v>62</v>
      </c>
      <c r="F64" s="34"/>
      <c r="G64" s="32"/>
      <c r="H64" s="32">
        <f t="shared" si="1"/>
        <v>62</v>
      </c>
    </row>
    <row r="65" spans="1:8" x14ac:dyDescent="0.25">
      <c r="A65" s="31"/>
      <c r="B65" s="2"/>
      <c r="C65" s="2">
        <f t="shared" si="0"/>
        <v>63</v>
      </c>
      <c r="F65" s="34"/>
      <c r="G65" s="32"/>
      <c r="H65" s="32"/>
    </row>
  </sheetData>
  <pageMargins left="0.70866141732283472" right="0.70866141732283472" top="0.74803149606299213" bottom="0.74803149606299213" header="0.31496062992125984" footer="0.31496062992125984"/>
  <pageSetup paperSize="9" scale="6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recibos</vt:lpstr>
      <vt:lpstr>nombres</vt:lpstr>
      <vt:lpstr>ESTABILIZANTE </vt:lpstr>
      <vt:lpstr>recibos!Área_de_impresión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GatoNegro1</dc:creator>
  <cp:lastModifiedBy>GatoNegro5</cp:lastModifiedBy>
  <cp:lastPrinted>2026-03-23T18:57:03Z</cp:lastPrinted>
  <dcterms:created xsi:type="dcterms:W3CDTF">2024-02-09T14:17:56Z</dcterms:created>
  <dcterms:modified xsi:type="dcterms:W3CDTF">2026-03-23T19:11:21Z</dcterms:modified>
</cp:coreProperties>
</file>