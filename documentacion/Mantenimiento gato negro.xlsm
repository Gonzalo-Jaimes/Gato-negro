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Types.xml" ContentType="application/vnd.ms-excel.rdrichvaluetypes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onza\Downloads\"/>
    </mc:Choice>
  </mc:AlternateContent>
  <xr:revisionPtr revIDLastSave="0" documentId="13_ncr:1_{877A27A6-BA1C-41D1-A5E7-97B297FF71FD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DASHBOARD" sheetId="8" r:id="rId1"/>
    <sheet name="BD" sheetId="10" r:id="rId2"/>
    <sheet name="ALMACEN" sheetId="12" r:id="rId3"/>
    <sheet name="CRONOGRAMA" sheetId="11" r:id="rId4"/>
    <sheet name="MAQUINAS" sheetId="1" r:id="rId5"/>
    <sheet name="MANTENIMIENTOS" sheetId="13" r:id="rId6"/>
    <sheet name="PM" sheetId="2" r:id="rId7"/>
    <sheet name="IMPRIMIR" sheetId="6" r:id="rId8"/>
    <sheet name="GD" sheetId="9" r:id="rId9"/>
  </sheets>
  <definedNames>
    <definedName name="_xlnm._FilterDatabase" localSheetId="3" hidden="1">CRONOGRAMA!$A$2:$D$2</definedName>
    <definedName name="_xlnm.Print_Area" localSheetId="7">IMPRIMIR!$A$1:$I$25</definedName>
  </definedNames>
  <calcPr calcId="191029" iterate="1"/>
  <pivotCaches>
    <pivotCache cacheId="5" r:id="rId10"/>
    <pivotCache cacheId="10" r:id="rId11"/>
  </pivotCaches>
</workbook>
</file>

<file path=xl/calcChain.xml><?xml version="1.0" encoding="utf-8"?>
<calcChain xmlns="http://schemas.openxmlformats.org/spreadsheetml/2006/main">
  <c r="O22" i="13" l="1"/>
  <c r="O21" i="13"/>
  <c r="O20" i="13"/>
  <c r="J29" i="1"/>
  <c r="J28" i="1"/>
  <c r="J27" i="1"/>
  <c r="J26" i="1"/>
  <c r="O4" i="13"/>
  <c r="O11" i="13"/>
  <c r="O10" i="13"/>
  <c r="J25" i="1"/>
  <c r="J24" i="1"/>
  <c r="J23" i="1"/>
  <c r="O15" i="13"/>
  <c r="J22" i="1"/>
  <c r="O17" i="13"/>
  <c r="O6" i="13"/>
  <c r="J21" i="1"/>
  <c r="O13" i="13"/>
  <c r="O19" i="13"/>
  <c r="O16" i="13"/>
  <c r="O7" i="13"/>
  <c r="O14" i="13"/>
  <c r="J20" i="1"/>
  <c r="J19" i="1"/>
  <c r="O18" i="13"/>
  <c r="O2" i="13"/>
  <c r="O9" i="13"/>
  <c r="O5" i="13"/>
  <c r="O8" i="13"/>
  <c r="O12" i="13"/>
  <c r="O3" i="13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O23" i="13"/>
  <c r="C19" i="8"/>
  <c r="J30" i="1" l="1"/>
  <c r="F19" i="8"/>
  <c r="F19" i="9" l="1" a="1"/>
  <c r="F19" i="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<sst xmlns="http://schemas.openxmlformats.org/spreadsheetml/2006/main" count="505" uniqueCount="261">
  <si>
    <t xml:space="preserve">ID </t>
  </si>
  <si>
    <t>DESCRIPCION</t>
  </si>
  <si>
    <t>ID</t>
  </si>
  <si>
    <t>FOTOGRAFIA</t>
  </si>
  <si>
    <t>FECHA</t>
  </si>
  <si>
    <t>HORA</t>
  </si>
  <si>
    <t>RESPONSABLE</t>
  </si>
  <si>
    <t>REALIZADO</t>
  </si>
  <si>
    <t>MAQUINA</t>
  </si>
  <si>
    <t>MARCA</t>
  </si>
  <si>
    <t>MODELO</t>
  </si>
  <si>
    <t>FABRICANTE</t>
  </si>
  <si>
    <t>OBSERVACIONES</t>
  </si>
  <si>
    <t>NINGUNA</t>
  </si>
  <si>
    <t>PREVENTIVO_CORRECTIVO</t>
  </si>
  <si>
    <t>MTBF</t>
  </si>
  <si>
    <t>MTTR</t>
  </si>
  <si>
    <t>TIEMPO DE REPARACIÓN</t>
  </si>
  <si>
    <t>Insertar logo de su empresa aquí</t>
  </si>
  <si>
    <t>Máquina-Equipo:</t>
  </si>
  <si>
    <t>Marca:</t>
  </si>
  <si>
    <t>Modelo:</t>
  </si>
  <si>
    <t>Fabricante:</t>
  </si>
  <si>
    <t>Observaciones:</t>
  </si>
  <si>
    <t>Responsable:</t>
  </si>
  <si>
    <t xml:space="preserve">Descripción: </t>
  </si>
  <si>
    <t>Promedio de MTTR</t>
  </si>
  <si>
    <t>Etiquetas de columna</t>
  </si>
  <si>
    <t>(en blanco)</t>
  </si>
  <si>
    <t>Total general</t>
  </si>
  <si>
    <t xml:space="preserve"># MANTENIMIENTOS REALIZADOS </t>
  </si>
  <si>
    <t xml:space="preserve"># MANTENIMIENTOS NO REALIZADOS </t>
  </si>
  <si>
    <t>Etiquetas de fila</t>
  </si>
  <si>
    <t>AUTORIZADO</t>
  </si>
  <si>
    <t>ELABORADO</t>
  </si>
  <si>
    <t>PROGRAMA DE TRABAJO POR OPERADOR</t>
  </si>
  <si>
    <t>FECHA PROGRAMADA</t>
  </si>
  <si>
    <t>N. DE ORDEN ASIGNADA</t>
  </si>
  <si>
    <t xml:space="preserve"> INICIO</t>
  </si>
  <si>
    <t xml:space="preserve"> ENTREGA</t>
  </si>
  <si>
    <t>RESPONSABLE ASIGANDO:</t>
  </si>
  <si>
    <t>FECHA_ENTREGA</t>
  </si>
  <si>
    <t>DIAS</t>
  </si>
  <si>
    <t>AREAS</t>
  </si>
  <si>
    <t>CODIGO_SERIE</t>
  </si>
  <si>
    <t>AREA</t>
  </si>
  <si>
    <t>HORAS</t>
  </si>
  <si>
    <t>CODIGO</t>
  </si>
  <si>
    <t>UNIDAD</t>
  </si>
  <si>
    <t>STOCK</t>
  </si>
  <si>
    <t>REFACCION A</t>
  </si>
  <si>
    <t>REFACCION B</t>
  </si>
  <si>
    <t>LT</t>
  </si>
  <si>
    <t>REFACCION C</t>
  </si>
  <si>
    <t>KG</t>
  </si>
  <si>
    <t>COSTO</t>
  </si>
  <si>
    <t>ID_MANTENIMIENTO</t>
  </si>
  <si>
    <t>CANTIDAD</t>
  </si>
  <si>
    <t>COSTO_MO</t>
  </si>
  <si>
    <t>COSTO_INSUMOS</t>
  </si>
  <si>
    <t>MAQUINA_NOMBRE</t>
  </si>
  <si>
    <t>HECHO</t>
  </si>
  <si>
    <t>DATOS GENERALES DE LA MÁQUINA / EQUIPO</t>
  </si>
  <si>
    <t>DATOS DEL MANTENIMIENTO</t>
  </si>
  <si>
    <t># Mantenimiento</t>
  </si>
  <si>
    <t>Fecha y hora inicio:</t>
  </si>
  <si>
    <t>Fecha y hora impresión:</t>
  </si>
  <si>
    <t>Fecha y hora cierre:</t>
  </si>
  <si>
    <t>Tipo:</t>
  </si>
  <si>
    <t>¿Realizado?</t>
  </si>
  <si>
    <t>Costo MO</t>
  </si>
  <si>
    <t>Costo insumos</t>
  </si>
  <si>
    <t>INSUMOS / MATERIALES</t>
  </si>
  <si>
    <t>Código</t>
  </si>
  <si>
    <t>Descripción</t>
  </si>
  <si>
    <t>Cantidad</t>
  </si>
  <si>
    <t>Costo</t>
  </si>
  <si>
    <t>Elaborador por:</t>
  </si>
  <si>
    <t>Autorizado por:</t>
  </si>
  <si>
    <t>Suma de COSTO_MO</t>
  </si>
  <si>
    <t>Suma de COSTO_INSUMOS</t>
  </si>
  <si>
    <t>Cuenta de REALIZADO</t>
  </si>
  <si>
    <t>RECIBO</t>
  </si>
  <si>
    <t>SECAMIENTO</t>
  </si>
  <si>
    <t>PICADO</t>
  </si>
  <si>
    <t>ALMACENAMIENTO MATERIA PRIMA</t>
  </si>
  <si>
    <t>ALMACENAMIENTO DE PICADURA</t>
  </si>
  <si>
    <t>EMPAQUETADO</t>
  </si>
  <si>
    <t>HORNO GARDAI</t>
  </si>
  <si>
    <t>ARENCO</t>
  </si>
  <si>
    <t>ALEMANIA</t>
  </si>
  <si>
    <t>Licenciada</t>
  </si>
  <si>
    <t>Gregorio</t>
  </si>
  <si>
    <t>Gonzalo A.</t>
  </si>
  <si>
    <t>Manuel</t>
  </si>
  <si>
    <t>Gonzalo A</t>
  </si>
  <si>
    <t>Dairon</t>
  </si>
  <si>
    <t>Destierradora</t>
  </si>
  <si>
    <t>Arenco</t>
  </si>
  <si>
    <t>Alemania</t>
  </si>
  <si>
    <t>Dora-01</t>
  </si>
  <si>
    <t>C:\Users\gonzalo\Desktop\Gato Negro\4.jpg</t>
  </si>
  <si>
    <t>Humecteadora</t>
  </si>
  <si>
    <t>HUM001</t>
  </si>
  <si>
    <t>C:\Users\gonzalo\Desktop\Gato Negro\5.jpg</t>
  </si>
  <si>
    <t>Don Gonzalo</t>
  </si>
  <si>
    <t>Gonzalito</t>
  </si>
  <si>
    <t>VERDADERO</t>
  </si>
  <si>
    <t>Rolleros</t>
  </si>
  <si>
    <t>Enrolladora</t>
  </si>
  <si>
    <t>ENR-001</t>
  </si>
  <si>
    <t>C:\Users\gonzalo\Desktop\Gato Negro\6.jpg</t>
  </si>
  <si>
    <t>ENR-002</t>
  </si>
  <si>
    <t>Aun no esta funcional</t>
  </si>
  <si>
    <t>C:\Users\gonzalo\Desktop\Gato Negro\7.jpg</t>
  </si>
  <si>
    <t>ENR-003</t>
  </si>
  <si>
    <t>No estan en funcionamiento</t>
  </si>
  <si>
    <t>C:\Users\gonzalo\Desktop\Gato Negro\8.jpg</t>
  </si>
  <si>
    <t>ENR-004</t>
  </si>
  <si>
    <t>No estan funcional</t>
  </si>
  <si>
    <t>C:\Users\gonzalo\Desktop\Gato Negro\9.jpg</t>
  </si>
  <si>
    <t>Picadora</t>
  </si>
  <si>
    <t>PIC-001</t>
  </si>
  <si>
    <t>Vanda Transportadora</t>
  </si>
  <si>
    <t>Transportadora</t>
  </si>
  <si>
    <t>VAN-001</t>
  </si>
  <si>
    <t>´Picadora</t>
  </si>
  <si>
    <t>PIC-002</t>
  </si>
  <si>
    <t>Maquinaria guardada</t>
  </si>
  <si>
    <t>C:\Users\gonzalo\Desktop\Gato Negro\10.jpg</t>
  </si>
  <si>
    <t>Tobacco Feed</t>
  </si>
  <si>
    <t>TOB-001</t>
  </si>
  <si>
    <t>Se estan haciendo pruebas para, ponerla a funcionar.</t>
  </si>
  <si>
    <t>C:\Users\gonzalo\Desktop\Gato Negro\11.jpg</t>
  </si>
  <si>
    <t>Aromador</t>
  </si>
  <si>
    <t xml:space="preserve">Alemania </t>
  </si>
  <si>
    <t>ARO-001</t>
  </si>
  <si>
    <t>Se han hecho pruebas para sacar tabacos con sabor</t>
  </si>
  <si>
    <t>C:\Users\gonzalo\Desktop\Gato Negro\12.jpg</t>
  </si>
  <si>
    <t>Secador</t>
  </si>
  <si>
    <t>Estamos haciendo pruebas paara la fabricacion de tabaco con sabores</t>
  </si>
  <si>
    <t>C:\Users\gonzalo\Desktop\Gato Negro\13.jpg</t>
  </si>
  <si>
    <t>SEC-001</t>
  </si>
  <si>
    <t>SE-HG-04</t>
  </si>
  <si>
    <t>Bomba aromador</t>
  </si>
  <si>
    <t>Bomba</t>
  </si>
  <si>
    <t>BAR-001</t>
  </si>
  <si>
    <t>Cigarre Machine</t>
  </si>
  <si>
    <t>Cigarre</t>
  </si>
  <si>
    <t>CIG-001</t>
  </si>
  <si>
    <t>Mantenimiento</t>
  </si>
  <si>
    <t>C:\Users\gonzalo\Desktop\Gato Negro\bomba.jpg</t>
  </si>
  <si>
    <t>Compresor</t>
  </si>
  <si>
    <t>alemania</t>
  </si>
  <si>
    <t>COM-001</t>
  </si>
  <si>
    <t>Limpieza</t>
  </si>
  <si>
    <t>Afiladora</t>
  </si>
  <si>
    <t>AFI-001</t>
  </si>
  <si>
    <t>Esta en mantenimiento</t>
  </si>
  <si>
    <t>FALSO</t>
  </si>
  <si>
    <t>08:38 am</t>
  </si>
  <si>
    <t>Limpieza, engrasado y cambio de piezas desgastadas</t>
  </si>
  <si>
    <t>09:08 am</t>
  </si>
  <si>
    <t>Limpieza, se ajusto el quemador, cambio a analogo, se puso una sonda al pirometro</t>
  </si>
  <si>
    <t>09:13 am</t>
  </si>
  <si>
    <t>Limpienza y engrazado</t>
  </si>
  <si>
    <t>09:17 am</t>
  </si>
  <si>
    <t>Limpieza, engrasado, automatizacion</t>
  </si>
  <si>
    <t>Aun estan en mantenimiento</t>
  </si>
  <si>
    <t>29/02/2025</t>
  </si>
  <si>
    <t>09:49 am</t>
  </si>
  <si>
    <t>Ventilador</t>
  </si>
  <si>
    <t>Telemecanique</t>
  </si>
  <si>
    <t>VEN-001</t>
  </si>
  <si>
    <t>Horno picanza</t>
  </si>
  <si>
    <t>Caldera</t>
  </si>
  <si>
    <t>Licenciada M</t>
  </si>
  <si>
    <t>Licenciada D</t>
  </si>
  <si>
    <t>Deposito</t>
  </si>
  <si>
    <t>Trapichera</t>
  </si>
  <si>
    <t>Trapiche</t>
  </si>
  <si>
    <t>TRA-001</t>
  </si>
  <si>
    <t>Funcional</t>
  </si>
  <si>
    <t>no estan funcionando</t>
  </si>
  <si>
    <t>C:\Users\gonzalo\Desktop\Gato Negro\compresor.jpg</t>
  </si>
  <si>
    <t>07:04 AM</t>
  </si>
  <si>
    <t>Limpieza y engrase</t>
  </si>
  <si>
    <t>Hace bastante no se le hacia el mantenimiento debido</t>
  </si>
  <si>
    <t>C:\Users\gonzalo\Desktop\Gato Negro\afiladora.jpg</t>
  </si>
  <si>
    <t>C:\Users\gonzalo\Desktop\Gato Negro\ventilador.jpg</t>
  </si>
  <si>
    <t>C:\Users\gonzalo\Desktop\Gato Negro\21.jpg</t>
  </si>
  <si>
    <t xml:space="preserve">Planta </t>
  </si>
  <si>
    <t>Su uso es relativo, ya que depende de si se va o no la luz diariamente</t>
  </si>
  <si>
    <t>08:28 am</t>
  </si>
  <si>
    <t>Se hizo limpieza, cambio de aceite y filtros</t>
  </si>
  <si>
    <t>grasa</t>
  </si>
  <si>
    <t>Gasoi</t>
  </si>
  <si>
    <t>Gasolina</t>
  </si>
  <si>
    <t>pintura</t>
  </si>
  <si>
    <t>AC83</t>
  </si>
  <si>
    <t>AOSIF</t>
  </si>
  <si>
    <t>Se realizo una limpieza general, cambio de aceite, filtros de combustible, filtros de aceite</t>
  </si>
  <si>
    <t xml:space="preserve">FABRICA DE TABACOS GATO NEGRO 
RIF. V- 06676738-4  GONZALO JAIMES BASTOS 
CARRERA 14 CASA N° 13-47 SECTOR PINTO SALINAS 
SAN ANTONIO ESTADO TACHIRA </t>
  </si>
  <si>
    <t>Licendiada Omaira</t>
  </si>
  <si>
    <t>Galpon nuevo</t>
  </si>
  <si>
    <t>Chevrolet</t>
  </si>
  <si>
    <t>NPR</t>
  </si>
  <si>
    <t>Venezuela</t>
  </si>
  <si>
    <t>A81BIOS</t>
  </si>
  <si>
    <t>08:56 am</t>
  </si>
  <si>
    <t>CHEVROLET</t>
  </si>
  <si>
    <t>Arreglo de luces</t>
  </si>
  <si>
    <t>Gonzalo J</t>
  </si>
  <si>
    <t>Gonzalo J.</t>
  </si>
  <si>
    <t xml:space="preserve">Fue un arreglo correctivo </t>
  </si>
  <si>
    <t>Pacho Electricista</t>
  </si>
  <si>
    <t>AF4AL6A</t>
  </si>
  <si>
    <t>A32CEOA</t>
  </si>
  <si>
    <t>FORT1721</t>
  </si>
  <si>
    <t>FORT</t>
  </si>
  <si>
    <t>A33AB8G</t>
  </si>
  <si>
    <t>C:\Users\gonzalo\Desktop\Gato Negro\Imagen4.jpg</t>
  </si>
  <si>
    <t>ENR-005</t>
  </si>
  <si>
    <t>No funcional</t>
  </si>
  <si>
    <t>C:\Users\gonzalo\Desktop\Gato Negro\26.jpg</t>
  </si>
  <si>
    <t>ENR-006</t>
  </si>
  <si>
    <t>C:\Users\gonzalo\Desktop\Gato Negro\27.jpg</t>
  </si>
  <si>
    <t>Enrolladora-1</t>
  </si>
  <si>
    <t>Enrolladora-2</t>
  </si>
  <si>
    <t>Enrolladora-3</t>
  </si>
  <si>
    <t>Enrolladora-4</t>
  </si>
  <si>
    <t>Enrolladora-5</t>
  </si>
  <si>
    <t>Enrolladora-6</t>
  </si>
  <si>
    <t>C:\Users\gonzalo\Desktop\Gato Negro\hor.jpg</t>
  </si>
  <si>
    <t>C:\Users\gonzalo\Desktop\Gato Negro\cigarrete.jpg</t>
  </si>
  <si>
    <t>Clasificadora de picadura</t>
  </si>
  <si>
    <t>CLA-001</t>
  </si>
  <si>
    <t>Guardada</t>
  </si>
  <si>
    <t>C:\Users\gonzalo\Desktop\Gato Negro\28.jpg</t>
  </si>
  <si>
    <t>Saranda</t>
  </si>
  <si>
    <t>C:\Users\gonzalo\Desktop\Gato Negro\29.jpg</t>
  </si>
  <si>
    <t>ROLLEROS</t>
  </si>
  <si>
    <t>DEPOSITO</t>
  </si>
  <si>
    <t>GALPON NUEVO</t>
  </si>
  <si>
    <t>Arranque</t>
  </si>
  <si>
    <t>IDAD</t>
  </si>
  <si>
    <t>Camion 1721</t>
  </si>
  <si>
    <t>Camion 2005</t>
  </si>
  <si>
    <t>Camion 2008</t>
  </si>
  <si>
    <t>Camion 2009</t>
  </si>
  <si>
    <t>01:09 pm</t>
  </si>
  <si>
    <t>Cambio de aceite</t>
  </si>
  <si>
    <t>Carlos</t>
  </si>
  <si>
    <t>09:39 am</t>
  </si>
  <si>
    <t xml:space="preserve">Pacho Electricista </t>
  </si>
  <si>
    <t>Ingeniero Dairon</t>
  </si>
  <si>
    <t>Ingeniero Roberto</t>
  </si>
  <si>
    <t>Mecanico Manuel</t>
  </si>
  <si>
    <t>Revision de maniqui esta defectuoso</t>
  </si>
  <si>
    <t>portafusible y fusible, bombillo media cajon led, swiches led media y cajon, dos relays</t>
  </si>
  <si>
    <t>CORRECTIVO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</si>
</sst>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8"/>
      <color theme="0"/>
      <name val="Berlin Sans FB Demi"/>
      <family val="2"/>
    </font>
    <font>
      <b/>
      <sz val="11"/>
      <color theme="1"/>
      <name val="Century Gothic"/>
      <family val="2"/>
    </font>
    <font>
      <b/>
      <u/>
      <sz val="11"/>
      <color theme="1"/>
      <name val="Century Gothic"/>
      <family val="2"/>
    </font>
    <font>
      <sz val="36"/>
      <color theme="0"/>
      <name val="Berlin Sans FB Demi"/>
      <family val="2"/>
    </font>
    <font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</cellStyleXfs>
  <cellXfs count="73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4" fillId="3" borderId="0" xfId="0" applyFont="1" applyFill="1"/>
    <xf numFmtId="0" fontId="4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top" textRotation="90"/>
    </xf>
    <xf numFmtId="14" fontId="7" fillId="4" borderId="0" xfId="0" applyNumberFormat="1" applyFont="1" applyFill="1"/>
    <xf numFmtId="14" fontId="8" fillId="5" borderId="0" xfId="0" applyNumberFormat="1" applyFont="1" applyFill="1" applyAlignment="1">
      <alignment horizontal="center" vertical="center" wrapText="1"/>
    </xf>
    <xf numFmtId="14" fontId="7" fillId="0" borderId="0" xfId="0" applyNumberFormat="1" applyFont="1"/>
    <xf numFmtId="14" fontId="9" fillId="4" borderId="0" xfId="0" applyNumberFormat="1" applyFont="1" applyFill="1"/>
    <xf numFmtId="14" fontId="10" fillId="5" borderId="0" xfId="0" applyNumberFormat="1" applyFont="1" applyFill="1" applyAlignment="1">
      <alignment horizontal="center" vertical="center" wrapText="1"/>
    </xf>
    <xf numFmtId="14" fontId="9" fillId="0" borderId="0" xfId="0" applyNumberFormat="1" applyFont="1"/>
    <xf numFmtId="0" fontId="0" fillId="4" borderId="0" xfId="0" applyFill="1"/>
    <xf numFmtId="165" fontId="0" fillId="4" borderId="0" xfId="3" applyFont="1" applyFill="1"/>
    <xf numFmtId="165" fontId="0" fillId="0" borderId="0" xfId="3" applyFont="1"/>
    <xf numFmtId="14" fontId="0" fillId="0" borderId="0" xfId="0" applyNumberFormat="1"/>
    <xf numFmtId="0" fontId="0" fillId="7" borderId="0" xfId="0" applyFill="1"/>
    <xf numFmtId="0" fontId="0" fillId="10" borderId="0" xfId="0" applyFill="1"/>
    <xf numFmtId="0" fontId="12" fillId="10" borderId="0" xfId="0" applyFont="1" applyFill="1"/>
    <xf numFmtId="0" fontId="13" fillId="10" borderId="0" xfId="0" applyFont="1" applyFill="1"/>
    <xf numFmtId="0" fontId="12" fillId="10" borderId="16" xfId="0" applyFont="1" applyFill="1" applyBorder="1" applyAlignment="1">
      <alignment horizontal="center"/>
    </xf>
    <xf numFmtId="0" fontId="12" fillId="10" borderId="1" xfId="0" applyFont="1" applyFill="1" applyBorder="1"/>
    <xf numFmtId="0" fontId="12" fillId="11" borderId="0" xfId="0" applyFont="1" applyFill="1"/>
    <xf numFmtId="0" fontId="12" fillId="11" borderId="0" xfId="0" applyFont="1" applyFill="1" applyAlignment="1">
      <alignment horizontal="right"/>
    </xf>
    <xf numFmtId="165" fontId="0" fillId="0" borderId="0" xfId="0" applyNumberFormat="1"/>
    <xf numFmtId="1" fontId="0" fillId="0" borderId="0" xfId="0" applyNumberFormat="1"/>
    <xf numFmtId="165" fontId="15" fillId="0" borderId="0" xfId="3" applyFont="1"/>
    <xf numFmtId="14" fontId="0" fillId="0" borderId="0" xfId="0" applyNumberFormat="1" applyAlignment="1">
      <alignment horizontal="left"/>
    </xf>
    <xf numFmtId="0" fontId="14" fillId="9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12" fillId="10" borderId="1" xfId="0" applyFont="1" applyFill="1" applyBorder="1" applyAlignment="1">
      <alignment horizontal="center"/>
    </xf>
    <xf numFmtId="22" fontId="12" fillId="10" borderId="1" xfId="0" applyNumberFormat="1" applyFont="1" applyFill="1" applyBorder="1" applyAlignment="1">
      <alignment horizontal="center"/>
    </xf>
    <xf numFmtId="165" fontId="12" fillId="11" borderId="0" xfId="3" applyFont="1" applyFill="1" applyBorder="1" applyAlignment="1">
      <alignment horizontal="center"/>
    </xf>
    <xf numFmtId="0" fontId="12" fillId="10" borderId="0" xfId="0" applyFont="1" applyFill="1" applyAlignment="1">
      <alignment horizontal="center"/>
    </xf>
    <xf numFmtId="164" fontId="12" fillId="11" borderId="0" xfId="3" applyNumberFormat="1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8" borderId="17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 wrapText="1"/>
    </xf>
    <xf numFmtId="0" fontId="12" fillId="10" borderId="3" xfId="0" applyFont="1" applyFill="1" applyBorder="1" applyAlignment="1">
      <alignment horizontal="center"/>
    </xf>
    <xf numFmtId="0" fontId="12" fillId="10" borderId="4" xfId="0" applyFont="1" applyFill="1" applyBorder="1" applyAlignment="1">
      <alignment horizontal="center"/>
    </xf>
    <xf numFmtId="22" fontId="12" fillId="10" borderId="2" xfId="0" applyNumberFormat="1" applyFont="1" applyFill="1" applyBorder="1" applyAlignment="1">
      <alignment horizontal="center"/>
    </xf>
    <xf numFmtId="22" fontId="12" fillId="10" borderId="3" xfId="0" applyNumberFormat="1" applyFont="1" applyFill="1" applyBorder="1" applyAlignment="1">
      <alignment horizontal="center"/>
    </xf>
    <xf numFmtId="22" fontId="12" fillId="10" borderId="4" xfId="0" applyNumberFormat="1" applyFont="1" applyFill="1" applyBorder="1" applyAlignment="1">
      <alignment horizontal="center"/>
    </xf>
    <xf numFmtId="165" fontId="12" fillId="10" borderId="3" xfId="3" applyFont="1" applyFill="1" applyBorder="1" applyAlignment="1">
      <alignment horizontal="center"/>
    </xf>
    <xf numFmtId="165" fontId="12" fillId="10" borderId="4" xfId="3" applyFont="1" applyFill="1" applyBorder="1" applyAlignment="1">
      <alignment horizontal="center"/>
    </xf>
    <xf numFmtId="0" fontId="12" fillId="10" borderId="13" xfId="0" applyFont="1" applyFill="1" applyBorder="1" applyAlignment="1">
      <alignment horizontal="center"/>
    </xf>
    <xf numFmtId="0" fontId="12" fillId="10" borderId="14" xfId="0" applyFont="1" applyFill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22" fontId="12" fillId="10" borderId="13" xfId="0" applyNumberFormat="1" applyFont="1" applyFill="1" applyBorder="1" applyAlignment="1">
      <alignment horizontal="center"/>
    </xf>
    <xf numFmtId="22" fontId="12" fillId="10" borderId="14" xfId="0" applyNumberFormat="1" applyFont="1" applyFill="1" applyBorder="1" applyAlignment="1">
      <alignment horizontal="center"/>
    </xf>
    <xf numFmtId="22" fontId="12" fillId="10" borderId="15" xfId="0" applyNumberFormat="1" applyFont="1" applyFill="1" applyBorder="1" applyAlignment="1">
      <alignment horizontal="center"/>
    </xf>
    <xf numFmtId="2" fontId="12" fillId="10" borderId="13" xfId="0" applyNumberFormat="1" applyFont="1" applyFill="1" applyBorder="1" applyAlignment="1">
      <alignment horizontal="center"/>
    </xf>
    <xf numFmtId="2" fontId="12" fillId="10" borderId="14" xfId="0" applyNumberFormat="1" applyFont="1" applyFill="1" applyBorder="1" applyAlignment="1">
      <alignment horizontal="center"/>
    </xf>
    <xf numFmtId="2" fontId="12" fillId="10" borderId="15" xfId="0" applyNumberFormat="1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2" fillId="8" borderId="12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/>
    </xf>
    <xf numFmtId="0" fontId="12" fillId="10" borderId="5" xfId="0" applyFont="1" applyFill="1" applyBorder="1" applyAlignment="1">
      <alignment horizontal="center"/>
    </xf>
    <xf numFmtId="0" fontId="12" fillId="10" borderId="2" xfId="0" applyFont="1" applyFill="1" applyBorder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0" fillId="0" borderId="0" xfId="0" applyNumberFormat="1"/>
  </cellXfs>
  <cellStyles count="4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m/d/yyyy"/>
    </dxf>
    <dxf>
      <numFmt numFmtId="166" formatCode="m/d/yyyy"/>
    </dxf>
    <dxf>
      <numFmt numFmtId="166" formatCode="m/d/yyyy"/>
    </dxf>
    <dxf>
      <fill>
        <patternFill patternType="lightUp"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MTTR (MEAN TIME TO REPAIR) MINUTOS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GD!$G$7:$G$8</c:f>
              <c:strCache>
                <c:ptCount val="1"/>
                <c:pt idx="0">
                  <c:v>Camion 2005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GD!$F$9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GD!$G$9</c:f>
              <c:numCache>
                <c:formatCode>0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C-4AED-8B46-BF4FC2E332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0139647"/>
        <c:axId val="380140063"/>
      </c:barChart>
      <c:catAx>
        <c:axId val="38013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MÁQUINA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40063"/>
        <c:crosses val="autoZero"/>
        <c:auto val="1"/>
        <c:lblAlgn val="ctr"/>
        <c:lblOffset val="100"/>
        <c:noMultiLvlLbl val="0"/>
      </c:catAx>
      <c:valAx>
        <c:axId val="38014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MINUTOS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3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 Mantenimiento MO por fecha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GD!$L$5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GD!$K$6:$K$19</c:f>
              <c:strCache>
                <c:ptCount val="13"/>
                <c:pt idx="0">
                  <c:v>19/03/2024</c:v>
                </c:pt>
                <c:pt idx="1">
                  <c:v>11/05/2024</c:v>
                </c:pt>
                <c:pt idx="2">
                  <c:v>17/05/2024</c:v>
                </c:pt>
                <c:pt idx="3">
                  <c:v>01/06/2024</c:v>
                </c:pt>
                <c:pt idx="4">
                  <c:v>17/06/2024</c:v>
                </c:pt>
                <c:pt idx="5">
                  <c:v>22/06/2024</c:v>
                </c:pt>
                <c:pt idx="6">
                  <c:v>24/06/2024</c:v>
                </c:pt>
                <c:pt idx="7">
                  <c:v>28/06/2024</c:v>
                </c:pt>
                <c:pt idx="8">
                  <c:v>01/07/2024</c:v>
                </c:pt>
                <c:pt idx="9">
                  <c:v>13/07/2024</c:v>
                </c:pt>
                <c:pt idx="10">
                  <c:v>15/08/2024</c:v>
                </c:pt>
                <c:pt idx="11">
                  <c:v>19/09/2024</c:v>
                </c:pt>
                <c:pt idx="12">
                  <c:v>21/12/2024</c:v>
                </c:pt>
              </c:strCache>
            </c:strRef>
          </c:cat>
          <c:val>
            <c:numRef>
              <c:f>GD!$L$6:$L$19</c:f>
              <c:numCache>
                <c:formatCode>_("$"* #,##0.00_);_("$"* \(#,##0.00\);_("$"*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70000</c:v>
                </c:pt>
                <c:pt idx="8">
                  <c:v>150000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8-43E9-8747-310DABAAA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0575"/>
        <c:axId val="20187247"/>
      </c:lineChart>
      <c:catAx>
        <c:axId val="2019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7247"/>
        <c:crosses val="autoZero"/>
        <c:auto val="1"/>
        <c:lblAlgn val="ctr"/>
        <c:lblOffset val="100"/>
        <c:noMultiLvlLbl val="0"/>
      </c:catAx>
      <c:valAx>
        <c:axId val="2018724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9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landscape" horizontalDpi="300" verticalDpi="30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</a:t>
            </a:r>
            <a:r>
              <a:rPr lang="en-US" baseline="0"/>
              <a:t> mantenimiento insumos por fecha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GD!$O$11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GD!$N$12:$N$27</c:f>
              <c:strCache>
                <c:ptCount val="15"/>
                <c:pt idx="0">
                  <c:v>19/03/2024</c:v>
                </c:pt>
                <c:pt idx="1">
                  <c:v>11/05/2024</c:v>
                </c:pt>
                <c:pt idx="2">
                  <c:v>17/05/2024</c:v>
                </c:pt>
                <c:pt idx="3">
                  <c:v>01/06/2024</c:v>
                </c:pt>
                <c:pt idx="4">
                  <c:v>17/06/2024</c:v>
                </c:pt>
                <c:pt idx="5">
                  <c:v>22/06/2024</c:v>
                </c:pt>
                <c:pt idx="6">
                  <c:v>24/06/2024</c:v>
                </c:pt>
                <c:pt idx="7">
                  <c:v>28/06/2024</c:v>
                </c:pt>
                <c:pt idx="8">
                  <c:v>01/07/2024</c:v>
                </c:pt>
                <c:pt idx="9">
                  <c:v>13/07/2024</c:v>
                </c:pt>
                <c:pt idx="10">
                  <c:v>15/08/2024</c:v>
                </c:pt>
                <c:pt idx="11">
                  <c:v>19/09/2024</c:v>
                </c:pt>
                <c:pt idx="12">
                  <c:v>18/12/2024</c:v>
                </c:pt>
                <c:pt idx="13">
                  <c:v>21/12/2024</c:v>
                </c:pt>
                <c:pt idx="14">
                  <c:v>(en blanco)</c:v>
                </c:pt>
              </c:strCache>
            </c:strRef>
          </c:cat>
          <c:val>
            <c:numRef>
              <c:f>GD!$O$12:$O$27</c:f>
              <c:numCache>
                <c:formatCode>_("$"* #,##0.00_);_("$"* \(#,##0.00\);_("$"*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5-4824-9249-9B1457B05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935903"/>
        <c:axId val="2052935487"/>
      </c:lineChart>
      <c:catAx>
        <c:axId val="205293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487"/>
        <c:crosses val="autoZero"/>
        <c:auto val="1"/>
        <c:lblAlgn val="ctr"/>
        <c:lblOffset val="100"/>
        <c:noMultiLvlLbl val="0"/>
      </c:catAx>
      <c:valAx>
        <c:axId val="205293548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MTTR (MEAN TIME TO REPAIR)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GD!$G$7:$G$8</c:f>
              <c:strCache>
                <c:ptCount val="1"/>
                <c:pt idx="0">
                  <c:v>Camion 2005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GD!$F$9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GD!$G$9</c:f>
              <c:numCache>
                <c:formatCode>0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E-4B93-95F9-2A88FD4F3A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80139647"/>
        <c:axId val="380140063"/>
      </c:barChart>
      <c:catAx>
        <c:axId val="38013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MÁQUINA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40063"/>
        <c:crosses val="autoZero"/>
        <c:auto val="1"/>
        <c:lblAlgn val="ctr"/>
        <c:lblOffset val="100"/>
        <c:noMultiLvlLbl val="0"/>
      </c:catAx>
      <c:valAx>
        <c:axId val="38014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MINUTOS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8013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 Mantenimiento MO por fecha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GD!$L$5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GD!$K$6:$K$19</c:f>
              <c:strCache>
                <c:ptCount val="13"/>
                <c:pt idx="0">
                  <c:v>19/03/2024</c:v>
                </c:pt>
                <c:pt idx="1">
                  <c:v>11/05/2024</c:v>
                </c:pt>
                <c:pt idx="2">
                  <c:v>17/05/2024</c:v>
                </c:pt>
                <c:pt idx="3">
                  <c:v>01/06/2024</c:v>
                </c:pt>
                <c:pt idx="4">
                  <c:v>17/06/2024</c:v>
                </c:pt>
                <c:pt idx="5">
                  <c:v>22/06/2024</c:v>
                </c:pt>
                <c:pt idx="6">
                  <c:v>24/06/2024</c:v>
                </c:pt>
                <c:pt idx="7">
                  <c:v>28/06/2024</c:v>
                </c:pt>
                <c:pt idx="8">
                  <c:v>01/07/2024</c:v>
                </c:pt>
                <c:pt idx="9">
                  <c:v>13/07/2024</c:v>
                </c:pt>
                <c:pt idx="10">
                  <c:v>15/08/2024</c:v>
                </c:pt>
                <c:pt idx="11">
                  <c:v>19/09/2024</c:v>
                </c:pt>
                <c:pt idx="12">
                  <c:v>21/12/2024</c:v>
                </c:pt>
              </c:strCache>
            </c:strRef>
          </c:cat>
          <c:val>
            <c:numRef>
              <c:f>GD!$L$6:$L$19</c:f>
              <c:numCache>
                <c:formatCode>_("$"* #,##0.00_);_("$"* \(#,##0.00\);_("$"*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70000</c:v>
                </c:pt>
                <c:pt idx="8">
                  <c:v>150000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B-4E69-A284-868BD3B4E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0575"/>
        <c:axId val="20187247"/>
      </c:lineChart>
      <c:catAx>
        <c:axId val="2019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7247"/>
        <c:crosses val="autoZero"/>
        <c:auto val="1"/>
        <c:lblAlgn val="ctr"/>
        <c:lblOffset val="100"/>
        <c:noMultiLvlLbl val="0"/>
      </c:catAx>
      <c:valAx>
        <c:axId val="2018724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9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landscape" horizontalDpi="300" verticalDpi="30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gato negro.xlsm]GD!TablaDinámica3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Gasto</a:t>
            </a:r>
            <a:r>
              <a:rPr lang="en-US" baseline="0"/>
              <a:t> mantenimiento insumos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GD!$O$11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GD!$N$12:$N$27</c:f>
              <c:strCache>
                <c:ptCount val="15"/>
                <c:pt idx="0">
                  <c:v>19/03/2024</c:v>
                </c:pt>
                <c:pt idx="1">
                  <c:v>11/05/2024</c:v>
                </c:pt>
                <c:pt idx="2">
                  <c:v>17/05/2024</c:v>
                </c:pt>
                <c:pt idx="3">
                  <c:v>01/06/2024</c:v>
                </c:pt>
                <c:pt idx="4">
                  <c:v>17/06/2024</c:v>
                </c:pt>
                <c:pt idx="5">
                  <c:v>22/06/2024</c:v>
                </c:pt>
                <c:pt idx="6">
                  <c:v>24/06/2024</c:v>
                </c:pt>
                <c:pt idx="7">
                  <c:v>28/06/2024</c:v>
                </c:pt>
                <c:pt idx="8">
                  <c:v>01/07/2024</c:v>
                </c:pt>
                <c:pt idx="9">
                  <c:v>13/07/2024</c:v>
                </c:pt>
                <c:pt idx="10">
                  <c:v>15/08/2024</c:v>
                </c:pt>
                <c:pt idx="11">
                  <c:v>19/09/2024</c:v>
                </c:pt>
                <c:pt idx="12">
                  <c:v>18/12/2024</c:v>
                </c:pt>
                <c:pt idx="13">
                  <c:v>21/12/2024</c:v>
                </c:pt>
                <c:pt idx="14">
                  <c:v>(en blanco)</c:v>
                </c:pt>
              </c:strCache>
            </c:strRef>
          </c:cat>
          <c:val>
            <c:numRef>
              <c:f>GD!$O$12:$O$27</c:f>
              <c:numCache>
                <c:formatCode>_("$"* #,##0.00_);_("$"* \(#,##0.00\);_("$"*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8-4C8C-9A24-324AE519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935903"/>
        <c:axId val="2052935487"/>
      </c:lineChart>
      <c:catAx>
        <c:axId val="205293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487"/>
        <c:crosses val="autoZero"/>
        <c:auto val="1"/>
        <c:lblAlgn val="ctr"/>
        <c:lblOffset val="100"/>
        <c:noMultiLvlLbl val="0"/>
      </c:catAx>
      <c:valAx>
        <c:axId val="2052935487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293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13</xdr:row>
      <xdr:rowOff>38100</xdr:rowOff>
    </xdr:from>
    <xdr:to>
      <xdr:col>1</xdr:col>
      <xdr:colOff>704851</xdr:colOff>
      <xdr:row>20</xdr:row>
      <xdr:rowOff>104776</xdr:rowOff>
    </xdr:to>
    <xdr:pic macro="[0]!actualizarDash">
      <xdr:nvPicPr>
        <xdr:cNvPr id="6" name="Imagen 5" descr="https://cdn-icons-png.flaticon.com/512/7335/7335958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086100"/>
          <a:ext cx="1400176" cy="1400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38101</xdr:colOff>
      <xdr:row>0</xdr:row>
      <xdr:rowOff>0</xdr:rowOff>
    </xdr:from>
    <xdr:to>
      <xdr:col>9</xdr:col>
      <xdr:colOff>371475</xdr:colOff>
      <xdr:row>12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847725</xdr:colOff>
      <xdr:row>8</xdr:row>
      <xdr:rowOff>85725</xdr:rowOff>
    </xdr:to>
    <xdr:pic macro="[0]!abrirMantenimientos">
      <xdr:nvPicPr>
        <xdr:cNvPr id="16" name="Imagen 15" descr="Iniciar (icono De Energía) Botón Redondo Brillante Azul Cian Fotos,  Retratos, Imágenes Y Fotografía De Archivo Libres De Derecho. Image  56403120.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09725" cy="160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409576</xdr:colOff>
      <xdr:row>0</xdr:row>
      <xdr:rowOff>19050</xdr:rowOff>
    </xdr:from>
    <xdr:to>
      <xdr:col>16</xdr:col>
      <xdr:colOff>190500</xdr:colOff>
      <xdr:row>12</xdr:row>
      <xdr:rowOff>161925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28574</xdr:colOff>
      <xdr:row>12</xdr:row>
      <xdr:rowOff>180975</xdr:rowOff>
    </xdr:from>
    <xdr:to>
      <xdr:col>16</xdr:col>
      <xdr:colOff>228599</xdr:colOff>
      <xdr:row>22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4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671E14-2E6C-4DE4-98AD-3E0342C4370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6400" cy="1057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66675</xdr:colOff>
      <xdr:row>6</xdr:row>
      <xdr:rowOff>142875</xdr:rowOff>
    </xdr:from>
    <xdr:to>
      <xdr:col>7</xdr:col>
      <xdr:colOff>419100</xdr:colOff>
      <xdr:row>21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161925</xdr:colOff>
      <xdr:row>5</xdr:row>
      <xdr:rowOff>38100</xdr:rowOff>
    </xdr:from>
    <xdr:to>
      <xdr:col>12</xdr:col>
      <xdr:colOff>85725</xdr:colOff>
      <xdr:row>19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zalo Jaimes" refreshedDate="46099.469483333334" createdVersion="6" refreshedVersion="8" minRefreshableVersion="3" recordCount="29" xr:uid="{00000000-000A-0000-FFFF-FFFF00000000}">
  <cacheSource type="worksheet">
    <worksheetSource name="tabla_maquinas"/>
  </cacheSource>
  <cacheFields count="12">
    <cacheField name="ID " numFmtId="0">
      <sharedItems containsString="0" containsBlank="1" containsNumber="1" containsInteger="1" minValue="1" maxValue="28"/>
    </cacheField>
    <cacheField name="MAQUINA" numFmtId="0">
      <sharedItems containsBlank="1" count="38">
        <s v="HORNO GARDAI"/>
        <s v="Destierradora"/>
        <s v="Humecteadora"/>
        <s v="Enrolladora-1"/>
        <s v="Enrolladora-2"/>
        <s v="Enrolladora-3"/>
        <s v="Enrolladora-4"/>
        <s v="Picadora"/>
        <s v="Vanda Transportadora"/>
        <s v="Tobacco Feed"/>
        <s v="Secador"/>
        <s v="Aromador"/>
        <s v="Bomba aromador"/>
        <s v="Cigarre Machine"/>
        <s v="Compresor"/>
        <s v="Afiladora"/>
        <s v="Ventilador"/>
        <s v="Trapichera"/>
        <s v="Planta "/>
        <s v="Camion 2005"/>
        <s v="Camion 2009"/>
        <s v="Camion 1721"/>
        <s v="Camion 2008"/>
        <s v="Enrolladora-5"/>
        <s v="Enrolladora-6"/>
        <s v="Clasificadora de picadura"/>
        <s v="Saranda"/>
        <m/>
        <s v="Camion 3" u="1"/>
        <s v="dd" u="1"/>
        <s v="Camion 2" u="1"/>
        <s v="MAQUINA 2" u="1"/>
        <s v="Torno convencional A" u="1"/>
        <s v="Camion 1" u="1"/>
        <s v="f" u="1"/>
        <s v="MAQUINA 1" u="1"/>
        <s v="Camion 4" u="1"/>
        <s v="Enrolladora" u="1"/>
      </sharedItems>
    </cacheField>
    <cacheField name="MARCA" numFmtId="0">
      <sharedItems containsBlank="1"/>
    </cacheField>
    <cacheField name="MODELO" numFmtId="0">
      <sharedItems containsBlank="1"/>
    </cacheField>
    <cacheField name="FABRICANTE" numFmtId="0">
      <sharedItems containsBlank="1"/>
    </cacheField>
    <cacheField name="CODIGO_SERIE" numFmtId="0">
      <sharedItems containsBlank="1" containsMixedTypes="1" containsNumber="1" containsInteger="1" minValue="2206387505" maxValue="2206387505"/>
    </cacheField>
    <cacheField name="OBSERVACIONES" numFmtId="0">
      <sharedItems containsBlank="1"/>
    </cacheField>
    <cacheField name="FOTOGRAFIA" numFmtId="0">
      <sharedItems containsBlank="1"/>
    </cacheField>
    <cacheField name="MTBF" numFmtId="0">
      <sharedItems containsNonDate="0" containsString="0" containsBlank="1"/>
    </cacheField>
    <cacheField name="MTTR" numFmtId="0">
      <sharedItems containsMixedTypes="1" containsNumber="1" containsInteger="1" minValue="75" maxValue="150"/>
    </cacheField>
    <cacheField name="AREA" numFmtId="0">
      <sharedItems containsBlank="1"/>
    </cacheField>
    <cacheField name="HORAS" numFmtId="0">
      <sharedItems containsString="0" containsBlank="1" containsNumber="1" containsInteger="1" minValue="0" maxValue="6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zalo Jaimes" refreshedDate="46099.469483449073" createdVersion="6" refreshedVersion="8" minRefreshableVersion="3" recordCount="22" xr:uid="{00000000-000A-0000-FFFF-FFFF01000000}">
  <cacheSource type="worksheet">
    <worksheetSource name="tabla_mant"/>
  </cacheSource>
  <cacheFields count="17">
    <cacheField name="ID" numFmtId="0">
      <sharedItems containsString="0" containsBlank="1" containsNumber="1" containsInteger="1" minValue="1" maxValue="21"/>
    </cacheField>
    <cacheField name="MAQUINA" numFmtId="0">
      <sharedItems containsString="0" containsBlank="1" containsNumber="1" containsInteger="1" minValue="2" maxValue="24"/>
    </cacheField>
    <cacheField name="FECHA" numFmtId="14">
      <sharedItems containsNonDate="0" containsDate="1" containsString="0" containsBlank="1" minDate="2023-06-08T00:00:00" maxDate="2024-12-22T00:00:00" count="23">
        <d v="2024-03-19T00:00:00"/>
        <d v="2024-05-11T00:00:00"/>
        <d v="2024-05-17T00:00:00"/>
        <d v="2024-06-01T00:00:00"/>
        <d v="2024-06-17T00:00:00"/>
        <d v="2024-06-22T00:00:00"/>
        <d v="2024-06-24T00:00:00"/>
        <d v="2024-06-28T00:00:00"/>
        <d v="2024-07-13T00:00:00"/>
        <d v="2024-08-15T00:00:00"/>
        <d v="2024-09-19T00:00:00"/>
        <d v="2024-12-21T00:00:00"/>
        <d v="2024-07-01T00:00:00"/>
        <d v="2024-12-18T00:00:00"/>
        <m/>
        <d v="2023-07-10T00:00:00" u="1"/>
        <d v="2023-06-10T00:00:00" u="1"/>
        <d v="2023-06-08T00:00:00" u="1"/>
        <d v="2024-06-27T00:00:00" u="1"/>
        <d v="2024-06-20T00:00:00" u="1"/>
        <d v="2024-10-19T00:00:00" u="1"/>
        <d v="2023-06-09T00:00:00" u="1"/>
        <d v="2024-06-21T00:00:00" u="1"/>
      </sharedItems>
    </cacheField>
    <cacheField name="HORA" numFmtId="0">
      <sharedItems containsBlank="1"/>
    </cacheField>
    <cacheField name="PREVENTIVO_CORRECTIVO" numFmtId="0">
      <sharedItems containsBlank="1"/>
    </cacheField>
    <cacheField name="DESCRIPCION" numFmtId="0">
      <sharedItems containsBlank="1"/>
    </cacheField>
    <cacheField name="RESPONSABLE" numFmtId="0">
      <sharedItems containsBlank="1"/>
    </cacheField>
    <cacheField name="OBSERVACIONES" numFmtId="0">
      <sharedItems containsBlank="1"/>
    </cacheField>
    <cacheField name="REALIZADO" numFmtId="0">
      <sharedItems containsBlank="1" count="3">
        <b v="1"/>
        <b v="0"/>
        <m/>
      </sharedItems>
    </cacheField>
    <cacheField name="TIEMPO DE REPARACIÓN" numFmtId="0">
      <sharedItems containsString="0" containsBlank="1" containsNumber="1" containsInteger="1" minValue="30" maxValue="240"/>
    </cacheField>
    <cacheField name="FECHA_ENTREGA" numFmtId="14">
      <sharedItems containsNonDate="0" containsDate="1" containsString="0" containsBlank="1" minDate="2024-03-20T00:00:00" maxDate="2024-12-22T00:00:00"/>
    </cacheField>
    <cacheField name="DIAS" numFmtId="0">
      <sharedItems containsString="0" containsBlank="1" containsNumber="1" containsInteger="1" minValue="0" maxValue="180"/>
    </cacheField>
    <cacheField name="COSTO_MO" numFmtId="165">
      <sharedItems containsString="0" containsBlank="1" containsNumber="1" containsInteger="1" minValue="0" maxValue="150000"/>
    </cacheField>
    <cacheField name="COSTO_INSUMOS" numFmtId="165">
      <sharedItems containsString="0" containsBlank="1" containsNumber="1" containsInteger="1" minValue="0" maxValue="0"/>
    </cacheField>
    <cacheField name="MAQUINA_NOMBRE" numFmtId="0">
      <sharedItems/>
    </cacheField>
    <cacheField name="HECHO" numFmtId="0">
      <sharedItems containsBlank="1"/>
    </cacheField>
    <cacheField name="AUTORIZAD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"/>
    <x v="0"/>
    <s v="ARENCO"/>
    <s v="Caldera"/>
    <s v="ALEMANIA"/>
    <s v="SE-HG-04"/>
    <s v="Funcional"/>
    <s v="C:\Users\gonzalo\Desktop\Gato Negro\hor.jpg"/>
    <m/>
    <e v="#DIV/0!"/>
    <s v="SECAMIENTO"/>
    <n v="8"/>
  </r>
  <r>
    <n v="2"/>
    <x v="1"/>
    <s v="ARENCO"/>
    <s v="Destierradora"/>
    <s v="ALEMANIA"/>
    <s v="Dora-01"/>
    <s v="Funcional"/>
    <s v="C:\Users\gonzalo\Desktop\Gato Negro\4.jpg"/>
    <m/>
    <n v="120"/>
    <s v="PICADO"/>
    <n v="8"/>
  </r>
  <r>
    <n v="3"/>
    <x v="2"/>
    <s v="ARENCO"/>
    <s v="Horno picanza"/>
    <s v="ALEMANIA"/>
    <s v="HUM001"/>
    <s v="Funcional"/>
    <s v="C:\Users\gonzalo\Desktop\Gato Negro\5.jpg"/>
    <m/>
    <n v="80"/>
    <s v="PICADO"/>
    <n v="8"/>
  </r>
  <r>
    <n v="4"/>
    <x v="3"/>
    <s v="ARENCO"/>
    <s v="Enrolladora"/>
    <s v="ALEMANIA"/>
    <s v="ENR-001"/>
    <s v="no estan funcionando"/>
    <s v="C:\Users\gonzalo\Desktop\Gato Negro\6.jpg"/>
    <m/>
    <n v="120"/>
    <s v="Rolleros"/>
    <n v="8"/>
  </r>
  <r>
    <n v="5"/>
    <x v="4"/>
    <s v="ARENCO"/>
    <s v="Enrolladora"/>
    <s v="ALEMANIA"/>
    <s v="ENR-002"/>
    <s v="Aun no esta funcional"/>
    <s v="C:\Users\gonzalo\Desktop\Gato Negro\7.jpg"/>
    <m/>
    <e v="#DIV/0!"/>
    <s v="Rolleros"/>
    <n v="8"/>
  </r>
  <r>
    <n v="6"/>
    <x v="5"/>
    <s v="ARENCO"/>
    <s v="Enrolladora"/>
    <s v="ALEMANIA"/>
    <s v="ENR-003"/>
    <s v="No estan en funcionamiento"/>
    <s v="C:\Users\gonzalo\Desktop\Gato Negro\7.jpg"/>
    <m/>
    <e v="#DIV/0!"/>
    <s v="Rolleros"/>
    <n v="8"/>
  </r>
  <r>
    <n v="7"/>
    <x v="6"/>
    <s v="ARENCO"/>
    <s v="Enrolladora"/>
    <s v="ALEMANIA"/>
    <s v="ENR-004"/>
    <s v="No estan funcional"/>
    <s v="C:\Users\gonzalo\Desktop\Gato Negro\Imagen4.jpg"/>
    <m/>
    <e v="#DIV/0!"/>
    <s v="Rolleros"/>
    <n v="8"/>
  </r>
  <r>
    <n v="8"/>
    <x v="7"/>
    <s v="ARENCO"/>
    <s v="Picadora"/>
    <s v="ALEMANIA"/>
    <s v="PIC-001"/>
    <s v="Funcional"/>
    <s v="C:\Users\gonzalo\Desktop\Gato Negro\8.jpg"/>
    <m/>
    <n v="100"/>
    <s v="PICADO"/>
    <n v="8"/>
  </r>
  <r>
    <n v="9"/>
    <x v="8"/>
    <s v="ARENCO"/>
    <s v="Transportadora"/>
    <s v="ALEMANIA"/>
    <s v="VAN-001"/>
    <s v="Funcional"/>
    <s v="C:\Users\gonzalo\Desktop\Gato Negro\9.jpg"/>
    <m/>
    <n v="100"/>
    <s v="PICADO"/>
    <n v="8"/>
  </r>
  <r>
    <n v="10"/>
    <x v="7"/>
    <s v="ARENCO"/>
    <s v="´Picadora"/>
    <s v="ALEMANIA"/>
    <s v="PIC-002"/>
    <s v="Maquinaria guardada"/>
    <s v="C:\Users\gonzalo\Desktop\Gato Negro\10.jpg"/>
    <m/>
    <e v="#DIV/0!"/>
    <s v="SECAMIENTO"/>
    <n v="8"/>
  </r>
  <r>
    <n v="11"/>
    <x v="9"/>
    <m/>
    <s v="Tobacco Feed"/>
    <s v="ALEMANIA"/>
    <s v="TOB-001"/>
    <s v="Se estan haciendo pruebas para, ponerla a funcionar."/>
    <s v="C:\Users\gonzalo\Desktop\Gato Negro\11.jpg"/>
    <m/>
    <e v="#DIV/0!"/>
    <s v="SECAMIENTO"/>
    <n v="8"/>
  </r>
  <r>
    <n v="12"/>
    <x v="10"/>
    <s v="ARENCO"/>
    <s v="Aromador"/>
    <s v="Alemania "/>
    <s v="SEC-001"/>
    <s v="Se han hecho pruebas para sacar tabacos con sabor"/>
    <s v="C:\Users\gonzalo\Desktop\Gato Negro\12.jpg"/>
    <m/>
    <n v="120"/>
    <s v="SECAMIENTO"/>
    <n v="8"/>
  </r>
  <r>
    <n v="13"/>
    <x v="11"/>
    <s v="ARENCO"/>
    <s v="Aromador"/>
    <s v="ALEMANIA"/>
    <s v="ARO-001"/>
    <s v="Estamos haciendo pruebas paara la fabricacion de tabaco con sabores"/>
    <s v="C:\Users\gonzalo\Desktop\Gato Negro\13.jpg"/>
    <m/>
    <e v="#DIV/0!"/>
    <s v="SECAMIENTO"/>
    <n v="8"/>
  </r>
  <r>
    <n v="14"/>
    <x v="12"/>
    <s v="ARENCO"/>
    <s v="Bomba"/>
    <m/>
    <s v="BAR-001"/>
    <s v="Funcional"/>
    <s v="C:\Users\gonzalo\Desktop\Gato Negro\bomba.jpg"/>
    <m/>
    <e v="#DIV/0!"/>
    <s v="SECAMIENTO"/>
    <n v="8"/>
  </r>
  <r>
    <n v="15"/>
    <x v="13"/>
    <s v="Cigarre"/>
    <m/>
    <s v="ALEMANIA"/>
    <s v="CIG-001"/>
    <s v="Mantenimiento"/>
    <s v="C:\Users\gonzalo\Desktop\Gato Negro\cigarrete.jpg"/>
    <m/>
    <e v="#DIV/0!"/>
    <s v="SECAMIENTO"/>
    <n v="8"/>
  </r>
  <r>
    <n v="16"/>
    <x v="14"/>
    <m/>
    <m/>
    <s v="ALEMANIA"/>
    <s v="COM-001"/>
    <s v="Funcional"/>
    <s v="C:\Users\gonzalo\Desktop\Gato Negro\compresor.jpg"/>
    <m/>
    <n v="75"/>
    <s v="PICADO"/>
    <n v="8"/>
  </r>
  <r>
    <n v="17"/>
    <x v="15"/>
    <m/>
    <s v="Afiladora"/>
    <m/>
    <s v="AFI-001"/>
    <s v="Esta en mantenimiento"/>
    <s v="C:\Users\gonzalo\Desktop\Gato Negro\afiladora.jpg"/>
    <m/>
    <e v="#DIV/0!"/>
    <m/>
    <n v="8"/>
  </r>
  <r>
    <n v="18"/>
    <x v="16"/>
    <s v="Telemecanique"/>
    <m/>
    <m/>
    <s v="VEN-001"/>
    <s v="Funcional"/>
    <s v="C:\Users\gonzalo\Desktop\Gato Negro\ventilador.jpg"/>
    <m/>
    <e v="#DIV/0!"/>
    <s v="SECAMIENTO"/>
    <n v="8"/>
  </r>
  <r>
    <n v="19"/>
    <x v="17"/>
    <m/>
    <s v="Trapiche"/>
    <m/>
    <s v="TRA-001"/>
    <s v="Funcional"/>
    <m/>
    <m/>
    <e v="#DIV/0!"/>
    <s v="Deposito"/>
    <n v="8"/>
  </r>
  <r>
    <n v="20"/>
    <x v="18"/>
    <s v="AOSIF"/>
    <s v="AC83"/>
    <m/>
    <n v="2206387505"/>
    <s v="Su uso es relativo, ya que depende de si se va o no la luz diariamente"/>
    <s v="C:\Users\gonzalo\Desktop\Gato Negro\21.jpg"/>
    <m/>
    <n v="90"/>
    <s v="SECAMIENTO"/>
    <n v="8"/>
  </r>
  <r>
    <n v="21"/>
    <x v="19"/>
    <s v="CHEVROLET"/>
    <s v="NPR"/>
    <s v="Venezuela"/>
    <s v="A81BIOS"/>
    <s v="Funcional"/>
    <m/>
    <m/>
    <n v="150"/>
    <s v="Galpon nuevo"/>
    <n v="60"/>
  </r>
  <r>
    <n v="22"/>
    <x v="20"/>
    <s v="CHEVROLET"/>
    <s v="NPR"/>
    <s v="Venezuela"/>
    <s v="AF4AL6A"/>
    <s v="Funcional"/>
    <m/>
    <m/>
    <e v="#DIV/0!"/>
    <s v="Galpon nuevo"/>
    <n v="8"/>
  </r>
  <r>
    <n v="23"/>
    <x v="21"/>
    <s v="FORT"/>
    <s v="FORT1721"/>
    <s v="Venezuela"/>
    <s v="A32CEOA"/>
    <s v="Funcional"/>
    <m/>
    <m/>
    <e v="#DIV/0!"/>
    <s v="Galpon nuevo"/>
    <n v="8"/>
  </r>
  <r>
    <n v="24"/>
    <x v="22"/>
    <s v="CHEVROLET"/>
    <s v="NPR"/>
    <s v="Venezuela"/>
    <s v="A33AB8G"/>
    <s v="Funcional"/>
    <m/>
    <m/>
    <n v="120"/>
    <s v="Galpon nuevo"/>
    <n v="8"/>
  </r>
  <r>
    <n v="25"/>
    <x v="23"/>
    <s v="ARENCO"/>
    <s v="Enrolladora"/>
    <s v="ALEMANIA"/>
    <s v="ENR-005"/>
    <s v="No funcional"/>
    <s v="C:\Users\gonzalo\Desktop\Gato Negro\26.jpg"/>
    <m/>
    <e v="#DIV/0!"/>
    <s v="Rolleros"/>
    <n v="8"/>
  </r>
  <r>
    <n v="26"/>
    <x v="24"/>
    <s v="ARENCO"/>
    <s v="Enrolladora"/>
    <s v="ALEMANIA"/>
    <s v="ENR-006"/>
    <s v="No funcional"/>
    <s v="C:\Users\gonzalo\Desktop\Gato Negro\27.jpg"/>
    <m/>
    <e v="#DIV/0!"/>
    <s v="Rolleros"/>
    <n v="8"/>
  </r>
  <r>
    <n v="27"/>
    <x v="25"/>
    <s v="ARENCO"/>
    <m/>
    <s v="ALEMANIA"/>
    <s v="CLA-001"/>
    <s v="Guardada"/>
    <s v="C:\Users\gonzalo\Desktop\Gato Negro\28.jpg"/>
    <m/>
    <e v="#DIV/0!"/>
    <s v="SECAMIENTO"/>
    <n v="8"/>
  </r>
  <r>
    <n v="28"/>
    <x v="26"/>
    <s v="ARENCO"/>
    <m/>
    <m/>
    <m/>
    <s v="Guardada"/>
    <s v="C:\Users\gonzalo\Desktop\Gato Negro\29.jpg"/>
    <m/>
    <e v="#DIV/0!"/>
    <s v="SECAMIENTO"/>
    <n v="0"/>
  </r>
  <r>
    <m/>
    <x v="27"/>
    <m/>
    <m/>
    <m/>
    <m/>
    <m/>
    <m/>
    <m/>
    <e v="#DIV/0!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n v="1"/>
    <n v="4"/>
    <x v="0"/>
    <s v="09:17 am"/>
    <b v="1"/>
    <s v="Limpieza, engrasado, automatizacion"/>
    <s v="Gonzalo A"/>
    <s v="Aun estan en mantenimiento"/>
    <x v="0"/>
    <n v="60"/>
    <d v="2024-03-20T00:00:00"/>
    <n v="90"/>
    <n v="0"/>
    <n v="0"/>
    <s v="Enrolladora-1"/>
    <s v="Dairon"/>
    <s v="Gonzalo A."/>
  </r>
  <r>
    <n v="2"/>
    <n v="8"/>
    <x v="1"/>
    <s v="08:38 am"/>
    <b v="1"/>
    <s v="Limpieza, engrasado y cambio de piezas desgastadas"/>
    <s v="Don Gonzalo"/>
    <s v="NINGUNA"/>
    <x v="0"/>
    <n v="120"/>
    <d v="2024-05-11T00:00:00"/>
    <n v="21"/>
    <n v="0"/>
    <n v="0"/>
    <s v="Picadora"/>
    <s v="Manuel"/>
    <s v="Gregorio"/>
  </r>
  <r>
    <n v="3"/>
    <n v="3"/>
    <x v="1"/>
    <s v="09:08 am"/>
    <b v="1"/>
    <s v="Limpieza, se ajusto el quemador, cambio a analogo, se puso una sonda al pirometro"/>
    <s v="Don Gonzalo"/>
    <s v="NINGUNA"/>
    <x v="0"/>
    <n v="120"/>
    <d v="2024-05-11T00:00:00"/>
    <n v="21"/>
    <n v="0"/>
    <n v="0"/>
    <s v="Humecteadora"/>
    <s v="Manuel"/>
    <s v="Gregorio"/>
  </r>
  <r>
    <n v="4"/>
    <n v="9"/>
    <x v="1"/>
    <s v="09:13 am"/>
    <b v="1"/>
    <s v="Limpienza y engrazado"/>
    <s v="Don Gonzalo"/>
    <s v="NINGUNA"/>
    <x v="0"/>
    <n v="60"/>
    <d v="2024-05-11T00:00:00"/>
    <n v="21"/>
    <n v="0"/>
    <n v="0"/>
    <s v="Vanda Transportadora"/>
    <s v="Manuel"/>
    <s v="Gregorio"/>
  </r>
  <r>
    <n v="5"/>
    <n v="20"/>
    <x v="2"/>
    <s v="08:28 am"/>
    <b v="1"/>
    <s v="Se hizo limpieza, cambio de aceite y filtros"/>
    <s v="Don Gonzalo"/>
    <s v="NINGUNA"/>
    <x v="0"/>
    <n v="120"/>
    <d v="2024-05-24T00:00:00"/>
    <n v="90"/>
    <n v="0"/>
    <n v="0"/>
    <s v="Planta "/>
    <s v="Manuel"/>
    <s v="Gregorio"/>
  </r>
  <r>
    <n v="6"/>
    <n v="8"/>
    <x v="3"/>
    <s v="08:38 am"/>
    <b v="1"/>
    <s v="Limpieza, engrasado y cambio de piezas desgastadas"/>
    <s v="Don Gonzalo"/>
    <s v="NINGUNA"/>
    <x v="0"/>
    <n v="120"/>
    <d v="2024-06-01T00:00:00"/>
    <n v="21"/>
    <n v="0"/>
    <n v="0"/>
    <s v="Picadora"/>
    <s v="Manuel"/>
    <s v="Gregorio"/>
  </r>
  <r>
    <n v="7"/>
    <n v="3"/>
    <x v="3"/>
    <s v="09:08 am"/>
    <b v="1"/>
    <s v="Limpieza, se ajusto el quemador, cambio a analogo, se puso una sonda al pirometro"/>
    <s v="Don Gonzalo"/>
    <s v="NINGUNA"/>
    <x v="0"/>
    <n v="120"/>
    <d v="2024-06-01T00:00:00"/>
    <n v="21"/>
    <n v="0"/>
    <n v="0"/>
    <s v="Humecteadora"/>
    <s v="Manuel"/>
    <s v="Gregorio"/>
  </r>
  <r>
    <n v="8"/>
    <n v="9"/>
    <x v="3"/>
    <s v="09:13 am"/>
    <b v="1"/>
    <s v="Limpienza y engrazado"/>
    <s v="Don Gonzalo"/>
    <s v="NINGUNA"/>
    <x v="0"/>
    <n v="60"/>
    <d v="2024-06-01T00:00:00"/>
    <n v="21"/>
    <n v="0"/>
    <n v="0"/>
    <s v="Vanda Transportadora"/>
    <s v="Manuel"/>
    <s v="Gregorio"/>
  </r>
  <r>
    <n v="9"/>
    <n v="4"/>
    <x v="4"/>
    <s v="09:17 am"/>
    <b v="1"/>
    <s v="Limpieza, engrasado, automatizacion"/>
    <s v="Don Gonzalo"/>
    <s v="Aun estan en mantenimiento"/>
    <x v="1"/>
    <n v="60"/>
    <d v="2024-06-17T00:00:00"/>
    <n v="90"/>
    <n v="0"/>
    <n v="0"/>
    <s v="Enrolladora-1"/>
    <s v="Dairon"/>
    <s v="Gonzalo A."/>
  </r>
  <r>
    <n v="10"/>
    <n v="3"/>
    <x v="5"/>
    <s v="09:08 am"/>
    <b v="1"/>
    <s v="Limpieza, se ajusto el quemador, cambio a analogo, se puso una sonda al pirometro"/>
    <s v="Don Gonzalo"/>
    <s v="NINGUNA"/>
    <x v="0"/>
    <n v="120"/>
    <d v="2024-06-22T00:00:00"/>
    <n v="21"/>
    <n v="0"/>
    <n v="0"/>
    <s v="Humecteadora"/>
    <s v="Manuel"/>
    <s v="Gregorio"/>
  </r>
  <r>
    <n v="11"/>
    <n v="8"/>
    <x v="5"/>
    <s v="08:38 am"/>
    <b v="1"/>
    <s v="Limpieza, engrasado y cambio de piezas desgastadas"/>
    <s v="Don Gonzalo"/>
    <s v="NINGUNA"/>
    <x v="1"/>
    <n v="120"/>
    <d v="2024-06-22T00:00:00"/>
    <n v="21"/>
    <n v="0"/>
    <n v="0"/>
    <s v="Picadora"/>
    <s v="Manuel"/>
    <s v="Gregorio"/>
  </r>
  <r>
    <n v="12"/>
    <n v="9"/>
    <x v="5"/>
    <s v="09:13 am"/>
    <b v="1"/>
    <s v="Limpienza y engrazado"/>
    <s v="Don Gonzalo"/>
    <s v="NINGUNA"/>
    <x v="1"/>
    <n v="60"/>
    <d v="2024-06-22T00:00:00"/>
    <n v="21"/>
    <n v="0"/>
    <n v="0"/>
    <s v="Vanda Transportadora"/>
    <s v="Manuel"/>
    <s v="Gregorio"/>
  </r>
  <r>
    <n v="13"/>
    <n v="16"/>
    <x v="6"/>
    <s v="07:04 AM"/>
    <b v="1"/>
    <s v="Limpieza y engrase"/>
    <s v="Don Gonzalo"/>
    <s v="Hace bastante no se le hacia el mantenimiento debido"/>
    <x v="0"/>
    <n v="120"/>
    <d v="2024-06-24T00:00:00"/>
    <n v="180"/>
    <n v="0"/>
    <n v="0"/>
    <s v="Compresor"/>
    <s v="Manuel"/>
    <s v="Gregorio"/>
  </r>
  <r>
    <n v="14"/>
    <n v="24"/>
    <x v="7"/>
    <s v="08:56 am"/>
    <b v="0"/>
    <s v="Arreglo de luces"/>
    <s v="Gonzalo J"/>
    <s v="Fue un arreglo correctivo "/>
    <x v="0"/>
    <n v="120"/>
    <d v="2024-06-28T00:00:00"/>
    <n v="0"/>
    <n v="70000"/>
    <n v="0"/>
    <s v="Camion 2008"/>
    <s v="Pacho Electricista"/>
    <s v="Gonzalo J."/>
  </r>
  <r>
    <n v="15"/>
    <n v="12"/>
    <x v="8"/>
    <s v="09:08 am"/>
    <b v="1"/>
    <s v="Limpieza, se ajusto el quemador, cambio a analogo, se puso una sonda al pirometro"/>
    <s v="Don Gonzalo"/>
    <s v="NINGUNA"/>
    <x v="1"/>
    <n v="120"/>
    <d v="2024-07-13T00:00:00"/>
    <n v="21"/>
    <n v="0"/>
    <n v="0"/>
    <s v="Secador"/>
    <s v="Manuel"/>
    <s v="Gregorio"/>
  </r>
  <r>
    <n v="16"/>
    <n v="20"/>
    <x v="9"/>
    <s v="08:28 am"/>
    <b v="1"/>
    <s v="Se realizo una limpieza general, cambio de aceite, filtros de combustible, filtros de aceite"/>
    <s v="Don Gonzalo"/>
    <s v="NINGUNA"/>
    <x v="1"/>
    <n v="120"/>
    <d v="2024-08-15T00:00:00"/>
    <n v="90"/>
    <n v="0"/>
    <n v="0"/>
    <s v="Planta "/>
    <s v="Manuel"/>
    <s v="Gregorio"/>
  </r>
  <r>
    <n v="17"/>
    <n v="2"/>
    <x v="10"/>
    <s v="09:49 am"/>
    <b v="1"/>
    <s v="Limpieza"/>
    <s v="Gonzalo A"/>
    <s v="NINGUNA"/>
    <x v="0"/>
    <n v="60"/>
    <d v="2024-09-19T00:00:00"/>
    <n v="90"/>
    <n v="0"/>
    <n v="0"/>
    <s v="Destierradora"/>
    <s v="Gonzalo A"/>
    <s v="Licenciada"/>
  </r>
  <r>
    <n v="18"/>
    <n v="16"/>
    <x v="11"/>
    <s v="07:04 AM"/>
    <b v="1"/>
    <s v="Limpieza y engrase"/>
    <s v="Don Gonzalo"/>
    <s v="Hace bastante no se le hacia el mantenimiento debido"/>
    <x v="1"/>
    <n v="120"/>
    <d v="2024-12-21T00:00:00"/>
    <n v="180"/>
    <n v="0"/>
    <n v="0"/>
    <s v="Compresor"/>
    <s v="Manuel"/>
    <s v="Gregorio"/>
  </r>
  <r>
    <n v="19"/>
    <n v="21"/>
    <x v="12"/>
    <s v="01:09 pm"/>
    <b v="0"/>
    <s v="Cambio de aceite"/>
    <s v="Gonzalo J."/>
    <s v="NINGUNA"/>
    <x v="0"/>
    <n v="30"/>
    <d v="2024-07-01T00:00:00"/>
    <n v="0"/>
    <n v="0"/>
    <n v="0"/>
    <s v="Camion 2005"/>
    <s v="Carlos"/>
    <s v="Gonzalo J"/>
  </r>
  <r>
    <n v="20"/>
    <n v="21"/>
    <x v="12"/>
    <s v="09:39 am"/>
    <b v="0"/>
    <s v="portafusible y fusible, bombillo media cajon led, swiches led media y cajon, dos relays"/>
    <s v="Gonzalo J."/>
    <s v="Revision de maniqui esta defectuoso"/>
    <x v="0"/>
    <n v="240"/>
    <d v="2024-07-02T00:00:00"/>
    <n v="0"/>
    <n v="150000"/>
    <n v="0"/>
    <s v="Camion 2005"/>
    <s v="Pacho Electricista"/>
    <s v="Gonzalo J"/>
  </r>
  <r>
    <n v="21"/>
    <n v="2"/>
    <x v="13"/>
    <s v="09:49 am"/>
    <b v="1"/>
    <s v="Limpieza"/>
    <s v="Gonzalo A"/>
    <s v="NINGUNA"/>
    <x v="1"/>
    <n v="60"/>
    <d v="2024-12-18T00:00:00"/>
    <n v="90"/>
    <n v="0"/>
    <n v="0"/>
    <s v="Destierradora"/>
    <s v="Gonzalo A"/>
    <s v="Licenciada"/>
  </r>
  <r>
    <m/>
    <m/>
    <x v="14"/>
    <m/>
    <m/>
    <m/>
    <m/>
    <m/>
    <x v="2"/>
    <m/>
    <m/>
    <m/>
    <m/>
    <m/>
    <e v="#N/A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Diná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9">
  <location ref="N11:O27" firstHeaderRow="1" firstDataRow="1" firstDataCol="1"/>
  <pivotFields count="17">
    <pivotField showAll="0"/>
    <pivotField showAll="0"/>
    <pivotField axis="axisRow" showAll="0" sortType="ascending">
      <items count="24">
        <item m="1" x="17"/>
        <item m="1" x="21"/>
        <item m="1" x="16"/>
        <item m="1" x="15"/>
        <item x="0"/>
        <item x="1"/>
        <item x="2"/>
        <item x="3"/>
        <item x="4"/>
        <item m="1" x="19"/>
        <item m="1" x="22"/>
        <item x="5"/>
        <item x="6"/>
        <item m="1" x="18"/>
        <item x="7"/>
        <item x="12"/>
        <item x="8"/>
        <item x="9"/>
        <item x="10"/>
        <item m="1" x="20"/>
        <item x="13"/>
        <item x="11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16">
    <i>
      <x v="4"/>
    </i>
    <i>
      <x v="5"/>
    </i>
    <i>
      <x v="6"/>
    </i>
    <i>
      <x v="7"/>
    </i>
    <i>
      <x v="8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 t="grand">
      <x/>
    </i>
  </rowItems>
  <colItems count="1">
    <i/>
  </colItems>
  <dataFields count="1">
    <dataField name="Suma de COSTO_INSUMOS" fld="13" baseField="2" baseItem="0" numFmtId="165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9">
  <location ref="K5:L19" firstHeaderRow="1" firstDataRow="1" firstDataCol="1"/>
  <pivotFields count="17">
    <pivotField showAll="0"/>
    <pivotField showAll="0"/>
    <pivotField axis="axisRow" showAll="0" sortType="ascending">
      <items count="24">
        <item h="1" m="1" x="17"/>
        <item h="1" m="1" x="21"/>
        <item h="1" m="1" x="16"/>
        <item h="1" m="1" x="15"/>
        <item x="0"/>
        <item x="1"/>
        <item x="2"/>
        <item x="3"/>
        <item x="4"/>
        <item m="1" x="19"/>
        <item m="1" x="22"/>
        <item x="5"/>
        <item x="6"/>
        <item m="1" x="18"/>
        <item x="7"/>
        <item x="12"/>
        <item x="8"/>
        <item x="9"/>
        <item x="10"/>
        <item m="1" x="20"/>
        <item h="1" x="13"/>
        <item x="11"/>
        <item h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14">
    <i>
      <x v="4"/>
    </i>
    <i>
      <x v="5"/>
    </i>
    <i>
      <x v="6"/>
    </i>
    <i>
      <x v="7"/>
    </i>
    <i>
      <x v="8"/>
    </i>
    <i>
      <x v="11"/>
    </i>
    <i>
      <x v="12"/>
    </i>
    <i>
      <x v="14"/>
    </i>
    <i>
      <x v="15"/>
    </i>
    <i>
      <x v="16"/>
    </i>
    <i>
      <x v="17"/>
    </i>
    <i>
      <x v="18"/>
    </i>
    <i>
      <x v="21"/>
    </i>
    <i t="grand">
      <x/>
    </i>
  </rowItems>
  <colItems count="1">
    <i/>
  </colItems>
  <dataFields count="1">
    <dataField name="Suma de COSTO_MO" fld="12" baseField="0" baseItem="1995432032" numFmtId="165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7">
  <location ref="F7:H9" firstHeaderRow="1" firstDataRow="2" firstDataCol="1"/>
  <pivotFields count="12">
    <pivotField showAll="0"/>
    <pivotField axis="axisCol" showAll="0">
      <items count="39">
        <item h="1" m="1" x="35"/>
        <item h="1" m="1" x="31"/>
        <item h="1" x="27"/>
        <item h="1" m="1" x="32"/>
        <item h="1" x="0"/>
        <item h="1" m="1" x="29"/>
        <item h="1" x="1"/>
        <item h="1" x="2"/>
        <item h="1" m="1" x="37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34"/>
        <item h="1" x="16"/>
        <item h="1" x="17"/>
        <item h="1" x="18"/>
        <item m="1" x="33"/>
        <item h="1" m="1" x="30"/>
        <item h="1" m="1" x="28"/>
        <item h="1" m="1" x="36"/>
        <item h="1" x="3"/>
        <item h="1" x="4"/>
        <item h="1" x="5"/>
        <item h="1" x="6"/>
        <item h="1" x="23"/>
        <item h="1" x="24"/>
        <item h="1" x="25"/>
        <item h="1" x="26"/>
        <item x="19"/>
        <item h="1" x="20"/>
        <item h="1" x="21"/>
        <item h="1" x="22"/>
        <item t="default"/>
      </items>
    </pivotField>
    <pivotField showAll="0"/>
    <pivotField showAll="0"/>
    <pivotField showAll="0"/>
    <pivotField showAll="0" defaultSubtotal="0"/>
    <pivotField showAll="0"/>
    <pivotField showAll="0"/>
    <pivotField showAll="0"/>
    <pivotField dataField="1" showAll="0"/>
    <pivotField showAll="0" defaultSubtotal="0"/>
    <pivotField showAll="0" defaultSubtotal="0"/>
  </pivotFields>
  <rowItems count="1">
    <i/>
  </rowItems>
  <colFields count="1">
    <field x="1"/>
  </colFields>
  <colItems count="2">
    <i>
      <x v="34"/>
    </i>
    <i t="grand">
      <x/>
    </i>
  </colItems>
  <dataFields count="1">
    <dataField name="Promedio de MTTR" fld="9" subtotal="average" baseField="1" baseItem="3" numFmtId="1"/>
  </dataFields>
  <chartFormats count="16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Dinámica4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R8:S12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REALIZADO" fld="8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5</v>
    <v>8</v>
    <v>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SPONSABLE" displayName="RESPONSABLE" ref="A1:A6" totalsRowShown="0">
  <autoFilter ref="A1:A6" xr:uid="{00000000-0009-0000-0100-000003000000}"/>
  <tableColumns count="1">
    <tableColumn id="1" xr3:uid="{00000000-0010-0000-0000-000001000000}" name="RESPONSAB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ELABORADO" displayName="ELABORADO" ref="C1:C6" totalsRowShown="0">
  <autoFilter ref="C1:C6" xr:uid="{00000000-0009-0000-0100-000004000000}"/>
  <tableColumns count="1">
    <tableColumn id="1" xr3:uid="{00000000-0010-0000-0100-000001000000}" name="ELABOR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UTORIZADO" displayName="AUTORIZADO" ref="E1:E8" totalsRowShown="0">
  <autoFilter ref="E1:E8" xr:uid="{00000000-0009-0000-0100-000005000000}"/>
  <tableColumns count="1">
    <tableColumn id="1" xr3:uid="{00000000-0010-0000-0200-000001000000}" name="AUTORIZ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EAS" displayName="AREAS" ref="G1:G10" totalsRowShown="0">
  <autoFilter ref="G1:G10" xr:uid="{00000000-0009-0000-0100-000006000000}"/>
  <tableColumns count="1">
    <tableColumn id="1" xr3:uid="{00000000-0010-0000-0300-000001000000}" name="ARE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a_maquinas" displayName="tabla_maquinas" ref="A1:L30" totalsRowShown="0">
  <autoFilter ref="A1:L30" xr:uid="{00000000-0009-0000-0100-000001000000}"/>
  <tableColumns count="12">
    <tableColumn id="1" xr3:uid="{00000000-0010-0000-0400-000001000000}" name="ID "/>
    <tableColumn id="2" xr3:uid="{00000000-0010-0000-0400-000002000000}" name="MAQUINA"/>
    <tableColumn id="6" xr3:uid="{00000000-0010-0000-0400-000006000000}" name="MARCA"/>
    <tableColumn id="5" xr3:uid="{00000000-0010-0000-0400-000005000000}" name="MODELO"/>
    <tableColumn id="4" xr3:uid="{00000000-0010-0000-0400-000004000000}" name="FABRICANTE"/>
    <tableColumn id="7" xr3:uid="{00000000-0010-0000-0400-000007000000}" name="CODIGO_SERIE"/>
    <tableColumn id="8" xr3:uid="{00000000-0010-0000-0400-000008000000}" name="OBSERVACIONES"/>
    <tableColumn id="3" xr3:uid="{00000000-0010-0000-0400-000003000000}" name="FOTOGRAFIA"/>
    <tableColumn id="9" xr3:uid="{00000000-0010-0000-0400-000009000000}" name="MTBF"/>
    <tableColumn id="10" xr3:uid="{00000000-0010-0000-0400-00000A000000}" name="MTTR" dataDxfId="5">
      <calculatedColumnFormula>AVERAGEIF(tabla_mant[[#All],[MAQUINA]],tabla_maquinas[[#This Row],[ID ]],tabla_mant[TIEMPO DE REPARACIÓN])</calculatedColumnFormula>
    </tableColumn>
    <tableColumn id="11" xr3:uid="{00000000-0010-0000-0400-00000B000000}" name="AREA"/>
    <tableColumn id="13" xr3:uid="{00000000-0010-0000-0400-00000D000000}" name="HOR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a_mant" displayName="tabla_mant" ref="A1:Q23" totalsRowShown="0">
  <autoFilter ref="A1:Q23" xr:uid="{00000000-0009-0000-0100-000007000000}"/>
  <sortState xmlns:xlrd2="http://schemas.microsoft.com/office/spreadsheetml/2017/richdata2" ref="A2:Q23">
    <sortCondition ref="C1:C23"/>
  </sortState>
  <tableColumns count="17">
    <tableColumn id="9" xr3:uid="{00000000-0010-0000-0500-000009000000}" name="ID"/>
    <tableColumn id="1" xr3:uid="{00000000-0010-0000-0500-000001000000}" name="MAQUINA"/>
    <tableColumn id="2" xr3:uid="{00000000-0010-0000-0500-000002000000}" name="FECHA" dataDxfId="3"/>
    <tableColumn id="3" xr3:uid="{00000000-0010-0000-0500-000003000000}" name="HORA"/>
    <tableColumn id="4" xr3:uid="{00000000-0010-0000-0500-000004000000}" name="PREVENTIVO_CORRECTIVO"/>
    <tableColumn id="6" xr3:uid="{00000000-0010-0000-0500-000006000000}" name="DESCRIPCION"/>
    <tableColumn id="11" xr3:uid="{00000000-0010-0000-0500-00000B000000}" name="RESPONSABLE"/>
    <tableColumn id="7" xr3:uid="{00000000-0010-0000-0500-000007000000}" name="OBSERVACIONES"/>
    <tableColumn id="8" xr3:uid="{00000000-0010-0000-0500-000008000000}" name="REALIZADO"/>
    <tableColumn id="10" xr3:uid="{00000000-0010-0000-0500-00000A000000}" name="TIEMPO DE REPARACIÓN"/>
    <tableColumn id="12" xr3:uid="{00000000-0010-0000-0500-00000C000000}" name="FECHA_ENTREGA" dataDxfId="2"/>
    <tableColumn id="13" xr3:uid="{00000000-0010-0000-0500-00000D000000}" name="DIAS"/>
    <tableColumn id="5" xr3:uid="{00000000-0010-0000-0500-000005000000}" name="COSTO_MO" dataCellStyle="Moneda"/>
    <tableColumn id="14" xr3:uid="{00000000-0010-0000-0500-00000E000000}" name="COSTO_INSUMOS" dataCellStyle="Moneda"/>
    <tableColumn id="15" xr3:uid="{00000000-0010-0000-0500-00000F000000}" name="MAQUINA_NOMBRE">
      <calculatedColumnFormula>VLOOKUP(tabla_mant[[#This Row],[MAQUINA]],tabla_maquinas[],2,FALSE)</calculatedColumnFormula>
    </tableColumn>
    <tableColumn id="16" xr3:uid="{00000000-0010-0000-0500-000010000000}" name="HECHO"/>
    <tableColumn id="17" xr3:uid="{00000000-0010-0000-0500-000011000000}" name="AUTORIZAD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a_refacciones" displayName="tabla_refacciones" ref="A1:F9" totalsRowShown="0">
  <autoFilter ref="A1:F9" xr:uid="{00000000-0009-0000-0100-000002000000}"/>
  <tableColumns count="6">
    <tableColumn id="1" xr3:uid="{00000000-0010-0000-0600-000001000000}" name="ID_MANTENIMIENTO"/>
    <tableColumn id="2" xr3:uid="{00000000-0010-0000-0600-000002000000}" name="FECHA" dataDxfId="1"/>
    <tableColumn id="4" xr3:uid="{00000000-0010-0000-0600-000004000000}" name="CODIGO"/>
    <tableColumn id="6" xr3:uid="{00000000-0010-0000-0600-000006000000}" name="DESCRIPCION"/>
    <tableColumn id="7" xr3:uid="{00000000-0010-0000-0600-000007000000}" name="CANTIDAD"/>
    <tableColumn id="10" xr3:uid="{00000000-0010-0000-0600-00000A000000}" name="COSTO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3AC4FB-46CC-4C45-8FDF-BF82973167C7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92D050"/>
  </sheetPr>
  <dimension ref="A14:H23"/>
  <sheetViews>
    <sheetView zoomScale="76" zoomScaleNormal="100" workbookViewId="0">
      <selection activeCell="F19" sqref="F19:H23"/>
    </sheetView>
  </sheetViews>
  <sheetFormatPr baseColWidth="10" defaultColWidth="11.44140625" defaultRowHeight="14.4" x14ac:dyDescent="0.3"/>
  <cols>
    <col min="1" max="1" width="11.44140625" style="19"/>
    <col min="2" max="2" width="13.5546875" style="19" customWidth="1"/>
    <col min="3" max="16384" width="11.44140625" style="18"/>
  </cols>
  <sheetData>
    <row r="14" spans="3:8" x14ac:dyDescent="0.3">
      <c r="C14" s="32" t="s">
        <v>30</v>
      </c>
      <c r="D14" s="32"/>
      <c r="E14" s="32"/>
      <c r="F14" s="33" t="s">
        <v>31</v>
      </c>
      <c r="G14" s="33"/>
      <c r="H14" s="33"/>
    </row>
    <row r="15" spans="3:8" ht="15" customHeight="1" x14ac:dyDescent="0.3">
      <c r="C15" s="32"/>
      <c r="D15" s="32"/>
      <c r="E15" s="32"/>
      <c r="F15" s="33"/>
      <c r="G15" s="33"/>
      <c r="H15" s="33"/>
    </row>
    <row r="16" spans="3:8" ht="15" customHeight="1" x14ac:dyDescent="0.3">
      <c r="C16" s="32"/>
      <c r="D16" s="32"/>
      <c r="E16" s="32"/>
      <c r="F16" s="33"/>
      <c r="G16" s="33"/>
      <c r="H16" s="33"/>
    </row>
    <row r="17" spans="3:8" ht="15" customHeight="1" x14ac:dyDescent="0.3">
      <c r="C17" s="32"/>
      <c r="D17" s="32"/>
      <c r="E17" s="32"/>
      <c r="F17" s="33"/>
      <c r="G17" s="33"/>
      <c r="H17" s="33"/>
    </row>
    <row r="18" spans="3:8" ht="15" customHeight="1" x14ac:dyDescent="0.3">
      <c r="C18" s="32"/>
      <c r="D18" s="32"/>
      <c r="E18" s="32"/>
      <c r="F18" s="33"/>
      <c r="G18" s="33"/>
      <c r="H18" s="33"/>
    </row>
    <row r="19" spans="3:8" ht="15" customHeight="1" x14ac:dyDescent="0.3">
      <c r="C19" s="30">
        <f>GETPIVOTDATA("REALIZADO",GD!$R$8,"REALIZADO",TRUE)</f>
        <v>14</v>
      </c>
      <c r="D19" s="30"/>
      <c r="E19" s="30"/>
      <c r="F19" s="31">
        <f>GETPIVOTDATA("REALIZADO",GD!$R$8,"REALIZADO",FALSE)</f>
        <v>7</v>
      </c>
      <c r="G19" s="31"/>
      <c r="H19" s="31"/>
    </row>
    <row r="20" spans="3:8" ht="15" customHeight="1" x14ac:dyDescent="0.3">
      <c r="C20" s="30"/>
      <c r="D20" s="30"/>
      <c r="E20" s="30"/>
      <c r="F20" s="31"/>
      <c r="G20" s="31"/>
      <c r="H20" s="31"/>
    </row>
    <row r="21" spans="3:8" ht="15" customHeight="1" x14ac:dyDescent="0.3">
      <c r="C21" s="30"/>
      <c r="D21" s="30"/>
      <c r="E21" s="30"/>
      <c r="F21" s="31"/>
      <c r="G21" s="31"/>
      <c r="H21" s="31"/>
    </row>
    <row r="22" spans="3:8" ht="15" customHeight="1" x14ac:dyDescent="0.3">
      <c r="C22" s="30"/>
      <c r="D22" s="30"/>
      <c r="E22" s="30"/>
      <c r="F22" s="31"/>
      <c r="G22" s="31"/>
      <c r="H22" s="31"/>
    </row>
    <row r="23" spans="3:8" x14ac:dyDescent="0.3">
      <c r="C23" s="30"/>
      <c r="D23" s="30"/>
      <c r="E23" s="30"/>
      <c r="F23" s="31"/>
      <c r="G23" s="31"/>
      <c r="H23" s="31"/>
    </row>
  </sheetData>
  <mergeCells count="4">
    <mergeCell ref="C19:E23"/>
    <mergeCell ref="F19:H23"/>
    <mergeCell ref="C14:E18"/>
    <mergeCell ref="F14:H18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rgb="FF92D050"/>
  </sheetPr>
  <dimension ref="A1:G10"/>
  <sheetViews>
    <sheetView workbookViewId="0">
      <selection activeCell="B11" sqref="B11"/>
    </sheetView>
  </sheetViews>
  <sheetFormatPr baseColWidth="10" defaultRowHeight="14.4" x14ac:dyDescent="0.3"/>
  <cols>
    <col min="1" max="1" width="16.5546875" customWidth="1"/>
    <col min="3" max="3" width="15.33203125" customWidth="1"/>
    <col min="5" max="5" width="15" customWidth="1"/>
    <col min="7" max="7" width="18.33203125" bestFit="1" customWidth="1"/>
  </cols>
  <sheetData>
    <row r="1" spans="1:7" x14ac:dyDescent="0.3">
      <c r="A1" t="s">
        <v>6</v>
      </c>
      <c r="C1" t="s">
        <v>34</v>
      </c>
      <c r="E1" t="s">
        <v>33</v>
      </c>
      <c r="G1" t="s">
        <v>43</v>
      </c>
    </row>
    <row r="2" spans="1:7" x14ac:dyDescent="0.3">
      <c r="A2" t="s">
        <v>105</v>
      </c>
      <c r="C2" t="s">
        <v>257</v>
      </c>
      <c r="E2" t="s">
        <v>92</v>
      </c>
      <c r="G2" t="s">
        <v>82</v>
      </c>
    </row>
    <row r="3" spans="1:7" x14ac:dyDescent="0.3">
      <c r="A3" t="s">
        <v>213</v>
      </c>
      <c r="C3" t="s">
        <v>93</v>
      </c>
      <c r="E3" t="s">
        <v>93</v>
      </c>
      <c r="G3" t="s">
        <v>85</v>
      </c>
    </row>
    <row r="4" spans="1:7" x14ac:dyDescent="0.3">
      <c r="A4" t="s">
        <v>92</v>
      </c>
      <c r="C4" t="s">
        <v>255</v>
      </c>
      <c r="E4" t="s">
        <v>105</v>
      </c>
      <c r="G4" t="s">
        <v>83</v>
      </c>
    </row>
    <row r="5" spans="1:7" x14ac:dyDescent="0.3">
      <c r="A5" t="s">
        <v>93</v>
      </c>
      <c r="C5" t="s">
        <v>256</v>
      </c>
      <c r="E5" t="s">
        <v>176</v>
      </c>
      <c r="G5" t="s">
        <v>84</v>
      </c>
    </row>
    <row r="6" spans="1:7" x14ac:dyDescent="0.3">
      <c r="C6" t="s">
        <v>254</v>
      </c>
      <c r="E6" t="s">
        <v>177</v>
      </c>
      <c r="G6" t="s">
        <v>86</v>
      </c>
    </row>
    <row r="7" spans="1:7" x14ac:dyDescent="0.3">
      <c r="E7" t="s">
        <v>203</v>
      </c>
      <c r="G7" t="s">
        <v>87</v>
      </c>
    </row>
    <row r="8" spans="1:7" x14ac:dyDescent="0.3">
      <c r="E8" t="s">
        <v>212</v>
      </c>
      <c r="G8" t="s">
        <v>241</v>
      </c>
    </row>
    <row r="9" spans="1:7" x14ac:dyDescent="0.3">
      <c r="G9" t="s">
        <v>242</v>
      </c>
    </row>
    <row r="10" spans="1:7" x14ac:dyDescent="0.3">
      <c r="G10" t="s">
        <v>243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92D050"/>
  </sheetPr>
  <dimension ref="A1:E8"/>
  <sheetViews>
    <sheetView workbookViewId="0">
      <selection activeCell="C3" sqref="C3"/>
    </sheetView>
  </sheetViews>
  <sheetFormatPr baseColWidth="10" defaultRowHeight="14.4" x14ac:dyDescent="0.3"/>
  <cols>
    <col min="2" max="2" width="21.33203125" customWidth="1"/>
    <col min="5" max="5" width="15.6640625" style="16" customWidth="1"/>
  </cols>
  <sheetData>
    <row r="1" spans="1:5" x14ac:dyDescent="0.3">
      <c r="A1" s="14" t="s">
        <v>47</v>
      </c>
      <c r="B1" s="14" t="s">
        <v>1</v>
      </c>
      <c r="C1" s="14" t="s">
        <v>48</v>
      </c>
      <c r="D1" s="14" t="s">
        <v>49</v>
      </c>
      <c r="E1" s="15" t="s">
        <v>55</v>
      </c>
    </row>
    <row r="2" spans="1:5" x14ac:dyDescent="0.3">
      <c r="A2">
        <v>1</v>
      </c>
      <c r="B2" t="s">
        <v>244</v>
      </c>
      <c r="C2" t="s">
        <v>245</v>
      </c>
      <c r="D2">
        <v>5</v>
      </c>
      <c r="E2" s="16">
        <v>205000</v>
      </c>
    </row>
    <row r="3" spans="1:5" x14ac:dyDescent="0.3">
      <c r="A3">
        <v>2</v>
      </c>
      <c r="B3" t="s">
        <v>51</v>
      </c>
      <c r="C3" t="s">
        <v>52</v>
      </c>
      <c r="D3">
        <v>16</v>
      </c>
      <c r="E3" s="16">
        <v>800000</v>
      </c>
    </row>
    <row r="4" spans="1:5" x14ac:dyDescent="0.3">
      <c r="A4">
        <v>3</v>
      </c>
      <c r="B4" t="s">
        <v>53</v>
      </c>
      <c r="C4" t="s">
        <v>54</v>
      </c>
      <c r="D4">
        <v>6</v>
      </c>
      <c r="E4" s="16">
        <v>300</v>
      </c>
    </row>
    <row r="5" spans="1:5" x14ac:dyDescent="0.3">
      <c r="A5">
        <v>4</v>
      </c>
      <c r="B5" t="s">
        <v>195</v>
      </c>
      <c r="C5" t="s">
        <v>52</v>
      </c>
      <c r="D5">
        <v>12</v>
      </c>
      <c r="E5" s="16">
        <v>100</v>
      </c>
    </row>
    <row r="6" spans="1:5" x14ac:dyDescent="0.3">
      <c r="A6">
        <v>5</v>
      </c>
      <c r="B6" t="s">
        <v>196</v>
      </c>
      <c r="C6" t="s">
        <v>52</v>
      </c>
      <c r="D6">
        <v>117</v>
      </c>
      <c r="E6" s="16">
        <v>1.75</v>
      </c>
    </row>
    <row r="7" spans="1:5" x14ac:dyDescent="0.3">
      <c r="A7">
        <v>6</v>
      </c>
      <c r="B7" t="s">
        <v>197</v>
      </c>
      <c r="C7" t="s">
        <v>52</v>
      </c>
      <c r="D7">
        <v>10</v>
      </c>
      <c r="E7" s="16">
        <v>3.75</v>
      </c>
    </row>
    <row r="8" spans="1:5" x14ac:dyDescent="0.3">
      <c r="A8">
        <v>7</v>
      </c>
      <c r="B8" t="s">
        <v>198</v>
      </c>
      <c r="C8" t="s">
        <v>52</v>
      </c>
      <c r="D8">
        <v>12</v>
      </c>
      <c r="E8" s="16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 filterMode="1">
    <tabColor rgb="FFFFC000"/>
  </sheetPr>
  <dimension ref="A1:RS23"/>
  <sheetViews>
    <sheetView topLeftCell="A8" zoomScale="108" zoomScaleNormal="40" workbookViewId="0">
      <selection activeCell="C22" sqref="C22"/>
    </sheetView>
  </sheetViews>
  <sheetFormatPr baseColWidth="10" defaultColWidth="2.6640625" defaultRowHeight="14.4" x14ac:dyDescent="0.3"/>
  <cols>
    <col min="1" max="1" width="12.5546875" customWidth="1"/>
    <col min="2" max="2" width="17.33203125" customWidth="1"/>
    <col min="3" max="3" width="11.109375" style="10" customWidth="1"/>
    <col min="4" max="4" width="11" style="13" customWidth="1"/>
    <col min="5" max="428" width="3" bestFit="1" customWidth="1"/>
    <col min="430" max="458" width="3" bestFit="1" customWidth="1"/>
  </cols>
  <sheetData>
    <row r="1" spans="1:487" ht="15" customHeight="1" x14ac:dyDescent="0.3">
      <c r="A1" s="4" t="s">
        <v>35</v>
      </c>
      <c r="B1" s="4"/>
      <c r="C1" s="8" t="s">
        <v>36</v>
      </c>
      <c r="D1" s="11"/>
    </row>
    <row r="2" spans="1:487" ht="45" x14ac:dyDescent="0.3">
      <c r="A2" s="5" t="s">
        <v>37</v>
      </c>
      <c r="B2" s="6" t="s">
        <v>40</v>
      </c>
      <c r="C2" s="9" t="s">
        <v>38</v>
      </c>
      <c r="D2" s="12" t="s">
        <v>39</v>
      </c>
      <c r="E2" s="7">
        <v>45292</v>
      </c>
      <c r="F2" s="7">
        <v>45293</v>
      </c>
      <c r="G2" s="7">
        <v>45294</v>
      </c>
      <c r="H2" s="7">
        <v>45295</v>
      </c>
      <c r="I2" s="7">
        <v>45296</v>
      </c>
      <c r="J2" s="7">
        <v>45297</v>
      </c>
      <c r="K2" s="7">
        <v>45298</v>
      </c>
      <c r="L2" s="7">
        <v>45299</v>
      </c>
      <c r="M2" s="7">
        <v>45300</v>
      </c>
      <c r="N2" s="7">
        <v>45301</v>
      </c>
      <c r="O2" s="7">
        <v>45302</v>
      </c>
      <c r="P2" s="7">
        <v>45303</v>
      </c>
      <c r="Q2" s="7">
        <v>45304</v>
      </c>
      <c r="R2" s="7">
        <v>45305</v>
      </c>
      <c r="S2" s="7">
        <v>45306</v>
      </c>
      <c r="T2" s="7">
        <v>45307</v>
      </c>
      <c r="U2" s="7">
        <v>45308</v>
      </c>
      <c r="V2" s="7">
        <v>45309</v>
      </c>
      <c r="W2" s="7">
        <v>45310</v>
      </c>
      <c r="X2" s="7">
        <v>45311</v>
      </c>
      <c r="Y2" s="7">
        <v>45312</v>
      </c>
      <c r="Z2" s="7">
        <v>45313</v>
      </c>
      <c r="AA2" s="7">
        <v>45314</v>
      </c>
      <c r="AB2" s="7">
        <v>45315</v>
      </c>
      <c r="AC2" s="7">
        <v>45316</v>
      </c>
      <c r="AD2" s="7">
        <v>45317</v>
      </c>
      <c r="AE2" s="7">
        <v>45318</v>
      </c>
      <c r="AF2" s="7">
        <v>45319</v>
      </c>
      <c r="AG2" s="7">
        <v>45320</v>
      </c>
      <c r="AH2" s="7">
        <v>45321</v>
      </c>
      <c r="AI2" s="7">
        <v>45322</v>
      </c>
      <c r="AJ2" s="7">
        <v>45323</v>
      </c>
      <c r="AK2" s="7">
        <v>45324</v>
      </c>
      <c r="AL2" s="7">
        <v>45325</v>
      </c>
      <c r="AM2" s="7">
        <v>45326</v>
      </c>
      <c r="AN2" s="7">
        <v>45327</v>
      </c>
      <c r="AO2" s="7">
        <v>45328</v>
      </c>
      <c r="AP2" s="7">
        <v>45329</v>
      </c>
      <c r="AQ2" s="7">
        <v>45330</v>
      </c>
      <c r="AR2" s="7">
        <v>45331</v>
      </c>
      <c r="AS2" s="7">
        <v>45332</v>
      </c>
      <c r="AT2" s="7">
        <v>45333</v>
      </c>
      <c r="AU2" s="7">
        <v>45334</v>
      </c>
      <c r="AV2" s="7">
        <v>45335</v>
      </c>
      <c r="AW2" s="7">
        <v>45336</v>
      </c>
      <c r="AX2" s="7">
        <v>45337</v>
      </c>
      <c r="AY2" s="7">
        <v>45338</v>
      </c>
      <c r="AZ2" s="7">
        <v>45339</v>
      </c>
      <c r="BA2" s="7">
        <v>45340</v>
      </c>
      <c r="BB2" s="7">
        <v>45341</v>
      </c>
      <c r="BC2" s="7">
        <v>45342</v>
      </c>
      <c r="BD2" s="7">
        <v>45343</v>
      </c>
      <c r="BE2" s="7">
        <v>45344</v>
      </c>
      <c r="BF2" s="7">
        <v>45345</v>
      </c>
      <c r="BG2" s="7">
        <v>45346</v>
      </c>
      <c r="BH2" s="7">
        <v>45347</v>
      </c>
      <c r="BI2" s="7">
        <v>45348</v>
      </c>
      <c r="BJ2" s="7">
        <v>45349</v>
      </c>
      <c r="BK2" s="7">
        <v>45350</v>
      </c>
      <c r="BL2" s="7">
        <v>45352</v>
      </c>
      <c r="BM2" s="7">
        <v>45353</v>
      </c>
      <c r="BN2" s="7">
        <v>45354</v>
      </c>
      <c r="BO2" s="7">
        <v>45355</v>
      </c>
      <c r="BP2" s="7">
        <v>45356</v>
      </c>
      <c r="BQ2" s="7">
        <v>45357</v>
      </c>
      <c r="BR2" s="7">
        <v>45358</v>
      </c>
      <c r="BS2" s="7">
        <v>45359</v>
      </c>
      <c r="BT2" s="7">
        <v>45360</v>
      </c>
      <c r="BU2" s="7">
        <v>45361</v>
      </c>
      <c r="BV2" s="7">
        <v>45362</v>
      </c>
      <c r="BW2" s="7">
        <v>45363</v>
      </c>
      <c r="BX2" s="7">
        <v>45364</v>
      </c>
      <c r="BY2" s="7">
        <v>45365</v>
      </c>
      <c r="BZ2" s="7">
        <v>45366</v>
      </c>
      <c r="CA2" s="7">
        <v>45367</v>
      </c>
      <c r="CB2" s="7">
        <v>45368</v>
      </c>
      <c r="CC2" s="7">
        <v>45369</v>
      </c>
      <c r="CD2" s="7">
        <v>45370</v>
      </c>
      <c r="CE2" s="7">
        <v>45371</v>
      </c>
      <c r="CF2" s="7">
        <v>45372</v>
      </c>
      <c r="CG2" s="7">
        <v>45373</v>
      </c>
      <c r="CH2" s="7">
        <v>45374</v>
      </c>
      <c r="CI2" s="7">
        <v>45375</v>
      </c>
      <c r="CJ2" s="7">
        <v>45376</v>
      </c>
      <c r="CK2" s="7">
        <v>45377</v>
      </c>
      <c r="CL2" s="7">
        <v>45378</v>
      </c>
      <c r="CM2" s="7">
        <v>45379</v>
      </c>
      <c r="CN2" s="7">
        <v>45380</v>
      </c>
      <c r="CO2" s="7">
        <v>45381</v>
      </c>
      <c r="CP2" s="7">
        <v>45382</v>
      </c>
      <c r="CQ2" s="7">
        <v>45383</v>
      </c>
      <c r="CR2" s="7">
        <v>45384</v>
      </c>
      <c r="CS2" s="7">
        <v>45385</v>
      </c>
      <c r="CT2" s="7">
        <v>45386</v>
      </c>
      <c r="CU2" s="7">
        <v>45387</v>
      </c>
      <c r="CV2" s="7">
        <v>45388</v>
      </c>
      <c r="CW2" s="7">
        <v>45389</v>
      </c>
      <c r="CX2" s="7">
        <v>45390</v>
      </c>
      <c r="CY2" s="7">
        <v>45391</v>
      </c>
      <c r="CZ2" s="7">
        <v>45392</v>
      </c>
      <c r="DA2" s="7">
        <v>45393</v>
      </c>
      <c r="DB2" s="7">
        <v>45394</v>
      </c>
      <c r="DC2" s="7">
        <v>45395</v>
      </c>
      <c r="DD2" s="7">
        <v>45396</v>
      </c>
      <c r="DE2" s="7">
        <v>45397</v>
      </c>
      <c r="DF2" s="7">
        <v>45398</v>
      </c>
      <c r="DG2" s="7">
        <v>45399</v>
      </c>
      <c r="DH2" s="7">
        <v>45400</v>
      </c>
      <c r="DI2" s="7">
        <v>45401</v>
      </c>
      <c r="DJ2" s="7">
        <v>45402</v>
      </c>
      <c r="DK2" s="7">
        <v>45403</v>
      </c>
      <c r="DL2" s="7">
        <v>45404</v>
      </c>
      <c r="DM2" s="7">
        <v>45405</v>
      </c>
      <c r="DN2" s="7">
        <v>45406</v>
      </c>
      <c r="DO2" s="7">
        <v>45407</v>
      </c>
      <c r="DP2" s="7">
        <v>45408</v>
      </c>
      <c r="DQ2" s="7">
        <v>45409</v>
      </c>
      <c r="DR2" s="7">
        <v>45410</v>
      </c>
      <c r="DS2" s="7">
        <v>45411</v>
      </c>
      <c r="DT2" s="7">
        <v>45412</v>
      </c>
      <c r="DU2" s="7">
        <v>45413</v>
      </c>
      <c r="DV2" s="7">
        <v>45414</v>
      </c>
      <c r="DW2" s="7">
        <v>45415</v>
      </c>
      <c r="DX2" s="7">
        <v>45416</v>
      </c>
      <c r="DY2" s="7">
        <v>45417</v>
      </c>
      <c r="DZ2" s="7">
        <v>45418</v>
      </c>
      <c r="EA2" s="7">
        <v>45419</v>
      </c>
      <c r="EB2" s="7">
        <v>45420</v>
      </c>
      <c r="EC2" s="7">
        <v>45421</v>
      </c>
      <c r="ED2" s="7">
        <v>45422</v>
      </c>
      <c r="EE2" s="7">
        <v>45423</v>
      </c>
      <c r="EF2" s="7">
        <v>45424</v>
      </c>
      <c r="EG2" s="7">
        <v>45425</v>
      </c>
      <c r="EH2" s="7">
        <v>45426</v>
      </c>
      <c r="EI2" s="7">
        <v>45427</v>
      </c>
      <c r="EJ2" s="7">
        <v>45428</v>
      </c>
      <c r="EK2" s="7">
        <v>45429</v>
      </c>
      <c r="EL2" s="7">
        <v>45430</v>
      </c>
      <c r="EM2" s="7">
        <v>45431</v>
      </c>
      <c r="EN2" s="7">
        <v>45432</v>
      </c>
      <c r="EO2" s="7">
        <v>45433</v>
      </c>
      <c r="EP2" s="7">
        <v>45434</v>
      </c>
      <c r="EQ2" s="7">
        <v>45435</v>
      </c>
      <c r="ER2" s="7">
        <v>45436</v>
      </c>
      <c r="ES2" s="7">
        <v>45437</v>
      </c>
      <c r="ET2" s="7">
        <v>45438</v>
      </c>
      <c r="EU2" s="7">
        <v>45439</v>
      </c>
      <c r="EV2" s="7">
        <v>45440</v>
      </c>
      <c r="EW2" s="7">
        <v>45441</v>
      </c>
      <c r="EX2" s="7">
        <v>45442</v>
      </c>
      <c r="EY2" s="7">
        <v>45443</v>
      </c>
      <c r="EZ2" s="7">
        <v>45444</v>
      </c>
      <c r="FA2" s="7">
        <v>45445</v>
      </c>
      <c r="FB2" s="7">
        <v>45446</v>
      </c>
      <c r="FC2" s="7">
        <v>45447</v>
      </c>
      <c r="FD2" s="7">
        <v>45448</v>
      </c>
      <c r="FE2" s="7">
        <v>45449</v>
      </c>
      <c r="FF2" s="7">
        <v>45450</v>
      </c>
      <c r="FG2" s="7">
        <v>45451</v>
      </c>
      <c r="FH2" s="7">
        <v>45452</v>
      </c>
      <c r="FI2" s="7">
        <v>45453</v>
      </c>
      <c r="FJ2" s="7">
        <v>45454</v>
      </c>
      <c r="FK2" s="7">
        <v>45455</v>
      </c>
      <c r="FL2" s="7">
        <v>45456</v>
      </c>
      <c r="FM2" s="7">
        <v>45457</v>
      </c>
      <c r="FN2" s="7">
        <v>45458</v>
      </c>
      <c r="FO2" s="7">
        <v>45459</v>
      </c>
      <c r="FP2" s="7">
        <v>45460</v>
      </c>
      <c r="FQ2" s="7">
        <v>45461</v>
      </c>
      <c r="FR2" s="7">
        <v>45462</v>
      </c>
      <c r="FS2" s="7">
        <v>45463</v>
      </c>
      <c r="FT2" s="7">
        <v>45464</v>
      </c>
      <c r="FU2" s="7">
        <v>45465</v>
      </c>
      <c r="FV2" s="7">
        <v>45466</v>
      </c>
      <c r="FW2" s="7">
        <v>45467</v>
      </c>
      <c r="FX2" s="7">
        <v>45468</v>
      </c>
      <c r="FY2" s="7">
        <v>45469</v>
      </c>
      <c r="FZ2" s="7">
        <v>45470</v>
      </c>
      <c r="GA2" s="7">
        <v>45471</v>
      </c>
      <c r="GB2" s="7">
        <v>45472</v>
      </c>
      <c r="GC2" s="7">
        <v>45473</v>
      </c>
      <c r="GD2" s="7">
        <v>45474</v>
      </c>
      <c r="GE2" s="7">
        <v>45475</v>
      </c>
      <c r="GF2" s="7">
        <v>45476</v>
      </c>
      <c r="GG2" s="7">
        <v>45477</v>
      </c>
      <c r="GH2" s="7">
        <v>45478</v>
      </c>
      <c r="GI2" s="7">
        <v>45479</v>
      </c>
      <c r="GJ2" s="7">
        <v>45480</v>
      </c>
      <c r="GK2" s="7">
        <v>45481</v>
      </c>
      <c r="GL2" s="7">
        <v>45482</v>
      </c>
      <c r="GM2" s="7">
        <v>45483</v>
      </c>
      <c r="GN2" s="7">
        <v>45484</v>
      </c>
      <c r="GO2" s="7">
        <v>45485</v>
      </c>
      <c r="GP2" s="7">
        <v>45486</v>
      </c>
      <c r="GQ2" s="7">
        <v>45487</v>
      </c>
      <c r="GR2" s="7">
        <v>45488</v>
      </c>
      <c r="GS2" s="7">
        <v>45489</v>
      </c>
      <c r="GT2" s="7">
        <v>45490</v>
      </c>
      <c r="GU2" s="7">
        <v>45491</v>
      </c>
      <c r="GV2" s="7">
        <v>45492</v>
      </c>
      <c r="GW2" s="7">
        <v>45493</v>
      </c>
      <c r="GX2" s="7">
        <v>45494</v>
      </c>
      <c r="GY2" s="7">
        <v>45495</v>
      </c>
      <c r="GZ2" s="7">
        <v>45496</v>
      </c>
      <c r="HA2" s="7">
        <v>45497</v>
      </c>
      <c r="HB2" s="7">
        <v>45498</v>
      </c>
      <c r="HC2" s="7">
        <v>45499</v>
      </c>
      <c r="HD2" s="7">
        <v>45500</v>
      </c>
      <c r="HE2" s="7">
        <v>45501</v>
      </c>
      <c r="HF2" s="7">
        <v>45502</v>
      </c>
      <c r="HG2" s="7">
        <v>45503</v>
      </c>
      <c r="HH2" s="7">
        <v>45504</v>
      </c>
      <c r="HI2" s="7">
        <v>45505</v>
      </c>
      <c r="HJ2" s="7">
        <v>45506</v>
      </c>
      <c r="HK2" s="7">
        <v>45507</v>
      </c>
      <c r="HL2" s="7">
        <v>45508</v>
      </c>
      <c r="HM2" s="7">
        <v>45509</v>
      </c>
      <c r="HN2" s="7">
        <v>45510</v>
      </c>
      <c r="HO2" s="7">
        <v>45511</v>
      </c>
      <c r="HP2" s="7">
        <v>45512</v>
      </c>
      <c r="HQ2" s="7">
        <v>45513</v>
      </c>
      <c r="HR2" s="7">
        <v>45514</v>
      </c>
      <c r="HS2" s="7">
        <v>45515</v>
      </c>
      <c r="HT2" s="7">
        <v>45516</v>
      </c>
      <c r="HU2" s="7">
        <v>45517</v>
      </c>
      <c r="HV2" s="7">
        <v>45518</v>
      </c>
      <c r="HW2" s="7">
        <v>45519</v>
      </c>
      <c r="HX2" s="7">
        <v>45520</v>
      </c>
      <c r="HY2" s="7">
        <v>45521</v>
      </c>
      <c r="HZ2" s="7">
        <v>45522</v>
      </c>
      <c r="IA2" s="7">
        <v>45523</v>
      </c>
      <c r="IB2" s="7">
        <v>45524</v>
      </c>
      <c r="IC2" s="7">
        <v>45525</v>
      </c>
      <c r="ID2" s="7">
        <v>45526</v>
      </c>
      <c r="IE2" s="7">
        <v>45527</v>
      </c>
      <c r="IF2" s="7">
        <v>45528</v>
      </c>
      <c r="IG2" s="7">
        <v>45529</v>
      </c>
      <c r="IH2" s="7">
        <v>45530</v>
      </c>
      <c r="II2" s="7">
        <v>45531</v>
      </c>
      <c r="IJ2" s="7">
        <v>45532</v>
      </c>
      <c r="IK2" s="7">
        <v>45533</v>
      </c>
      <c r="IL2" s="7">
        <v>45534</v>
      </c>
      <c r="IM2" s="7">
        <v>45535</v>
      </c>
      <c r="IN2" s="7">
        <v>45536</v>
      </c>
      <c r="IO2" s="7">
        <v>45537</v>
      </c>
      <c r="IP2" s="7">
        <v>45538</v>
      </c>
      <c r="IQ2" s="7">
        <v>45539</v>
      </c>
      <c r="IR2" s="7">
        <v>45540</v>
      </c>
      <c r="IS2" s="7">
        <v>45541</v>
      </c>
      <c r="IT2" s="7">
        <v>45542</v>
      </c>
      <c r="IU2" s="7">
        <v>45543</v>
      </c>
      <c r="IV2" s="7">
        <v>45544</v>
      </c>
      <c r="IW2" s="7">
        <v>45545</v>
      </c>
      <c r="IX2" s="7">
        <v>45546</v>
      </c>
      <c r="IY2" s="7">
        <v>45547</v>
      </c>
      <c r="IZ2" s="7">
        <v>45548</v>
      </c>
      <c r="JA2" s="7">
        <v>45549</v>
      </c>
      <c r="JB2" s="7">
        <v>45550</v>
      </c>
      <c r="JC2" s="7">
        <v>45551</v>
      </c>
      <c r="JD2" s="7">
        <v>45552</v>
      </c>
      <c r="JE2" s="7">
        <v>45553</v>
      </c>
      <c r="JF2" s="7">
        <v>45554</v>
      </c>
      <c r="JG2" s="7">
        <v>45555</v>
      </c>
      <c r="JH2" s="7">
        <v>45556</v>
      </c>
      <c r="JI2" s="7">
        <v>45557</v>
      </c>
      <c r="JJ2" s="7">
        <v>45558</v>
      </c>
      <c r="JK2" s="7">
        <v>45559</v>
      </c>
      <c r="JL2" s="7">
        <v>45560</v>
      </c>
      <c r="JM2" s="7">
        <v>45561</v>
      </c>
      <c r="JN2" s="7">
        <v>45562</v>
      </c>
      <c r="JO2" s="7">
        <v>45563</v>
      </c>
      <c r="JP2" s="7">
        <v>45564</v>
      </c>
      <c r="JQ2" s="7">
        <v>45565</v>
      </c>
      <c r="JR2" s="7">
        <v>45566</v>
      </c>
      <c r="JS2" s="7">
        <v>45567</v>
      </c>
      <c r="JT2" s="7">
        <v>45568</v>
      </c>
      <c r="JU2" s="7">
        <v>45569</v>
      </c>
      <c r="JV2" s="7">
        <v>45570</v>
      </c>
      <c r="JW2" s="7">
        <v>45571</v>
      </c>
      <c r="JX2" s="7">
        <v>45572</v>
      </c>
      <c r="JY2" s="7">
        <v>45573</v>
      </c>
      <c r="JZ2" s="7">
        <v>45574</v>
      </c>
      <c r="KA2" s="7">
        <v>45575</v>
      </c>
      <c r="KB2" s="7">
        <v>45576</v>
      </c>
      <c r="KC2" s="7">
        <v>45577</v>
      </c>
      <c r="KD2" s="7">
        <v>45578</v>
      </c>
      <c r="KE2" s="7">
        <v>45579</v>
      </c>
      <c r="KF2" s="7">
        <v>45580</v>
      </c>
      <c r="KG2" s="7">
        <v>45581</v>
      </c>
      <c r="KH2" s="7">
        <v>45582</v>
      </c>
      <c r="KI2" s="7">
        <v>45583</v>
      </c>
      <c r="KJ2" s="7">
        <v>45584</v>
      </c>
      <c r="KK2" s="7">
        <v>45585</v>
      </c>
      <c r="KL2" s="7">
        <v>45586</v>
      </c>
      <c r="KM2" s="7">
        <v>45587</v>
      </c>
      <c r="KN2" s="7">
        <v>45588</v>
      </c>
      <c r="KO2" s="7">
        <v>45589</v>
      </c>
      <c r="KP2" s="7">
        <v>45590</v>
      </c>
      <c r="KQ2" s="7">
        <v>45591</v>
      </c>
      <c r="KR2" s="7">
        <v>45592</v>
      </c>
      <c r="KS2" s="7">
        <v>45593</v>
      </c>
      <c r="KT2" s="7">
        <v>45594</v>
      </c>
      <c r="KU2" s="7">
        <v>45595</v>
      </c>
      <c r="KV2" s="7">
        <v>45596</v>
      </c>
      <c r="KW2" s="7">
        <v>45597</v>
      </c>
      <c r="KX2" s="7">
        <v>45598</v>
      </c>
      <c r="KY2" s="7">
        <v>45599</v>
      </c>
      <c r="KZ2" s="7">
        <v>45600</v>
      </c>
      <c r="LA2" s="7">
        <v>45601</v>
      </c>
      <c r="LB2" s="7">
        <v>45602</v>
      </c>
      <c r="LC2" s="7">
        <v>45603</v>
      </c>
      <c r="LD2" s="7">
        <v>45604</v>
      </c>
      <c r="LE2" s="7">
        <v>45605</v>
      </c>
      <c r="LF2" s="7">
        <v>45606</v>
      </c>
      <c r="LG2" s="7">
        <v>45607</v>
      </c>
      <c r="LH2" s="7">
        <v>45608</v>
      </c>
      <c r="LI2" s="7">
        <v>45609</v>
      </c>
      <c r="LJ2" s="7">
        <v>45610</v>
      </c>
      <c r="LK2" s="7">
        <v>45611</v>
      </c>
      <c r="LL2" s="7">
        <v>45612</v>
      </c>
      <c r="LM2" s="7">
        <v>45613</v>
      </c>
      <c r="LN2" s="7">
        <v>45614</v>
      </c>
      <c r="LO2" s="7">
        <v>45615</v>
      </c>
      <c r="LP2" s="7">
        <v>45616</v>
      </c>
      <c r="LQ2" s="7">
        <v>45617</v>
      </c>
      <c r="LR2" s="7">
        <v>45618</v>
      </c>
      <c r="LS2" s="7">
        <v>45619</v>
      </c>
      <c r="LT2" s="7">
        <v>45620</v>
      </c>
      <c r="LU2" s="7">
        <v>45621</v>
      </c>
      <c r="LV2" s="7">
        <v>45622</v>
      </c>
      <c r="LW2" s="7">
        <v>45623</v>
      </c>
      <c r="LX2" s="7">
        <v>45624</v>
      </c>
      <c r="LY2" s="7">
        <v>45625</v>
      </c>
      <c r="LZ2" s="7">
        <v>45626</v>
      </c>
      <c r="MA2" s="7">
        <v>45627</v>
      </c>
      <c r="MB2" s="7">
        <v>45628</v>
      </c>
      <c r="MC2" s="7">
        <v>45629</v>
      </c>
      <c r="MD2" s="7">
        <v>45630</v>
      </c>
      <c r="ME2" s="7">
        <v>45631</v>
      </c>
      <c r="MF2" s="7">
        <v>45632</v>
      </c>
      <c r="MG2" s="7">
        <v>45633</v>
      </c>
      <c r="MH2" s="7">
        <v>45634</v>
      </c>
      <c r="MI2" s="7">
        <v>45635</v>
      </c>
      <c r="MJ2" s="7">
        <v>45636</v>
      </c>
      <c r="MK2" s="7">
        <v>45637</v>
      </c>
      <c r="ML2" s="7">
        <v>45638</v>
      </c>
      <c r="MM2" s="7">
        <v>45639</v>
      </c>
      <c r="MN2" s="7">
        <v>45640</v>
      </c>
      <c r="MO2" s="7">
        <v>45641</v>
      </c>
      <c r="MP2" s="7">
        <v>45642</v>
      </c>
      <c r="MQ2" s="7">
        <v>45643</v>
      </c>
      <c r="MR2" s="7">
        <v>45644</v>
      </c>
      <c r="MS2" s="7">
        <v>45645</v>
      </c>
      <c r="MT2" s="7">
        <v>45646</v>
      </c>
      <c r="MU2" s="7">
        <v>45647</v>
      </c>
      <c r="MV2" s="7">
        <v>45648</v>
      </c>
      <c r="MW2" s="7">
        <v>45649</v>
      </c>
      <c r="MX2" s="7">
        <v>45650</v>
      </c>
      <c r="MY2" s="7">
        <v>45651</v>
      </c>
      <c r="MZ2" s="7">
        <v>45652</v>
      </c>
      <c r="NA2" s="7">
        <v>45653</v>
      </c>
      <c r="NB2" s="7">
        <v>45654</v>
      </c>
      <c r="NC2" s="7">
        <v>45655</v>
      </c>
      <c r="ND2" s="7">
        <v>45656</v>
      </c>
      <c r="NE2" s="7">
        <v>45657</v>
      </c>
      <c r="NF2" s="7">
        <v>45658</v>
      </c>
      <c r="NG2" s="7">
        <v>45659</v>
      </c>
      <c r="NH2" s="7">
        <v>45660</v>
      </c>
      <c r="NI2" s="7">
        <v>45661</v>
      </c>
      <c r="NJ2" s="7">
        <v>45662</v>
      </c>
      <c r="NK2" s="7">
        <v>45663</v>
      </c>
      <c r="NL2" s="7">
        <v>45664</v>
      </c>
      <c r="NM2" s="7">
        <v>45665</v>
      </c>
      <c r="NN2" s="7">
        <v>45666</v>
      </c>
      <c r="NO2" s="7">
        <v>45667</v>
      </c>
      <c r="NP2" s="7">
        <v>45668</v>
      </c>
      <c r="NQ2" s="7">
        <v>45669</v>
      </c>
      <c r="NR2" s="7">
        <v>45670</v>
      </c>
      <c r="NS2" s="7">
        <v>45671</v>
      </c>
      <c r="NT2" s="7">
        <v>45672</v>
      </c>
      <c r="NU2" s="7">
        <v>45673</v>
      </c>
      <c r="NV2" s="7">
        <v>45674</v>
      </c>
      <c r="NW2" s="7">
        <v>45675</v>
      </c>
      <c r="NX2" s="7">
        <v>45676</v>
      </c>
      <c r="NY2" s="7">
        <v>45677</v>
      </c>
      <c r="NZ2" s="7">
        <v>45678</v>
      </c>
      <c r="OA2" s="7">
        <v>45679</v>
      </c>
      <c r="OB2" s="7">
        <v>45680</v>
      </c>
      <c r="OC2" s="7">
        <v>45681</v>
      </c>
      <c r="OD2" s="7">
        <v>45682</v>
      </c>
      <c r="OE2" s="7">
        <v>45683</v>
      </c>
      <c r="OF2" s="7">
        <v>45684</v>
      </c>
      <c r="OG2" s="7">
        <v>45685</v>
      </c>
      <c r="OH2" s="7">
        <v>45686</v>
      </c>
      <c r="OI2" s="7">
        <v>45687</v>
      </c>
      <c r="OJ2" s="7">
        <v>45688</v>
      </c>
      <c r="OK2" s="7">
        <v>45689</v>
      </c>
      <c r="OL2" s="7">
        <v>45690</v>
      </c>
      <c r="OM2" s="7">
        <v>45691</v>
      </c>
      <c r="ON2" s="7">
        <v>45692</v>
      </c>
      <c r="OO2" s="7">
        <v>45693</v>
      </c>
      <c r="OP2" s="7">
        <v>45694</v>
      </c>
      <c r="OQ2" s="7">
        <v>45695</v>
      </c>
      <c r="OR2" s="7">
        <v>45696</v>
      </c>
      <c r="OS2" s="7">
        <v>45697</v>
      </c>
      <c r="OT2" s="7">
        <v>45698</v>
      </c>
      <c r="OU2" s="7">
        <v>45699</v>
      </c>
      <c r="OV2" s="7">
        <v>45700</v>
      </c>
      <c r="OW2" s="7">
        <v>45701</v>
      </c>
      <c r="OX2" s="7">
        <v>45702</v>
      </c>
      <c r="OY2" s="7">
        <v>45703</v>
      </c>
      <c r="OZ2" s="7">
        <v>45704</v>
      </c>
      <c r="PA2" s="7">
        <v>45705</v>
      </c>
      <c r="PB2" s="7">
        <v>45706</v>
      </c>
      <c r="PC2" s="7">
        <v>45707</v>
      </c>
      <c r="PD2" s="7">
        <v>45708</v>
      </c>
      <c r="PE2" s="7">
        <v>45709</v>
      </c>
      <c r="PF2" s="7">
        <v>45710</v>
      </c>
      <c r="PG2" s="7">
        <v>45711</v>
      </c>
      <c r="PH2" s="7">
        <v>45712</v>
      </c>
      <c r="PI2" s="7">
        <v>45713</v>
      </c>
      <c r="PJ2" s="7">
        <v>45714</v>
      </c>
      <c r="PK2" s="7">
        <v>45715</v>
      </c>
      <c r="PL2" s="7">
        <v>45716</v>
      </c>
      <c r="PM2" s="7" t="s">
        <v>169</v>
      </c>
      <c r="PN2" s="7">
        <v>45717</v>
      </c>
      <c r="PO2" s="7">
        <v>45718</v>
      </c>
      <c r="PP2" s="7">
        <v>45719</v>
      </c>
      <c r="PQ2" s="7">
        <v>45720</v>
      </c>
      <c r="PR2" s="7">
        <v>45721</v>
      </c>
      <c r="PS2" s="7">
        <v>45722</v>
      </c>
      <c r="PT2" s="7">
        <v>45723</v>
      </c>
      <c r="PU2" s="7">
        <v>45724</v>
      </c>
      <c r="PV2" s="7">
        <v>45725</v>
      </c>
      <c r="PW2" s="7">
        <v>45726</v>
      </c>
      <c r="PX2" s="7">
        <v>45727</v>
      </c>
      <c r="PY2" s="7">
        <v>45728</v>
      </c>
      <c r="PZ2" s="7">
        <v>45729</v>
      </c>
      <c r="QA2" s="7">
        <v>45730</v>
      </c>
      <c r="QB2" s="7">
        <v>45731</v>
      </c>
      <c r="QC2" s="7">
        <v>45732</v>
      </c>
      <c r="QD2" s="7">
        <v>45733</v>
      </c>
      <c r="QE2" s="7">
        <v>45734</v>
      </c>
      <c r="QF2" s="7">
        <v>45735</v>
      </c>
      <c r="QG2" s="7">
        <v>45736</v>
      </c>
      <c r="QH2" s="7">
        <v>45737</v>
      </c>
      <c r="QI2" s="7">
        <v>45738</v>
      </c>
      <c r="QJ2" s="7">
        <v>45739</v>
      </c>
      <c r="QK2" s="7">
        <v>45740</v>
      </c>
      <c r="QL2" s="7">
        <v>45741</v>
      </c>
      <c r="QM2" s="7">
        <v>45742</v>
      </c>
      <c r="QN2" s="7">
        <v>45743</v>
      </c>
      <c r="QO2" s="7">
        <v>45744</v>
      </c>
      <c r="QP2" s="7">
        <v>45380</v>
      </c>
      <c r="QQ2" s="7">
        <v>45381</v>
      </c>
      <c r="QR2" s="7">
        <v>45382</v>
      </c>
      <c r="QS2" s="7">
        <v>45383</v>
      </c>
      <c r="QT2" s="7">
        <v>45384</v>
      </c>
      <c r="QU2" s="7">
        <v>45385</v>
      </c>
      <c r="QV2" s="7">
        <v>45386</v>
      </c>
      <c r="QW2" s="7">
        <v>45387</v>
      </c>
      <c r="QX2" s="7">
        <v>45388</v>
      </c>
      <c r="QY2" s="7">
        <v>45389</v>
      </c>
      <c r="QZ2" s="7">
        <v>45390</v>
      </c>
      <c r="RA2" s="7">
        <v>45391</v>
      </c>
      <c r="RB2" s="7">
        <v>45392</v>
      </c>
      <c r="RC2" s="7">
        <v>45393</v>
      </c>
      <c r="RD2" s="7">
        <v>45394</v>
      </c>
      <c r="RE2" s="7">
        <v>45395</v>
      </c>
      <c r="RF2" s="7">
        <v>45396</v>
      </c>
      <c r="RG2" s="7">
        <v>45397</v>
      </c>
      <c r="RH2" s="7">
        <v>45398</v>
      </c>
      <c r="RI2" s="7">
        <v>45399</v>
      </c>
      <c r="RJ2" s="7">
        <v>45400</v>
      </c>
      <c r="RK2" s="7">
        <v>45401</v>
      </c>
      <c r="RL2" s="7">
        <v>45402</v>
      </c>
      <c r="RM2" s="7">
        <v>45403</v>
      </c>
      <c r="RN2" s="7">
        <v>45404</v>
      </c>
      <c r="RO2" s="7">
        <v>45405</v>
      </c>
      <c r="RP2" s="7">
        <v>45406</v>
      </c>
      <c r="RQ2" s="7">
        <v>45407</v>
      </c>
      <c r="RR2" s="7">
        <v>45408</v>
      </c>
      <c r="RS2" s="7">
        <v>45409</v>
      </c>
    </row>
    <row r="3" spans="1:487" x14ac:dyDescent="0.3">
      <c r="A3">
        <v>1</v>
      </c>
      <c r="B3" t="s">
        <v>93</v>
      </c>
      <c r="C3" s="10">
        <v>45370</v>
      </c>
      <c r="D3" s="13">
        <v>45371</v>
      </c>
    </row>
    <row r="4" spans="1:487" x14ac:dyDescent="0.3">
      <c r="A4">
        <v>2</v>
      </c>
      <c r="B4" t="s">
        <v>105</v>
      </c>
      <c r="C4" s="10">
        <v>45423</v>
      </c>
      <c r="D4" s="13">
        <v>45423</v>
      </c>
    </row>
    <row r="5" spans="1:487" x14ac:dyDescent="0.3">
      <c r="A5">
        <v>3</v>
      </c>
      <c r="B5" t="s">
        <v>105</v>
      </c>
      <c r="C5" s="10">
        <v>45423</v>
      </c>
      <c r="D5" s="13">
        <v>45423</v>
      </c>
    </row>
    <row r="6" spans="1:487" x14ac:dyDescent="0.3">
      <c r="A6">
        <v>4</v>
      </c>
      <c r="B6" t="s">
        <v>105</v>
      </c>
      <c r="C6" s="10">
        <v>45423</v>
      </c>
      <c r="D6" s="13">
        <v>45423</v>
      </c>
    </row>
    <row r="7" spans="1:487" x14ac:dyDescent="0.3">
      <c r="A7">
        <v>5</v>
      </c>
      <c r="B7" t="s">
        <v>105</v>
      </c>
      <c r="C7" s="10">
        <v>45429</v>
      </c>
      <c r="D7" s="13">
        <v>45436</v>
      </c>
    </row>
    <row r="8" spans="1:487" x14ac:dyDescent="0.3">
      <c r="A8">
        <v>6</v>
      </c>
      <c r="B8" t="s">
        <v>105</v>
      </c>
      <c r="C8" s="10">
        <v>45444</v>
      </c>
      <c r="D8" s="13">
        <v>45444</v>
      </c>
    </row>
    <row r="9" spans="1:487" x14ac:dyDescent="0.3">
      <c r="A9">
        <v>7</v>
      </c>
      <c r="B9" t="s">
        <v>105</v>
      </c>
      <c r="C9" s="10">
        <v>45444</v>
      </c>
      <c r="D9" s="13">
        <v>45444</v>
      </c>
    </row>
    <row r="10" spans="1:487" x14ac:dyDescent="0.3">
      <c r="A10">
        <v>8</v>
      </c>
      <c r="B10" t="s">
        <v>105</v>
      </c>
      <c r="C10" s="10">
        <v>45444</v>
      </c>
      <c r="D10" s="13">
        <v>45444</v>
      </c>
    </row>
    <row r="11" spans="1:487" x14ac:dyDescent="0.3">
      <c r="A11">
        <v>9</v>
      </c>
      <c r="B11" t="s">
        <v>105</v>
      </c>
      <c r="C11" s="10">
        <v>45460</v>
      </c>
      <c r="D11" s="13">
        <v>45460</v>
      </c>
    </row>
    <row r="12" spans="1:487" x14ac:dyDescent="0.3">
      <c r="A12">
        <v>10</v>
      </c>
      <c r="B12" t="s">
        <v>105</v>
      </c>
      <c r="C12" s="10">
        <v>45465</v>
      </c>
      <c r="D12" s="13">
        <v>45465</v>
      </c>
    </row>
    <row r="13" spans="1:487" x14ac:dyDescent="0.3">
      <c r="A13">
        <v>11</v>
      </c>
      <c r="B13" t="s">
        <v>105</v>
      </c>
      <c r="C13" s="10">
        <v>45465</v>
      </c>
      <c r="D13" s="13">
        <v>45465</v>
      </c>
    </row>
    <row r="14" spans="1:487" x14ac:dyDescent="0.3">
      <c r="A14">
        <v>12</v>
      </c>
      <c r="B14" t="s">
        <v>105</v>
      </c>
      <c r="C14" s="10">
        <v>45465</v>
      </c>
      <c r="D14" s="13">
        <v>45465</v>
      </c>
    </row>
    <row r="15" spans="1:487" x14ac:dyDescent="0.3">
      <c r="A15">
        <v>13</v>
      </c>
      <c r="B15" t="s">
        <v>105</v>
      </c>
      <c r="C15" s="10">
        <v>45467</v>
      </c>
      <c r="D15" s="13">
        <v>45465</v>
      </c>
    </row>
    <row r="16" spans="1:487" x14ac:dyDescent="0.3">
      <c r="A16">
        <v>14</v>
      </c>
      <c r="B16" t="s">
        <v>213</v>
      </c>
      <c r="C16" s="10">
        <v>45471</v>
      </c>
      <c r="D16" s="13">
        <v>45471</v>
      </c>
    </row>
    <row r="17" spans="1:4" x14ac:dyDescent="0.3">
      <c r="A17">
        <v>15</v>
      </c>
      <c r="B17" t="s">
        <v>105</v>
      </c>
      <c r="C17" s="10">
        <v>45486</v>
      </c>
      <c r="D17" s="13">
        <v>45486</v>
      </c>
    </row>
    <row r="18" spans="1:4" x14ac:dyDescent="0.3">
      <c r="A18">
        <v>16</v>
      </c>
      <c r="B18" t="s">
        <v>105</v>
      </c>
      <c r="C18" s="10">
        <v>45519</v>
      </c>
      <c r="D18" s="13">
        <v>45519</v>
      </c>
    </row>
    <row r="19" spans="1:4" x14ac:dyDescent="0.3">
      <c r="A19">
        <v>17</v>
      </c>
      <c r="B19" t="s">
        <v>106</v>
      </c>
      <c r="C19" s="10">
        <v>45554</v>
      </c>
      <c r="D19" s="13">
        <v>45554</v>
      </c>
    </row>
    <row r="20" spans="1:4" x14ac:dyDescent="0.3">
      <c r="A20">
        <v>18</v>
      </c>
      <c r="B20" t="s">
        <v>105</v>
      </c>
      <c r="C20" s="10">
        <v>45647</v>
      </c>
      <c r="D20" s="13">
        <v>45647</v>
      </c>
    </row>
    <row r="21" spans="1:4" x14ac:dyDescent="0.3">
      <c r="A21">
        <v>19</v>
      </c>
      <c r="B21" t="s">
        <v>213</v>
      </c>
      <c r="C21" s="10">
        <v>45474</v>
      </c>
      <c r="D21" s="13">
        <v>45474</v>
      </c>
    </row>
    <row r="22" spans="1:4" x14ac:dyDescent="0.3">
      <c r="A22">
        <v>20</v>
      </c>
      <c r="B22" t="s">
        <v>213</v>
      </c>
      <c r="C22" s="10">
        <v>45474</v>
      </c>
      <c r="D22" s="13">
        <v>45475</v>
      </c>
    </row>
    <row r="23" spans="1:4" x14ac:dyDescent="0.3">
      <c r="A23">
        <v>21</v>
      </c>
      <c r="B23" t="s">
        <v>95</v>
      </c>
      <c r="C23" s="10">
        <v>45644</v>
      </c>
      <c r="D23" s="13">
        <v>45644</v>
      </c>
    </row>
  </sheetData>
  <autoFilter ref="A2:D2" xr:uid="{00000000-0009-0000-0000-000003000000}">
    <filterColumn colId="0">
      <filters>
        <filter val="178.00"/>
      </filters>
    </filterColumn>
    <filterColumn colId="1">
      <filters>
        <filter val="CORTE Y SOLDADURA"/>
      </filters>
    </filterColumn>
    <sortState xmlns:xlrd2="http://schemas.microsoft.com/office/spreadsheetml/2017/richdata2" ref="A3:D20">
      <sortCondition ref="C2"/>
    </sortState>
  </autoFilter>
  <conditionalFormatting sqref="E3:RS10857">
    <cfRule type="expression" dxfId="4" priority="1">
      <formula>AND(E$2&gt;=$C3,E$2&lt;=$D3)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FFC000"/>
  </sheetPr>
  <dimension ref="A1:L37"/>
  <sheetViews>
    <sheetView tabSelected="1" zoomScale="65" workbookViewId="0">
      <selection activeCell="F2" sqref="F2"/>
    </sheetView>
  </sheetViews>
  <sheetFormatPr baseColWidth="10" defaultColWidth="9.109375" defaultRowHeight="14.4" x14ac:dyDescent="0.3"/>
  <cols>
    <col min="2" max="2" width="38" customWidth="1"/>
    <col min="3" max="3" width="15.88671875" customWidth="1"/>
    <col min="4" max="4" width="21.109375" customWidth="1"/>
    <col min="5" max="7" width="23.5546875" customWidth="1"/>
    <col min="8" max="8" width="58.33203125" customWidth="1"/>
  </cols>
  <sheetData>
    <row r="1" spans="1:12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44</v>
      </c>
      <c r="G1" t="s">
        <v>12</v>
      </c>
      <c r="H1" t="s">
        <v>3</v>
      </c>
      <c r="I1" t="s">
        <v>15</v>
      </c>
      <c r="J1" t="s">
        <v>16</v>
      </c>
      <c r="K1" t="s">
        <v>45</v>
      </c>
      <c r="L1" t="s">
        <v>46</v>
      </c>
    </row>
    <row r="2" spans="1:12" x14ac:dyDescent="0.3">
      <c r="A2">
        <v>1</v>
      </c>
      <c r="B2" t="s">
        <v>88</v>
      </c>
      <c r="C2" t="s">
        <v>89</v>
      </c>
      <c r="D2" t="s">
        <v>175</v>
      </c>
      <c r="E2" t="s">
        <v>90</v>
      </c>
      <c r="F2" t="s">
        <v>143</v>
      </c>
      <c r="G2" t="s">
        <v>182</v>
      </c>
      <c r="H2" t="s">
        <v>233</v>
      </c>
      <c r="J2" t="e">
        <f ca="1">AVERAGEIF(tabla_mant[[#All],[MAQUINA]],tabla_maquinas[[#This Row],[ID ]],tabla_mant[TIEMPO DE REPARACIÓN])</f>
        <v>#DIV/0!</v>
      </c>
      <c r="K2" t="s">
        <v>83</v>
      </c>
      <c r="L2">
        <v>8</v>
      </c>
    </row>
    <row r="3" spans="1:12" x14ac:dyDescent="0.3">
      <c r="A3">
        <v>2</v>
      </c>
      <c r="B3" t="s">
        <v>97</v>
      </c>
      <c r="C3" t="s">
        <v>98</v>
      </c>
      <c r="D3" t="s">
        <v>97</v>
      </c>
      <c r="E3" t="s">
        <v>99</v>
      </c>
      <c r="F3" t="s">
        <v>100</v>
      </c>
      <c r="G3" t="s">
        <v>182</v>
      </c>
      <c r="H3" t="s">
        <v>101</v>
      </c>
      <c r="J3">
        <f ca="1">AVERAGEIF(tabla_mant[[#All],[MAQUINA]],tabla_maquinas[[#This Row],[ID ]],tabla_mant[TIEMPO DE REPARACIÓN])</f>
        <v>120</v>
      </c>
      <c r="K3" t="s">
        <v>84</v>
      </c>
      <c r="L3">
        <v>8</v>
      </c>
    </row>
    <row r="4" spans="1:12" x14ac:dyDescent="0.3">
      <c r="A4">
        <v>3</v>
      </c>
      <c r="B4" t="s">
        <v>102</v>
      </c>
      <c r="C4" t="s">
        <v>98</v>
      </c>
      <c r="D4" t="s">
        <v>174</v>
      </c>
      <c r="E4" t="s">
        <v>90</v>
      </c>
      <c r="F4" t="s">
        <v>103</v>
      </c>
      <c r="G4" t="s">
        <v>182</v>
      </c>
      <c r="H4" t="s">
        <v>104</v>
      </c>
      <c r="J4">
        <f ca="1">AVERAGEIF(tabla_mant[[#All],[MAQUINA]],tabla_maquinas[[#This Row],[ID ]],tabla_mant[TIEMPO DE REPARACIÓN])</f>
        <v>80</v>
      </c>
      <c r="K4" t="s">
        <v>84</v>
      </c>
      <c r="L4">
        <v>8</v>
      </c>
    </row>
    <row r="5" spans="1:12" x14ac:dyDescent="0.3">
      <c r="A5">
        <v>4</v>
      </c>
      <c r="B5" t="s">
        <v>227</v>
      </c>
      <c r="C5" t="s">
        <v>98</v>
      </c>
      <c r="D5" t="s">
        <v>109</v>
      </c>
      <c r="E5" t="s">
        <v>99</v>
      </c>
      <c r="F5" t="s">
        <v>110</v>
      </c>
      <c r="G5" t="s">
        <v>183</v>
      </c>
      <c r="H5" t="s">
        <v>111</v>
      </c>
      <c r="J5">
        <f ca="1">AVERAGEIF(tabla_mant[[#All],[MAQUINA]],tabla_maquinas[[#This Row],[ID ]],tabla_mant[TIEMPO DE REPARACIÓN])</f>
        <v>120</v>
      </c>
      <c r="K5" t="s">
        <v>108</v>
      </c>
      <c r="L5">
        <v>8</v>
      </c>
    </row>
    <row r="6" spans="1:12" x14ac:dyDescent="0.3">
      <c r="A6">
        <v>5</v>
      </c>
      <c r="B6" t="s">
        <v>228</v>
      </c>
      <c r="C6" t="s">
        <v>98</v>
      </c>
      <c r="D6" t="s">
        <v>109</v>
      </c>
      <c r="E6" t="s">
        <v>99</v>
      </c>
      <c r="F6" t="s">
        <v>112</v>
      </c>
      <c r="G6" t="s">
        <v>113</v>
      </c>
      <c r="H6" t="s">
        <v>114</v>
      </c>
      <c r="J6" t="e">
        <f ca="1">AVERAGEIF(tabla_mant[[#All],[MAQUINA]],tabla_maquinas[[#This Row],[ID ]],tabla_mant[TIEMPO DE REPARACIÓN])</f>
        <v>#DIV/0!</v>
      </c>
      <c r="K6" t="s">
        <v>108</v>
      </c>
      <c r="L6">
        <v>8</v>
      </c>
    </row>
    <row r="7" spans="1:12" x14ac:dyDescent="0.3">
      <c r="A7">
        <v>6</v>
      </c>
      <c r="B7" t="s">
        <v>229</v>
      </c>
      <c r="C7" t="s">
        <v>98</v>
      </c>
      <c r="D7" t="s">
        <v>109</v>
      </c>
      <c r="E7" t="s">
        <v>99</v>
      </c>
      <c r="F7" t="s">
        <v>115</v>
      </c>
      <c r="G7" t="s">
        <v>116</v>
      </c>
      <c r="H7" t="s">
        <v>114</v>
      </c>
      <c r="J7" t="e">
        <f ca="1">AVERAGEIF(tabla_mant[[#All],[MAQUINA]],tabla_maquinas[[#This Row],[ID ]],tabla_mant[TIEMPO DE REPARACIÓN])</f>
        <v>#DIV/0!</v>
      </c>
      <c r="K7" t="s">
        <v>108</v>
      </c>
      <c r="L7">
        <v>8</v>
      </c>
    </row>
    <row r="8" spans="1:12" x14ac:dyDescent="0.3">
      <c r="A8">
        <v>7</v>
      </c>
      <c r="B8" t="s">
        <v>230</v>
      </c>
      <c r="C8" t="s">
        <v>98</v>
      </c>
      <c r="D8" t="s">
        <v>109</v>
      </c>
      <c r="E8" t="s">
        <v>99</v>
      </c>
      <c r="F8" t="s">
        <v>118</v>
      </c>
      <c r="G8" t="s">
        <v>119</v>
      </c>
      <c r="H8" t="s">
        <v>221</v>
      </c>
      <c r="J8" t="e">
        <f ca="1">AVERAGEIF(tabla_mant[[#All],[MAQUINA]],tabla_maquinas[[#This Row],[ID ]],tabla_mant[TIEMPO DE REPARACIÓN])</f>
        <v>#DIV/0!</v>
      </c>
      <c r="K8" t="s">
        <v>108</v>
      </c>
      <c r="L8">
        <v>8</v>
      </c>
    </row>
    <row r="9" spans="1:12" x14ac:dyDescent="0.3">
      <c r="A9">
        <v>8</v>
      </c>
      <c r="B9" t="s">
        <v>121</v>
      </c>
      <c r="C9" t="s">
        <v>98</v>
      </c>
      <c r="D9" t="s">
        <v>121</v>
      </c>
      <c r="E9" t="s">
        <v>99</v>
      </c>
      <c r="F9" t="s">
        <v>122</v>
      </c>
      <c r="G9" t="s">
        <v>182</v>
      </c>
      <c r="H9" t="s">
        <v>117</v>
      </c>
      <c r="J9">
        <f ca="1">AVERAGEIF(tabla_mant[[#All],[MAQUINA]],tabla_maquinas[[#This Row],[ID ]],tabla_mant[TIEMPO DE REPARACIÓN])</f>
        <v>100</v>
      </c>
      <c r="K9" t="s">
        <v>84</v>
      </c>
      <c r="L9">
        <v>8</v>
      </c>
    </row>
    <row r="10" spans="1:12" x14ac:dyDescent="0.3">
      <c r="A10">
        <v>9</v>
      </c>
      <c r="B10" t="s">
        <v>123</v>
      </c>
      <c r="C10" t="s">
        <v>98</v>
      </c>
      <c r="D10" t="s">
        <v>124</v>
      </c>
      <c r="E10" t="s">
        <v>99</v>
      </c>
      <c r="F10" t="s">
        <v>125</v>
      </c>
      <c r="G10" t="s">
        <v>182</v>
      </c>
      <c r="H10" t="s">
        <v>120</v>
      </c>
      <c r="J10">
        <f ca="1">AVERAGEIF(tabla_mant[[#All],[MAQUINA]],tabla_maquinas[[#This Row],[ID ]],tabla_mant[TIEMPO DE REPARACIÓN])</f>
        <v>100</v>
      </c>
      <c r="K10" t="s">
        <v>84</v>
      </c>
      <c r="L10">
        <v>8</v>
      </c>
    </row>
    <row r="11" spans="1:12" x14ac:dyDescent="0.3">
      <c r="A11">
        <v>10</v>
      </c>
      <c r="B11" t="s">
        <v>121</v>
      </c>
      <c r="C11" t="s">
        <v>98</v>
      </c>
      <c r="D11" t="s">
        <v>126</v>
      </c>
      <c r="E11" t="s">
        <v>99</v>
      </c>
      <c r="F11" t="s">
        <v>127</v>
      </c>
      <c r="G11" t="s">
        <v>128</v>
      </c>
      <c r="H11" t="s">
        <v>129</v>
      </c>
      <c r="J11" t="e">
        <f ca="1">AVERAGEIF(tabla_mant[[#All],[MAQUINA]],tabla_maquinas[[#This Row],[ID ]],tabla_mant[TIEMPO DE REPARACIÓN])</f>
        <v>#DIV/0!</v>
      </c>
      <c r="K11" t="s">
        <v>83</v>
      </c>
      <c r="L11">
        <v>8</v>
      </c>
    </row>
    <row r="12" spans="1:12" x14ac:dyDescent="0.3">
      <c r="A12">
        <v>11</v>
      </c>
      <c r="B12" t="s">
        <v>130</v>
      </c>
      <c r="D12" t="s">
        <v>130</v>
      </c>
      <c r="E12" t="s">
        <v>99</v>
      </c>
      <c r="F12" t="s">
        <v>131</v>
      </c>
      <c r="G12" t="s">
        <v>132</v>
      </c>
      <c r="H12" t="s">
        <v>133</v>
      </c>
      <c r="J12" t="e">
        <f ca="1">AVERAGEIF(tabla_mant[[#All],[MAQUINA]],tabla_maquinas[[#This Row],[ID ]],tabla_mant[TIEMPO DE REPARACIÓN])</f>
        <v>#DIV/0!</v>
      </c>
      <c r="K12" t="s">
        <v>83</v>
      </c>
      <c r="L12">
        <v>8</v>
      </c>
    </row>
    <row r="13" spans="1:12" x14ac:dyDescent="0.3">
      <c r="A13">
        <v>12</v>
      </c>
      <c r="B13" t="s">
        <v>139</v>
      </c>
      <c r="C13" t="s">
        <v>98</v>
      </c>
      <c r="D13" t="s">
        <v>134</v>
      </c>
      <c r="E13" t="s">
        <v>135</v>
      </c>
      <c r="F13" t="s">
        <v>142</v>
      </c>
      <c r="G13" t="s">
        <v>137</v>
      </c>
      <c r="H13" t="s">
        <v>138</v>
      </c>
      <c r="J13">
        <f ca="1">AVERAGEIF(tabla_mant[[#All],[MAQUINA]],tabla_maquinas[[#This Row],[ID ]],tabla_mant[TIEMPO DE REPARACIÓN])</f>
        <v>120</v>
      </c>
      <c r="K13" t="s">
        <v>83</v>
      </c>
      <c r="L13">
        <v>8</v>
      </c>
    </row>
    <row r="14" spans="1:12" x14ac:dyDescent="0.3">
      <c r="A14">
        <v>13</v>
      </c>
      <c r="B14" t="s">
        <v>134</v>
      </c>
      <c r="C14" t="s">
        <v>98</v>
      </c>
      <c r="D14" t="s">
        <v>134</v>
      </c>
      <c r="E14" t="s">
        <v>99</v>
      </c>
      <c r="F14" t="s">
        <v>136</v>
      </c>
      <c r="G14" t="s">
        <v>140</v>
      </c>
      <c r="H14" t="s">
        <v>141</v>
      </c>
      <c r="J14" t="e">
        <f ca="1">AVERAGEIF(tabla_mant[[#All],[MAQUINA]],tabla_maquinas[[#This Row],[ID ]],tabla_mant[TIEMPO DE REPARACIÓN])</f>
        <v>#DIV/0!</v>
      </c>
      <c r="K14" t="s">
        <v>83</v>
      </c>
      <c r="L14">
        <v>8</v>
      </c>
    </row>
    <row r="15" spans="1:12" x14ac:dyDescent="0.3">
      <c r="A15">
        <v>14</v>
      </c>
      <c r="B15" t="s">
        <v>144</v>
      </c>
      <c r="C15" t="s">
        <v>98</v>
      </c>
      <c r="D15" t="s">
        <v>145</v>
      </c>
      <c r="F15" t="s">
        <v>146</v>
      </c>
      <c r="G15" t="s">
        <v>182</v>
      </c>
      <c r="H15" t="s">
        <v>151</v>
      </c>
      <c r="J15" t="e">
        <f ca="1">AVERAGEIF(tabla_mant[[#All],[MAQUINA]],tabla_maquinas[[#This Row],[ID ]],tabla_mant[TIEMPO DE REPARACIÓN])</f>
        <v>#DIV/0!</v>
      </c>
      <c r="K15" t="s">
        <v>83</v>
      </c>
      <c r="L15">
        <v>8</v>
      </c>
    </row>
    <row r="16" spans="1:12" x14ac:dyDescent="0.3">
      <c r="A16">
        <v>15</v>
      </c>
      <c r="B16" t="s">
        <v>147</v>
      </c>
      <c r="C16" t="s">
        <v>148</v>
      </c>
      <c r="E16" t="s">
        <v>99</v>
      </c>
      <c r="F16" t="s">
        <v>149</v>
      </c>
      <c r="G16" t="s">
        <v>150</v>
      </c>
      <c r="H16" t="s">
        <v>234</v>
      </c>
      <c r="J16" t="e">
        <f ca="1">AVERAGEIF(tabla_mant[[#All],[MAQUINA]],tabla_maquinas[[#This Row],[ID ]],tabla_mant[TIEMPO DE REPARACIÓN])</f>
        <v>#DIV/0!</v>
      </c>
      <c r="K16" t="s">
        <v>83</v>
      </c>
      <c r="L16">
        <v>8</v>
      </c>
    </row>
    <row r="17" spans="1:12" x14ac:dyDescent="0.3">
      <c r="A17">
        <v>16</v>
      </c>
      <c r="B17" t="s">
        <v>152</v>
      </c>
      <c r="E17" t="s">
        <v>153</v>
      </c>
      <c r="F17" t="s">
        <v>154</v>
      </c>
      <c r="G17" t="s">
        <v>182</v>
      </c>
      <c r="H17" t="s">
        <v>184</v>
      </c>
      <c r="J17">
        <f ca="1">AVERAGEIF(tabla_mant[[#All],[MAQUINA]],tabla_maquinas[[#This Row],[ID ]],tabla_mant[TIEMPO DE REPARACIÓN])</f>
        <v>75</v>
      </c>
      <c r="K17" t="s">
        <v>84</v>
      </c>
      <c r="L17">
        <v>8</v>
      </c>
    </row>
    <row r="18" spans="1:12" x14ac:dyDescent="0.3">
      <c r="A18">
        <v>17</v>
      </c>
      <c r="B18" t="s">
        <v>156</v>
      </c>
      <c r="D18" t="s">
        <v>156</v>
      </c>
      <c r="F18" t="s">
        <v>157</v>
      </c>
      <c r="G18" t="s">
        <v>158</v>
      </c>
      <c r="H18" t="s">
        <v>188</v>
      </c>
      <c r="J18" t="e">
        <f ca="1">AVERAGEIF(tabla_mant[[#All],[MAQUINA]],tabla_maquinas[[#This Row],[ID ]],tabla_mant[TIEMPO DE REPARACIÓN])</f>
        <v>#DIV/0!</v>
      </c>
      <c r="L18">
        <v>8</v>
      </c>
    </row>
    <row r="19" spans="1:12" x14ac:dyDescent="0.3">
      <c r="A19">
        <v>18</v>
      </c>
      <c r="B19" t="s">
        <v>171</v>
      </c>
      <c r="C19" t="s">
        <v>172</v>
      </c>
      <c r="F19" t="s">
        <v>173</v>
      </c>
      <c r="G19" t="s">
        <v>182</v>
      </c>
      <c r="H19" t="s">
        <v>189</v>
      </c>
      <c r="J19" t="e">
        <f ca="1">AVERAGEIF(tabla_mant[[#All],[MAQUINA]],tabla_maquinas[[#This Row],[ID ]],tabla_mant[TIEMPO DE REPARACIÓN])</f>
        <v>#DIV/0!</v>
      </c>
      <c r="K19" t="s">
        <v>83</v>
      </c>
      <c r="L19">
        <v>8</v>
      </c>
    </row>
    <row r="20" spans="1:12" x14ac:dyDescent="0.3">
      <c r="A20">
        <v>19</v>
      </c>
      <c r="B20" t="s">
        <v>179</v>
      </c>
      <c r="D20" t="s">
        <v>180</v>
      </c>
      <c r="F20" t="s">
        <v>181</v>
      </c>
      <c r="G20" t="s">
        <v>182</v>
      </c>
      <c r="J20" t="e">
        <f ca="1">AVERAGEIF(tabla_mant[[#All],[MAQUINA]],tabla_maquinas[[#This Row],[ID ]],tabla_mant[TIEMPO DE REPARACIÓN])</f>
        <v>#DIV/0!</v>
      </c>
      <c r="K20" t="s">
        <v>178</v>
      </c>
      <c r="L20">
        <v>8</v>
      </c>
    </row>
    <row r="21" spans="1:12" x14ac:dyDescent="0.3">
      <c r="A21">
        <v>20</v>
      </c>
      <c r="B21" t="s">
        <v>191</v>
      </c>
      <c r="C21" t="s">
        <v>200</v>
      </c>
      <c r="D21" t="s">
        <v>199</v>
      </c>
      <c r="F21">
        <v>2206387505</v>
      </c>
      <c r="G21" t="s">
        <v>192</v>
      </c>
      <c r="H21" t="s">
        <v>190</v>
      </c>
      <c r="J21">
        <f ca="1">AVERAGEIF(tabla_mant[[#All],[MAQUINA]],tabla_maquinas[[#This Row],[ID ]],tabla_mant[TIEMPO DE REPARACIÓN])</f>
        <v>90</v>
      </c>
      <c r="K21" t="s">
        <v>83</v>
      </c>
      <c r="L21">
        <v>8</v>
      </c>
    </row>
    <row r="22" spans="1:12" x14ac:dyDescent="0.3">
      <c r="A22">
        <v>21</v>
      </c>
      <c r="B22" t="s">
        <v>247</v>
      </c>
      <c r="C22" t="s">
        <v>210</v>
      </c>
      <c r="D22" t="s">
        <v>206</v>
      </c>
      <c r="E22" t="s">
        <v>207</v>
      </c>
      <c r="F22" t="s">
        <v>208</v>
      </c>
      <c r="G22" t="s">
        <v>182</v>
      </c>
      <c r="J22">
        <f ca="1">AVERAGEIF(tabla_mant[[#All],[MAQUINA]],tabla_maquinas[[#This Row],[ID ]],tabla_mant[TIEMPO DE REPARACIÓN])</f>
        <v>150</v>
      </c>
      <c r="K22" t="s">
        <v>204</v>
      </c>
      <c r="L22">
        <v>60</v>
      </c>
    </row>
    <row r="23" spans="1:12" x14ac:dyDescent="0.3">
      <c r="A23">
        <v>22</v>
      </c>
      <c r="B23" t="s">
        <v>249</v>
      </c>
      <c r="C23" t="s">
        <v>210</v>
      </c>
      <c r="D23" t="s">
        <v>206</v>
      </c>
      <c r="E23" t="s">
        <v>207</v>
      </c>
      <c r="F23" t="s">
        <v>216</v>
      </c>
      <c r="G23" t="s">
        <v>182</v>
      </c>
      <c r="J23" t="e">
        <f ca="1">AVERAGEIF(tabla_mant[[#All],[MAQUINA]],tabla_maquinas[[#This Row],[ID ]],tabla_mant[TIEMPO DE REPARACIÓN])</f>
        <v>#DIV/0!</v>
      </c>
      <c r="K23" t="s">
        <v>204</v>
      </c>
      <c r="L23">
        <v>8</v>
      </c>
    </row>
    <row r="24" spans="1:12" x14ac:dyDescent="0.3">
      <c r="A24">
        <v>23</v>
      </c>
      <c r="B24" t="s">
        <v>246</v>
      </c>
      <c r="C24" t="s">
        <v>219</v>
      </c>
      <c r="D24" t="s">
        <v>218</v>
      </c>
      <c r="E24" t="s">
        <v>207</v>
      </c>
      <c r="F24" t="s">
        <v>217</v>
      </c>
      <c r="G24" t="s">
        <v>182</v>
      </c>
      <c r="J24" t="e">
        <f ca="1">AVERAGEIF(tabla_mant[[#All],[MAQUINA]],tabla_maquinas[[#This Row],[ID ]],tabla_mant[TIEMPO DE REPARACIÓN])</f>
        <v>#DIV/0!</v>
      </c>
      <c r="K24" t="s">
        <v>204</v>
      </c>
      <c r="L24">
        <v>8</v>
      </c>
    </row>
    <row r="25" spans="1:12" x14ac:dyDescent="0.3">
      <c r="A25">
        <v>24</v>
      </c>
      <c r="B25" t="s">
        <v>248</v>
      </c>
      <c r="C25" t="s">
        <v>205</v>
      </c>
      <c r="D25" t="s">
        <v>206</v>
      </c>
      <c r="E25" t="s">
        <v>207</v>
      </c>
      <c r="F25" t="s">
        <v>220</v>
      </c>
      <c r="G25" t="s">
        <v>182</v>
      </c>
      <c r="J25">
        <f ca="1">AVERAGEIF(tabla_mant[[#All],[MAQUINA]],tabla_maquinas[[#This Row],[ID ]],tabla_mant[TIEMPO DE REPARACIÓN])</f>
        <v>120</v>
      </c>
      <c r="K25" t="s">
        <v>204</v>
      </c>
      <c r="L25">
        <v>8</v>
      </c>
    </row>
    <row r="26" spans="1:12" x14ac:dyDescent="0.3">
      <c r="A26">
        <v>25</v>
      </c>
      <c r="B26" t="s">
        <v>231</v>
      </c>
      <c r="C26" t="s">
        <v>98</v>
      </c>
      <c r="D26" t="s">
        <v>109</v>
      </c>
      <c r="E26" t="s">
        <v>99</v>
      </c>
      <c r="F26" t="s">
        <v>222</v>
      </c>
      <c r="G26" t="s">
        <v>223</v>
      </c>
      <c r="H26" t="s">
        <v>224</v>
      </c>
      <c r="J26" t="e">
        <f ca="1">AVERAGEIF(tabla_mant[[#All],[MAQUINA]],tabla_maquinas[[#This Row],[ID ]],tabla_mant[TIEMPO DE REPARACIÓN])</f>
        <v>#DIV/0!</v>
      </c>
      <c r="K26" t="s">
        <v>108</v>
      </c>
      <c r="L26">
        <v>8</v>
      </c>
    </row>
    <row r="27" spans="1:12" x14ac:dyDescent="0.3">
      <c r="A27">
        <v>26</v>
      </c>
      <c r="B27" t="s">
        <v>232</v>
      </c>
      <c r="C27" t="s">
        <v>98</v>
      </c>
      <c r="D27" t="s">
        <v>109</v>
      </c>
      <c r="E27" t="s">
        <v>99</v>
      </c>
      <c r="F27" t="s">
        <v>225</v>
      </c>
      <c r="G27" t="s">
        <v>223</v>
      </c>
      <c r="H27" t="s">
        <v>226</v>
      </c>
      <c r="J27" t="e">
        <f ca="1">AVERAGEIF(tabla_mant[[#All],[MAQUINA]],tabla_maquinas[[#This Row],[ID ]],tabla_mant[TIEMPO DE REPARACIÓN])</f>
        <v>#DIV/0!</v>
      </c>
      <c r="K27" t="s">
        <v>108</v>
      </c>
      <c r="L27">
        <v>8</v>
      </c>
    </row>
    <row r="28" spans="1:12" x14ac:dyDescent="0.3">
      <c r="A28">
        <v>27</v>
      </c>
      <c r="B28" t="s">
        <v>235</v>
      </c>
      <c r="C28" t="s">
        <v>98</v>
      </c>
      <c r="E28" t="s">
        <v>99</v>
      </c>
      <c r="F28" t="s">
        <v>236</v>
      </c>
      <c r="G28" t="s">
        <v>237</v>
      </c>
      <c r="H28" t="s">
        <v>238</v>
      </c>
      <c r="J28" t="e">
        <f ca="1">AVERAGEIF(tabla_mant[[#All],[MAQUINA]],tabla_maquinas[[#This Row],[ID ]],tabla_mant[TIEMPO DE REPARACIÓN])</f>
        <v>#DIV/0!</v>
      </c>
      <c r="K28" t="s">
        <v>83</v>
      </c>
      <c r="L28">
        <v>8</v>
      </c>
    </row>
    <row r="29" spans="1:12" x14ac:dyDescent="0.3">
      <c r="A29">
        <v>28</v>
      </c>
      <c r="B29" t="s">
        <v>239</v>
      </c>
      <c r="C29" t="s">
        <v>98</v>
      </c>
      <c r="G29" t="s">
        <v>237</v>
      </c>
      <c r="H29" t="s">
        <v>240</v>
      </c>
      <c r="J29" t="e">
        <f ca="1">AVERAGEIF(tabla_mant[[#All],[MAQUINA]],tabla_maquinas[[#This Row],[ID ]],tabla_mant[TIEMPO DE REPARACIÓN])</f>
        <v>#DIV/0!</v>
      </c>
      <c r="K29" t="s">
        <v>83</v>
      </c>
      <c r="L29">
        <v>0</v>
      </c>
    </row>
    <row r="30" spans="1:12" x14ac:dyDescent="0.3">
      <c r="J30" t="e">
        <f ca="1">AVERAGEIF(tabla_mant[[#All],[MAQUINA]],tabla_maquinas[[#This Row],[ID ]],tabla_mant[TIEMPO DE REPARACIÓN])</f>
        <v>#DIV/0!</v>
      </c>
    </row>
    <row r="32" spans="1:12" x14ac:dyDescent="0.3">
      <c r="H32" s="1"/>
    </row>
    <row r="34" spans="4:4" x14ac:dyDescent="0.3">
      <c r="D34" s="1"/>
    </row>
    <row r="37" spans="4:4" x14ac:dyDescent="0.3">
      <c r="D37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tabColor rgb="FFFFC000"/>
  </sheetPr>
  <dimension ref="A1:Q34"/>
  <sheetViews>
    <sheetView topLeftCell="B1" zoomScale="107" workbookViewId="0">
      <selection activeCell="M22" sqref="M22"/>
    </sheetView>
  </sheetViews>
  <sheetFormatPr baseColWidth="10" defaultRowHeight="14.4" x14ac:dyDescent="0.3"/>
  <cols>
    <col min="1" max="1" width="8.109375" customWidth="1"/>
    <col min="2" max="2" width="21.109375" customWidth="1"/>
    <col min="3" max="3" width="15" customWidth="1"/>
    <col min="4" max="4" width="26.6640625" customWidth="1"/>
    <col min="5" max="5" width="27.44140625" customWidth="1"/>
    <col min="6" max="6" width="38.6640625" customWidth="1"/>
    <col min="7" max="7" width="31" customWidth="1"/>
    <col min="8" max="8" width="33.5546875" customWidth="1"/>
    <col min="9" max="9" width="15.5546875" customWidth="1"/>
    <col min="10" max="10" width="24" customWidth="1"/>
    <col min="11" max="11" width="23.44140625" customWidth="1"/>
    <col min="13" max="13" width="16" style="16" customWidth="1"/>
    <col min="14" max="14" width="19" style="16" customWidth="1"/>
    <col min="15" max="15" width="28.33203125" customWidth="1"/>
    <col min="16" max="16" width="19.88671875" customWidth="1"/>
    <col min="17" max="17" width="24.109375" customWidth="1"/>
  </cols>
  <sheetData>
    <row r="1" spans="1:17" x14ac:dyDescent="0.3">
      <c r="A1" t="s">
        <v>2</v>
      </c>
      <c r="B1" t="s">
        <v>8</v>
      </c>
      <c r="C1" t="s">
        <v>4</v>
      </c>
      <c r="D1" t="s">
        <v>5</v>
      </c>
      <c r="E1" t="s">
        <v>14</v>
      </c>
      <c r="F1" t="s">
        <v>1</v>
      </c>
      <c r="G1" t="s">
        <v>6</v>
      </c>
      <c r="H1" t="s">
        <v>12</v>
      </c>
      <c r="I1" t="s">
        <v>7</v>
      </c>
      <c r="J1" t="s">
        <v>17</v>
      </c>
      <c r="K1" t="s">
        <v>41</v>
      </c>
      <c r="L1" t="s">
        <v>42</v>
      </c>
      <c r="M1" s="16" t="s">
        <v>58</v>
      </c>
      <c r="N1" s="16" t="s">
        <v>59</v>
      </c>
      <c r="O1" t="s">
        <v>60</v>
      </c>
      <c r="P1" t="s">
        <v>61</v>
      </c>
      <c r="Q1" t="s">
        <v>33</v>
      </c>
    </row>
    <row r="2" spans="1:17" x14ac:dyDescent="0.3">
      <c r="A2">
        <v>1</v>
      </c>
      <c r="B2">
        <v>4</v>
      </c>
      <c r="C2" s="17">
        <v>45370</v>
      </c>
      <c r="D2" t="s">
        <v>166</v>
      </c>
      <c r="E2" t="b">
        <v>1</v>
      </c>
      <c r="F2" t="s">
        <v>167</v>
      </c>
      <c r="G2" t="s">
        <v>95</v>
      </c>
      <c r="H2" t="s">
        <v>168</v>
      </c>
      <c r="I2" t="b">
        <v>1</v>
      </c>
      <c r="J2">
        <v>60</v>
      </c>
      <c r="K2" s="17">
        <v>45371</v>
      </c>
      <c r="L2">
        <v>90</v>
      </c>
      <c r="M2" s="16">
        <v>0</v>
      </c>
      <c r="N2" s="16">
        <v>0</v>
      </c>
      <c r="O2" t="str">
        <f>VLOOKUP(tabla_mant[[#This Row],[MAQUINA]],tabla_maquinas[],2,FALSE)</f>
        <v>Enrolladora-1</v>
      </c>
      <c r="P2" t="s">
        <v>96</v>
      </c>
      <c r="Q2" t="s">
        <v>93</v>
      </c>
    </row>
    <row r="3" spans="1:17" x14ac:dyDescent="0.3">
      <c r="A3">
        <v>2</v>
      </c>
      <c r="B3">
        <v>8</v>
      </c>
      <c r="C3" s="17">
        <v>45423</v>
      </c>
      <c r="D3" t="s">
        <v>160</v>
      </c>
      <c r="E3" t="b">
        <v>1</v>
      </c>
      <c r="F3" t="s">
        <v>161</v>
      </c>
      <c r="G3" t="s">
        <v>105</v>
      </c>
      <c r="H3" t="s">
        <v>13</v>
      </c>
      <c r="I3" t="b">
        <v>1</v>
      </c>
      <c r="J3">
        <v>120</v>
      </c>
      <c r="K3" s="17">
        <v>45423</v>
      </c>
      <c r="L3">
        <v>21</v>
      </c>
      <c r="M3" s="16">
        <v>0</v>
      </c>
      <c r="N3" s="16">
        <v>0</v>
      </c>
      <c r="O3" t="str">
        <f>VLOOKUP(tabla_mant[[#This Row],[MAQUINA]],tabla_maquinas[],2,FALSE)</f>
        <v>Picadora</v>
      </c>
      <c r="P3" t="s">
        <v>94</v>
      </c>
      <c r="Q3" t="s">
        <v>92</v>
      </c>
    </row>
    <row r="4" spans="1:17" x14ac:dyDescent="0.3">
      <c r="A4">
        <v>3</v>
      </c>
      <c r="B4">
        <v>3</v>
      </c>
      <c r="C4" s="17">
        <v>45423</v>
      </c>
      <c r="D4" t="s">
        <v>162</v>
      </c>
      <c r="E4" t="b">
        <v>1</v>
      </c>
      <c r="F4" t="s">
        <v>163</v>
      </c>
      <c r="G4" t="s">
        <v>105</v>
      </c>
      <c r="H4" t="s">
        <v>13</v>
      </c>
      <c r="I4" t="b">
        <v>1</v>
      </c>
      <c r="J4">
        <v>120</v>
      </c>
      <c r="K4" s="17">
        <v>45423</v>
      </c>
      <c r="L4">
        <v>21</v>
      </c>
      <c r="M4" s="16">
        <v>0</v>
      </c>
      <c r="N4" s="16">
        <v>0</v>
      </c>
      <c r="O4" t="str">
        <f>VLOOKUP(tabla_mant[[#This Row],[MAQUINA]],tabla_maquinas[],2,FALSE)</f>
        <v>Humecteadora</v>
      </c>
      <c r="P4" t="s">
        <v>94</v>
      </c>
      <c r="Q4" t="s">
        <v>92</v>
      </c>
    </row>
    <row r="5" spans="1:17" x14ac:dyDescent="0.3">
      <c r="A5">
        <v>4</v>
      </c>
      <c r="B5">
        <v>9</v>
      </c>
      <c r="C5" s="17">
        <v>45423</v>
      </c>
      <c r="D5" t="s">
        <v>164</v>
      </c>
      <c r="E5" t="b">
        <v>1</v>
      </c>
      <c r="F5" t="s">
        <v>165</v>
      </c>
      <c r="G5" t="s">
        <v>105</v>
      </c>
      <c r="H5" t="s">
        <v>13</v>
      </c>
      <c r="I5" t="b">
        <v>1</v>
      </c>
      <c r="J5">
        <v>60</v>
      </c>
      <c r="K5" s="17">
        <v>45423</v>
      </c>
      <c r="L5">
        <v>21</v>
      </c>
      <c r="M5" s="16">
        <v>0</v>
      </c>
      <c r="N5" s="16">
        <v>0</v>
      </c>
      <c r="O5" t="str">
        <f>VLOOKUP(tabla_mant[[#This Row],[MAQUINA]],tabla_maquinas[],2,FALSE)</f>
        <v>Vanda Transportadora</v>
      </c>
      <c r="P5" t="s">
        <v>94</v>
      </c>
      <c r="Q5" t="s">
        <v>92</v>
      </c>
    </row>
    <row r="6" spans="1:17" x14ac:dyDescent="0.3">
      <c r="A6">
        <v>5</v>
      </c>
      <c r="B6">
        <v>20</v>
      </c>
      <c r="C6" s="17">
        <v>45429</v>
      </c>
      <c r="D6" t="s">
        <v>193</v>
      </c>
      <c r="E6" t="b">
        <v>1</v>
      </c>
      <c r="F6" t="s">
        <v>194</v>
      </c>
      <c r="G6" t="s">
        <v>105</v>
      </c>
      <c r="H6" t="s">
        <v>13</v>
      </c>
      <c r="I6" t="b">
        <v>1</v>
      </c>
      <c r="J6">
        <v>120</v>
      </c>
      <c r="K6" s="17">
        <v>45436</v>
      </c>
      <c r="L6">
        <v>90</v>
      </c>
      <c r="M6" s="16">
        <v>0</v>
      </c>
      <c r="N6" s="16">
        <v>0</v>
      </c>
      <c r="O6" t="str">
        <f>VLOOKUP(tabla_mant[[#This Row],[MAQUINA]],tabla_maquinas[],2,FALSE)</f>
        <v xml:space="preserve">Planta </v>
      </c>
      <c r="P6" t="s">
        <v>94</v>
      </c>
      <c r="Q6" t="s">
        <v>92</v>
      </c>
    </row>
    <row r="7" spans="1:17" x14ac:dyDescent="0.3">
      <c r="A7">
        <v>6</v>
      </c>
      <c r="B7">
        <v>8</v>
      </c>
      <c r="C7" s="17">
        <v>45444</v>
      </c>
      <c r="D7" t="s">
        <v>160</v>
      </c>
      <c r="E7" t="b">
        <v>1</v>
      </c>
      <c r="F7" t="s">
        <v>161</v>
      </c>
      <c r="G7" t="s">
        <v>105</v>
      </c>
      <c r="H7" t="s">
        <v>13</v>
      </c>
      <c r="I7" t="b">
        <v>1</v>
      </c>
      <c r="J7">
        <v>120</v>
      </c>
      <c r="K7" s="17">
        <v>45444</v>
      </c>
      <c r="L7">
        <v>21</v>
      </c>
      <c r="M7" s="16">
        <v>0</v>
      </c>
      <c r="N7" s="16">
        <v>0</v>
      </c>
      <c r="O7" t="str">
        <f>VLOOKUP(tabla_mant[[#This Row],[MAQUINA]],tabla_maquinas[],2,FALSE)</f>
        <v>Picadora</v>
      </c>
      <c r="P7" t="s">
        <v>94</v>
      </c>
      <c r="Q7" t="s">
        <v>92</v>
      </c>
    </row>
    <row r="8" spans="1:17" x14ac:dyDescent="0.3">
      <c r="A8">
        <v>7</v>
      </c>
      <c r="B8">
        <v>3</v>
      </c>
      <c r="C8" s="17">
        <v>45444</v>
      </c>
      <c r="D8" t="s">
        <v>162</v>
      </c>
      <c r="E8" t="b">
        <v>1</v>
      </c>
      <c r="F8" t="s">
        <v>163</v>
      </c>
      <c r="G8" t="s">
        <v>105</v>
      </c>
      <c r="H8" t="s">
        <v>13</v>
      </c>
      <c r="I8" t="b">
        <v>1</v>
      </c>
      <c r="J8">
        <v>120</v>
      </c>
      <c r="K8" s="17">
        <v>45444</v>
      </c>
      <c r="L8">
        <v>21</v>
      </c>
      <c r="M8" s="16">
        <v>0</v>
      </c>
      <c r="N8" s="16">
        <v>0</v>
      </c>
      <c r="O8" t="str">
        <f>VLOOKUP(tabla_mant[[#This Row],[MAQUINA]],tabla_maquinas[],2,FALSE)</f>
        <v>Humecteadora</v>
      </c>
      <c r="P8" t="s">
        <v>94</v>
      </c>
      <c r="Q8" t="s">
        <v>92</v>
      </c>
    </row>
    <row r="9" spans="1:17" x14ac:dyDescent="0.3">
      <c r="A9">
        <v>8</v>
      </c>
      <c r="B9">
        <v>9</v>
      </c>
      <c r="C9" s="17">
        <v>45444</v>
      </c>
      <c r="D9" t="s">
        <v>164</v>
      </c>
      <c r="E9" t="b">
        <v>1</v>
      </c>
      <c r="F9" t="s">
        <v>165</v>
      </c>
      <c r="G9" t="s">
        <v>105</v>
      </c>
      <c r="H9" t="s">
        <v>13</v>
      </c>
      <c r="I9" t="b">
        <v>1</v>
      </c>
      <c r="J9">
        <v>60</v>
      </c>
      <c r="K9" s="17">
        <v>45444</v>
      </c>
      <c r="L9">
        <v>21</v>
      </c>
      <c r="M9" s="16">
        <v>0</v>
      </c>
      <c r="N9" s="16">
        <v>0</v>
      </c>
      <c r="O9" t="str">
        <f>VLOOKUP(tabla_mant[[#This Row],[MAQUINA]],tabla_maquinas[],2,FALSE)</f>
        <v>Vanda Transportadora</v>
      </c>
      <c r="P9" t="s">
        <v>94</v>
      </c>
      <c r="Q9" t="s">
        <v>92</v>
      </c>
    </row>
    <row r="10" spans="1:17" x14ac:dyDescent="0.3">
      <c r="A10">
        <v>9</v>
      </c>
      <c r="B10">
        <v>4</v>
      </c>
      <c r="C10" s="17">
        <v>45460</v>
      </c>
      <c r="D10" t="s">
        <v>166</v>
      </c>
      <c r="E10" t="b">
        <v>1</v>
      </c>
      <c r="F10" t="s">
        <v>167</v>
      </c>
      <c r="G10" t="s">
        <v>105</v>
      </c>
      <c r="H10" t="s">
        <v>168</v>
      </c>
      <c r="I10" t="b">
        <v>0</v>
      </c>
      <c r="J10">
        <v>60</v>
      </c>
      <c r="K10" s="17">
        <v>45460</v>
      </c>
      <c r="L10">
        <v>90</v>
      </c>
      <c r="M10" s="16">
        <v>0</v>
      </c>
      <c r="N10" s="16">
        <v>0</v>
      </c>
      <c r="O10" t="str">
        <f>VLOOKUP(tabla_mant[[#This Row],[MAQUINA]],tabla_maquinas[],2,FALSE)</f>
        <v>Enrolladora-1</v>
      </c>
      <c r="P10" t="s">
        <v>96</v>
      </c>
      <c r="Q10" t="s">
        <v>93</v>
      </c>
    </row>
    <row r="11" spans="1:17" x14ac:dyDescent="0.3">
      <c r="A11">
        <v>10</v>
      </c>
      <c r="B11">
        <v>3</v>
      </c>
      <c r="C11" s="17">
        <v>45465</v>
      </c>
      <c r="D11" t="s">
        <v>162</v>
      </c>
      <c r="E11" t="b">
        <v>1</v>
      </c>
      <c r="F11" t="s">
        <v>163</v>
      </c>
      <c r="G11" t="s">
        <v>105</v>
      </c>
      <c r="H11" t="s">
        <v>13</v>
      </c>
      <c r="I11" t="b">
        <v>1</v>
      </c>
      <c r="J11">
        <v>120</v>
      </c>
      <c r="K11" s="17">
        <v>45465</v>
      </c>
      <c r="L11">
        <v>21</v>
      </c>
      <c r="M11" s="16">
        <v>0</v>
      </c>
      <c r="N11" s="16">
        <v>0</v>
      </c>
      <c r="O11" t="str">
        <f>VLOOKUP(tabla_mant[[#This Row],[MAQUINA]],tabla_maquinas[],2,FALSE)</f>
        <v>Humecteadora</v>
      </c>
      <c r="P11" t="s">
        <v>94</v>
      </c>
      <c r="Q11" t="s">
        <v>92</v>
      </c>
    </row>
    <row r="12" spans="1:17" x14ac:dyDescent="0.3">
      <c r="A12">
        <v>11</v>
      </c>
      <c r="B12">
        <v>8</v>
      </c>
      <c r="C12" s="17">
        <v>45465</v>
      </c>
      <c r="D12" t="s">
        <v>160</v>
      </c>
      <c r="E12" t="b">
        <v>1</v>
      </c>
      <c r="F12" t="s">
        <v>161</v>
      </c>
      <c r="G12" t="s">
        <v>105</v>
      </c>
      <c r="H12" t="s">
        <v>13</v>
      </c>
      <c r="I12" t="b">
        <v>0</v>
      </c>
      <c r="J12">
        <v>120</v>
      </c>
      <c r="K12" s="17">
        <v>45465</v>
      </c>
      <c r="L12">
        <v>21</v>
      </c>
      <c r="M12" s="16">
        <v>0</v>
      </c>
      <c r="N12" s="16">
        <v>0</v>
      </c>
      <c r="O12" t="str">
        <f>VLOOKUP(tabla_mant[[#This Row],[MAQUINA]],tabla_maquinas[],2,FALSE)</f>
        <v>Picadora</v>
      </c>
      <c r="P12" t="s">
        <v>94</v>
      </c>
      <c r="Q12" t="s">
        <v>92</v>
      </c>
    </row>
    <row r="13" spans="1:17" x14ac:dyDescent="0.3">
      <c r="A13">
        <v>12</v>
      </c>
      <c r="B13">
        <v>9</v>
      </c>
      <c r="C13" s="17">
        <v>45465</v>
      </c>
      <c r="D13" t="s">
        <v>164</v>
      </c>
      <c r="E13" t="b">
        <v>1</v>
      </c>
      <c r="F13" t="s">
        <v>165</v>
      </c>
      <c r="G13" t="s">
        <v>105</v>
      </c>
      <c r="H13" t="s">
        <v>13</v>
      </c>
      <c r="I13" t="b">
        <v>0</v>
      </c>
      <c r="J13">
        <v>60</v>
      </c>
      <c r="K13" s="17">
        <v>45465</v>
      </c>
      <c r="L13">
        <v>21</v>
      </c>
      <c r="M13" s="16">
        <v>0</v>
      </c>
      <c r="N13" s="16">
        <v>0</v>
      </c>
      <c r="O13" t="str">
        <f>VLOOKUP(tabla_mant[[#This Row],[MAQUINA]],tabla_maquinas[],2,FALSE)</f>
        <v>Vanda Transportadora</v>
      </c>
      <c r="P13" t="s">
        <v>94</v>
      </c>
      <c r="Q13" t="s">
        <v>92</v>
      </c>
    </row>
    <row r="14" spans="1:17" x14ac:dyDescent="0.3">
      <c r="A14">
        <v>13</v>
      </c>
      <c r="B14">
        <v>16</v>
      </c>
      <c r="C14" s="17">
        <v>45467</v>
      </c>
      <c r="D14" t="s">
        <v>185</v>
      </c>
      <c r="E14" t="b">
        <v>1</v>
      </c>
      <c r="F14" t="s">
        <v>186</v>
      </c>
      <c r="G14" t="s">
        <v>105</v>
      </c>
      <c r="H14" t="s">
        <v>187</v>
      </c>
      <c r="I14" t="b">
        <v>1</v>
      </c>
      <c r="J14">
        <v>120</v>
      </c>
      <c r="K14" s="17">
        <v>45467</v>
      </c>
      <c r="L14">
        <v>180</v>
      </c>
      <c r="M14" s="16">
        <v>0</v>
      </c>
      <c r="N14" s="16">
        <v>0</v>
      </c>
      <c r="O14" t="str">
        <f>VLOOKUP(tabla_mant[[#This Row],[MAQUINA]],tabla_maquinas[],2,FALSE)</f>
        <v>Compresor</v>
      </c>
      <c r="P14" t="s">
        <v>94</v>
      </c>
      <c r="Q14" t="s">
        <v>92</v>
      </c>
    </row>
    <row r="15" spans="1:17" x14ac:dyDescent="0.3">
      <c r="A15">
        <v>14</v>
      </c>
      <c r="B15">
        <v>24</v>
      </c>
      <c r="C15" s="17">
        <v>45471</v>
      </c>
      <c r="D15" t="s">
        <v>209</v>
      </c>
      <c r="E15" t="b">
        <v>0</v>
      </c>
      <c r="F15" t="s">
        <v>211</v>
      </c>
      <c r="G15" t="s">
        <v>212</v>
      </c>
      <c r="H15" t="s">
        <v>214</v>
      </c>
      <c r="I15" t="b">
        <v>1</v>
      </c>
      <c r="J15">
        <v>120</v>
      </c>
      <c r="K15" s="17">
        <v>45471</v>
      </c>
      <c r="L15">
        <v>0</v>
      </c>
      <c r="M15" s="16">
        <v>70000</v>
      </c>
      <c r="N15" s="16">
        <v>0</v>
      </c>
      <c r="O15" t="str">
        <f>VLOOKUP(tabla_mant[[#This Row],[MAQUINA]],tabla_maquinas[],2,FALSE)</f>
        <v>Camion 2008</v>
      </c>
      <c r="P15" t="s">
        <v>215</v>
      </c>
      <c r="Q15" t="s">
        <v>213</v>
      </c>
    </row>
    <row r="16" spans="1:17" x14ac:dyDescent="0.3">
      <c r="A16">
        <v>15</v>
      </c>
      <c r="B16">
        <v>12</v>
      </c>
      <c r="C16" s="17">
        <v>45486</v>
      </c>
      <c r="D16" t="s">
        <v>162</v>
      </c>
      <c r="E16" t="b">
        <v>1</v>
      </c>
      <c r="F16" t="s">
        <v>163</v>
      </c>
      <c r="G16" t="s">
        <v>105</v>
      </c>
      <c r="H16" t="s">
        <v>13</v>
      </c>
      <c r="I16" t="b">
        <v>0</v>
      </c>
      <c r="J16">
        <v>120</v>
      </c>
      <c r="K16" s="17">
        <v>45486</v>
      </c>
      <c r="L16">
        <v>21</v>
      </c>
      <c r="M16" s="16">
        <v>0</v>
      </c>
      <c r="N16" s="16">
        <v>0</v>
      </c>
      <c r="O16" t="str">
        <f>VLOOKUP(tabla_mant[[#This Row],[MAQUINA]],tabla_maquinas[],2,FALSE)</f>
        <v>Secador</v>
      </c>
      <c r="P16" t="s">
        <v>94</v>
      </c>
      <c r="Q16" t="s">
        <v>92</v>
      </c>
    </row>
    <row r="17" spans="1:17" x14ac:dyDescent="0.3">
      <c r="A17">
        <v>16</v>
      </c>
      <c r="B17">
        <v>20</v>
      </c>
      <c r="C17" s="17">
        <v>45519</v>
      </c>
      <c r="D17" t="s">
        <v>193</v>
      </c>
      <c r="E17" t="b">
        <v>1</v>
      </c>
      <c r="F17" t="s">
        <v>201</v>
      </c>
      <c r="G17" t="s">
        <v>105</v>
      </c>
      <c r="H17" t="s">
        <v>13</v>
      </c>
      <c r="I17" t="b">
        <v>0</v>
      </c>
      <c r="J17">
        <v>120</v>
      </c>
      <c r="K17" s="17">
        <v>45519</v>
      </c>
      <c r="L17">
        <v>90</v>
      </c>
      <c r="M17" s="16">
        <v>0</v>
      </c>
      <c r="N17" s="16">
        <v>0</v>
      </c>
      <c r="O17" t="str">
        <f>VLOOKUP(tabla_mant[[#This Row],[MAQUINA]],tabla_maquinas[],2,FALSE)</f>
        <v xml:space="preserve">Planta </v>
      </c>
      <c r="P17" t="s">
        <v>94</v>
      </c>
      <c r="Q17" t="s">
        <v>92</v>
      </c>
    </row>
    <row r="18" spans="1:17" x14ac:dyDescent="0.3">
      <c r="A18">
        <v>17</v>
      </c>
      <c r="B18">
        <v>2</v>
      </c>
      <c r="C18" s="17">
        <v>45554</v>
      </c>
      <c r="D18" t="s">
        <v>170</v>
      </c>
      <c r="E18" t="b">
        <v>1</v>
      </c>
      <c r="F18" t="s">
        <v>155</v>
      </c>
      <c r="G18" t="s">
        <v>95</v>
      </c>
      <c r="H18" t="s">
        <v>13</v>
      </c>
      <c r="I18" t="b">
        <v>1</v>
      </c>
      <c r="J18">
        <v>60</v>
      </c>
      <c r="K18" s="17">
        <v>45554</v>
      </c>
      <c r="L18">
        <v>90</v>
      </c>
      <c r="M18" s="16">
        <v>0</v>
      </c>
      <c r="N18" s="16">
        <v>0</v>
      </c>
      <c r="O18" t="str">
        <f>VLOOKUP(tabla_mant[[#This Row],[MAQUINA]],tabla_maquinas[],2,FALSE)</f>
        <v>Destierradora</v>
      </c>
      <c r="P18" t="s">
        <v>95</v>
      </c>
      <c r="Q18" t="s">
        <v>91</v>
      </c>
    </row>
    <row r="19" spans="1:17" x14ac:dyDescent="0.3">
      <c r="A19">
        <v>18</v>
      </c>
      <c r="B19">
        <v>16</v>
      </c>
      <c r="C19" s="17">
        <v>45647</v>
      </c>
      <c r="D19" t="s">
        <v>185</v>
      </c>
      <c r="E19" t="b">
        <v>1</v>
      </c>
      <c r="F19" t="s">
        <v>186</v>
      </c>
      <c r="G19" t="s">
        <v>105</v>
      </c>
      <c r="H19" t="s">
        <v>187</v>
      </c>
      <c r="I19" t="b">
        <v>0</v>
      </c>
      <c r="J19">
        <v>120</v>
      </c>
      <c r="K19" s="17">
        <v>45647</v>
      </c>
      <c r="L19">
        <v>180</v>
      </c>
      <c r="M19" s="16">
        <v>0</v>
      </c>
      <c r="N19" s="16">
        <v>0</v>
      </c>
      <c r="O19" t="str">
        <f>VLOOKUP(tabla_mant[[#This Row],[MAQUINA]],tabla_maquinas[],2,FALSE)</f>
        <v>Compresor</v>
      </c>
      <c r="P19" t="s">
        <v>94</v>
      </c>
      <c r="Q19" t="s">
        <v>92</v>
      </c>
    </row>
    <row r="20" spans="1:17" x14ac:dyDescent="0.3">
      <c r="A20">
        <v>19</v>
      </c>
      <c r="B20">
        <v>21</v>
      </c>
      <c r="C20" s="17">
        <v>45474</v>
      </c>
      <c r="D20" t="s">
        <v>250</v>
      </c>
      <c r="E20" t="b">
        <v>0</v>
      </c>
      <c r="F20" t="s">
        <v>251</v>
      </c>
      <c r="G20" t="s">
        <v>213</v>
      </c>
      <c r="H20" t="s">
        <v>13</v>
      </c>
      <c r="I20" t="b">
        <v>1</v>
      </c>
      <c r="J20">
        <v>30</v>
      </c>
      <c r="K20" s="17">
        <v>45474</v>
      </c>
      <c r="L20">
        <v>0</v>
      </c>
      <c r="M20" s="16">
        <v>0</v>
      </c>
      <c r="N20" s="16">
        <v>0</v>
      </c>
      <c r="O20" t="str">
        <f>VLOOKUP(tabla_mant[[#This Row],[MAQUINA]],tabla_maquinas[],2,FALSE)</f>
        <v>Camion 2005</v>
      </c>
      <c r="P20" t="s">
        <v>252</v>
      </c>
      <c r="Q20" t="s">
        <v>212</v>
      </c>
    </row>
    <row r="21" spans="1:17" x14ac:dyDescent="0.3">
      <c r="A21">
        <v>20</v>
      </c>
      <c r="B21">
        <v>21</v>
      </c>
      <c r="C21" s="17">
        <v>45474</v>
      </c>
      <c r="D21" t="s">
        <v>253</v>
      </c>
      <c r="E21" t="b">
        <v>0</v>
      </c>
      <c r="F21" t="s">
        <v>259</v>
      </c>
      <c r="G21" t="s">
        <v>213</v>
      </c>
      <c r="H21" t="s">
        <v>258</v>
      </c>
      <c r="I21" t="b">
        <v>1</v>
      </c>
      <c r="J21">
        <v>240</v>
      </c>
      <c r="K21" s="17">
        <v>45475</v>
      </c>
      <c r="L21">
        <v>0</v>
      </c>
      <c r="M21" s="16">
        <v>150000</v>
      </c>
      <c r="N21" s="16">
        <v>0</v>
      </c>
      <c r="O21" t="str">
        <f>VLOOKUP(tabla_mant[[#This Row],[MAQUINA]],tabla_maquinas[],2,FALSE)</f>
        <v>Camion 2005</v>
      </c>
      <c r="P21" t="s">
        <v>215</v>
      </c>
      <c r="Q21" t="s">
        <v>212</v>
      </c>
    </row>
    <row r="22" spans="1:17" x14ac:dyDescent="0.3">
      <c r="A22">
        <v>21</v>
      </c>
      <c r="B22">
        <v>2</v>
      </c>
      <c r="C22" s="17">
        <v>45644</v>
      </c>
      <c r="D22" t="s">
        <v>170</v>
      </c>
      <c r="E22" t="b">
        <v>1</v>
      </c>
      <c r="F22" t="s">
        <v>155</v>
      </c>
      <c r="G22" t="s">
        <v>95</v>
      </c>
      <c r="H22" t="s">
        <v>13</v>
      </c>
      <c r="I22" t="b">
        <v>0</v>
      </c>
      <c r="J22">
        <v>60</v>
      </c>
      <c r="K22" s="17">
        <v>45644</v>
      </c>
      <c r="L22">
        <v>90</v>
      </c>
      <c r="M22" s="16">
        <v>0</v>
      </c>
      <c r="N22" s="16">
        <v>0</v>
      </c>
      <c r="O22" t="str">
        <f>VLOOKUP(tabla_mant[[#This Row],[MAQUINA]],tabla_maquinas[],2,FALSE)</f>
        <v>Destierradora</v>
      </c>
      <c r="P22" t="s">
        <v>95</v>
      </c>
      <c r="Q22" t="s">
        <v>91</v>
      </c>
    </row>
    <row r="23" spans="1:17" x14ac:dyDescent="0.3">
      <c r="C23" s="17"/>
      <c r="K23" s="17"/>
      <c r="O23" t="e">
        <f>VLOOKUP(tabla_mant[[#This Row],[MAQUINA]],tabla_maquinas[],2,FALSE)</f>
        <v>#N/A</v>
      </c>
    </row>
    <row r="30" spans="1:17" x14ac:dyDescent="0.3">
      <c r="F30" s="1"/>
      <c r="O30" s="1"/>
    </row>
    <row r="32" spans="1:17" x14ac:dyDescent="0.3">
      <c r="D32" s="1"/>
      <c r="F32" s="1"/>
    </row>
    <row r="33" spans="5:6" x14ac:dyDescent="0.3">
      <c r="F33" s="1"/>
    </row>
    <row r="34" spans="5:6" x14ac:dyDescent="0.3">
      <c r="E34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>
    <tabColor rgb="FFFFC000"/>
  </sheetPr>
  <dimension ref="A1:F9"/>
  <sheetViews>
    <sheetView workbookViewId="0">
      <selection activeCell="D23" sqref="D23"/>
    </sheetView>
  </sheetViews>
  <sheetFormatPr baseColWidth="10" defaultRowHeight="14.4" x14ac:dyDescent="0.3"/>
  <cols>
    <col min="1" max="1" width="26.33203125" customWidth="1"/>
    <col min="2" max="2" width="15" customWidth="1"/>
    <col min="3" max="3" width="27.44140625" customWidth="1"/>
    <col min="4" max="4" width="38.6640625" customWidth="1"/>
    <col min="5" max="5" width="13" customWidth="1"/>
    <col min="6" max="6" width="24" style="16" customWidth="1"/>
  </cols>
  <sheetData>
    <row r="1" spans="1:6" x14ac:dyDescent="0.3">
      <c r="A1" t="s">
        <v>56</v>
      </c>
      <c r="B1" t="s">
        <v>4</v>
      </c>
      <c r="C1" t="s">
        <v>47</v>
      </c>
      <c r="D1" t="s">
        <v>1</v>
      </c>
      <c r="E1" t="s">
        <v>57</v>
      </c>
      <c r="F1" s="16" t="s">
        <v>55</v>
      </c>
    </row>
    <row r="2" spans="1:6" x14ac:dyDescent="0.3">
      <c r="A2">
        <v>1</v>
      </c>
      <c r="B2" s="17">
        <v>45087</v>
      </c>
      <c r="C2">
        <v>1</v>
      </c>
      <c r="D2" t="s">
        <v>50</v>
      </c>
      <c r="E2">
        <v>2</v>
      </c>
      <c r="F2" s="16">
        <v>200</v>
      </c>
    </row>
    <row r="3" spans="1:6" x14ac:dyDescent="0.3">
      <c r="A3">
        <v>2</v>
      </c>
      <c r="B3" s="17">
        <v>45087</v>
      </c>
      <c r="C3">
        <v>1</v>
      </c>
      <c r="D3" t="s">
        <v>50</v>
      </c>
      <c r="E3">
        <v>2</v>
      </c>
      <c r="F3" s="16">
        <v>200</v>
      </c>
    </row>
    <row r="4" spans="1:6" x14ac:dyDescent="0.3">
      <c r="A4">
        <v>3</v>
      </c>
      <c r="B4" s="17">
        <v>45463</v>
      </c>
      <c r="C4">
        <v>1</v>
      </c>
      <c r="D4" t="s">
        <v>50</v>
      </c>
      <c r="E4">
        <v>1</v>
      </c>
      <c r="F4" s="28">
        <v>100</v>
      </c>
    </row>
    <row r="5" spans="1:6" x14ac:dyDescent="0.3">
      <c r="A5">
        <v>11</v>
      </c>
      <c r="B5" s="17">
        <v>45464</v>
      </c>
      <c r="C5">
        <v>1</v>
      </c>
      <c r="D5" s="1" t="s">
        <v>50</v>
      </c>
      <c r="E5">
        <v>3</v>
      </c>
      <c r="F5" s="16">
        <v>300</v>
      </c>
    </row>
    <row r="6" spans="1:6" x14ac:dyDescent="0.3">
      <c r="A6">
        <v>19</v>
      </c>
      <c r="B6" s="17">
        <v>45471</v>
      </c>
      <c r="C6">
        <v>3</v>
      </c>
      <c r="D6" t="s">
        <v>53</v>
      </c>
      <c r="E6">
        <v>20</v>
      </c>
      <c r="F6" s="28">
        <v>6000</v>
      </c>
    </row>
    <row r="7" spans="1:6" x14ac:dyDescent="0.3">
      <c r="A7">
        <v>20</v>
      </c>
      <c r="B7" s="17">
        <v>45471</v>
      </c>
      <c r="C7">
        <v>4</v>
      </c>
      <c r="D7" t="s">
        <v>195</v>
      </c>
      <c r="E7">
        <v>10</v>
      </c>
      <c r="F7" s="28">
        <v>1000</v>
      </c>
    </row>
    <row r="8" spans="1:6" x14ac:dyDescent="0.3">
      <c r="A8">
        <v>20</v>
      </c>
      <c r="B8" s="17">
        <v>45471</v>
      </c>
      <c r="C8">
        <v>5</v>
      </c>
      <c r="D8" s="1" t="s">
        <v>196</v>
      </c>
      <c r="E8">
        <v>3</v>
      </c>
      <c r="F8" s="28">
        <v>5.25</v>
      </c>
    </row>
    <row r="9" spans="1:6" x14ac:dyDescent="0.3">
      <c r="A9">
        <v>20</v>
      </c>
      <c r="B9" s="17">
        <v>45471</v>
      </c>
      <c r="C9" s="1">
        <v>4</v>
      </c>
      <c r="D9" t="s">
        <v>195</v>
      </c>
      <c r="E9">
        <v>12</v>
      </c>
      <c r="F9" s="28">
        <v>1200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tabColor rgb="FFFFC000"/>
  </sheetPr>
  <dimension ref="A1:K247"/>
  <sheetViews>
    <sheetView view="pageBreakPreview" zoomScale="80" zoomScaleNormal="91" workbookViewId="0">
      <selection activeCell="K3" sqref="K3"/>
    </sheetView>
  </sheetViews>
  <sheetFormatPr baseColWidth="10" defaultColWidth="11.44140625" defaultRowHeight="13.8" x14ac:dyDescent="0.25"/>
  <cols>
    <col min="1" max="1" width="11.44140625" style="20"/>
    <col min="2" max="2" width="13.44140625" style="20" customWidth="1"/>
    <col min="3" max="5" width="11.44140625" style="20"/>
    <col min="6" max="7" width="11.44140625" style="20" customWidth="1"/>
    <col min="8" max="8" width="5.6640625" style="20" customWidth="1"/>
    <col min="9" max="9" width="0.109375" style="20" customWidth="1"/>
    <col min="10" max="16384" width="11.44140625" style="20"/>
  </cols>
  <sheetData>
    <row r="1" spans="1:11" ht="16.5" customHeight="1" x14ac:dyDescent="0.25">
      <c r="A1" s="59" t="s">
        <v>18</v>
      </c>
      <c r="B1" s="59"/>
      <c r="C1" s="59" t="s">
        <v>202</v>
      </c>
      <c r="D1" s="60"/>
      <c r="E1" s="60"/>
      <c r="F1" s="60"/>
      <c r="G1" s="60"/>
      <c r="H1" s="60"/>
    </row>
    <row r="2" spans="1:11" x14ac:dyDescent="0.25">
      <c r="A2" s="59"/>
      <c r="B2" s="59"/>
      <c r="C2" s="60"/>
      <c r="D2" s="60"/>
      <c r="E2" s="60"/>
      <c r="F2" s="60"/>
      <c r="G2" s="60"/>
      <c r="H2" s="60"/>
    </row>
    <row r="3" spans="1:11" ht="24.75" customHeight="1" x14ac:dyDescent="0.25">
      <c r="A3" s="59"/>
      <c r="B3" s="59"/>
      <c r="C3" s="60"/>
      <c r="D3" s="60"/>
      <c r="E3" s="60"/>
      <c r="F3" s="60"/>
      <c r="G3" s="60"/>
      <c r="H3" s="60"/>
    </row>
    <row r="4" spans="1:11" ht="27" customHeight="1" x14ac:dyDescent="0.25">
      <c r="A4" s="59"/>
      <c r="B4" s="59"/>
      <c r="C4" s="60"/>
      <c r="D4" s="60"/>
      <c r="E4" s="60"/>
      <c r="F4" s="60"/>
      <c r="G4" s="60"/>
      <c r="H4" s="60"/>
    </row>
    <row r="5" spans="1:11" ht="27" customHeight="1" thickBot="1" x14ac:dyDescent="0.3">
      <c r="A5" s="61" t="s">
        <v>62</v>
      </c>
      <c r="B5" s="62"/>
      <c r="C5" s="62"/>
      <c r="D5" s="62"/>
      <c r="E5" s="62"/>
      <c r="F5" s="62"/>
      <c r="G5" s="62"/>
      <c r="H5" s="63"/>
    </row>
    <row r="6" spans="1:11" x14ac:dyDescent="0.25">
      <c r="A6" s="68" t="s">
        <v>19</v>
      </c>
      <c r="B6" s="68"/>
      <c r="C6" s="68" t="s">
        <v>247</v>
      </c>
      <c r="D6" s="68"/>
      <c r="E6" s="68"/>
      <c r="F6" s="68"/>
      <c r="G6" s="68"/>
      <c r="H6" s="68"/>
    </row>
    <row r="7" spans="1:11" x14ac:dyDescent="0.25">
      <c r="A7" s="34" t="s">
        <v>20</v>
      </c>
      <c r="B7" s="34"/>
      <c r="C7" s="69" t="s">
        <v>210</v>
      </c>
      <c r="D7" s="70"/>
      <c r="E7" s="70"/>
      <c r="F7" s="70"/>
      <c r="G7" s="70"/>
      <c r="H7" s="71"/>
    </row>
    <row r="8" spans="1:11" x14ac:dyDescent="0.25">
      <c r="A8" s="34" t="s">
        <v>21</v>
      </c>
      <c r="B8" s="34"/>
      <c r="C8" s="34" t="s">
        <v>206</v>
      </c>
      <c r="D8" s="34"/>
      <c r="E8" s="34"/>
      <c r="F8" s="34"/>
      <c r="G8" s="34"/>
      <c r="H8" s="34"/>
    </row>
    <row r="9" spans="1:11" ht="14.4" thickBot="1" x14ac:dyDescent="0.3">
      <c r="A9" s="67" t="s">
        <v>22</v>
      </c>
      <c r="B9" s="67"/>
      <c r="C9" s="67" t="s">
        <v>207</v>
      </c>
      <c r="D9" s="67"/>
      <c r="E9" s="67"/>
      <c r="F9" s="67"/>
      <c r="G9" s="67"/>
      <c r="H9" s="67"/>
      <c r="K9" s="21"/>
    </row>
    <row r="10" spans="1:11" ht="14.25" customHeight="1" x14ac:dyDescent="0.25">
      <c r="A10" s="64" t="s">
        <v>63</v>
      </c>
      <c r="B10" s="65"/>
      <c r="C10" s="65"/>
      <c r="D10" s="65"/>
      <c r="E10" s="65"/>
      <c r="F10" s="65"/>
      <c r="G10" s="65"/>
      <c r="H10" s="66"/>
      <c r="K10" s="21"/>
    </row>
    <row r="11" spans="1:11" ht="14.4" thickBot="1" x14ac:dyDescent="0.3">
      <c r="A11" s="61"/>
      <c r="B11" s="62"/>
      <c r="C11" s="62"/>
      <c r="D11" s="62"/>
      <c r="E11" s="62"/>
      <c r="F11" s="62"/>
      <c r="G11" s="62"/>
      <c r="H11" s="63"/>
      <c r="K11" s="21"/>
    </row>
    <row r="12" spans="1:11" ht="14.4" thickBot="1" x14ac:dyDescent="0.3">
      <c r="A12" s="50" t="s">
        <v>64</v>
      </c>
      <c r="B12" s="51"/>
      <c r="C12" s="52"/>
      <c r="D12" s="56">
        <v>20</v>
      </c>
      <c r="E12" s="57"/>
      <c r="F12" s="57"/>
      <c r="G12" s="57"/>
      <c r="H12" s="58"/>
      <c r="K12" s="21"/>
    </row>
    <row r="13" spans="1:11" ht="14.4" thickBot="1" x14ac:dyDescent="0.3">
      <c r="A13" s="50" t="s">
        <v>66</v>
      </c>
      <c r="B13" s="51"/>
      <c r="C13" s="52"/>
      <c r="D13" s="53">
        <v>45490.612847222219</v>
      </c>
      <c r="E13" s="54"/>
      <c r="F13" s="54"/>
      <c r="G13" s="54"/>
      <c r="H13" s="55"/>
      <c r="K13" s="21"/>
    </row>
    <row r="14" spans="1:11" ht="14.4" thickBot="1" x14ac:dyDescent="0.3">
      <c r="A14" s="50" t="s">
        <v>65</v>
      </c>
      <c r="B14" s="51"/>
      <c r="C14" s="52"/>
      <c r="D14" s="53">
        <v>45298.402083333334</v>
      </c>
      <c r="E14" s="54"/>
      <c r="F14" s="54"/>
      <c r="G14" s="54"/>
      <c r="H14" s="55"/>
      <c r="K14" s="21"/>
    </row>
    <row r="15" spans="1:11" x14ac:dyDescent="0.25">
      <c r="A15" s="50" t="s">
        <v>67</v>
      </c>
      <c r="B15" s="51"/>
      <c r="C15" s="52"/>
      <c r="D15" s="53">
        <v>45475</v>
      </c>
      <c r="E15" s="54"/>
      <c r="F15" s="54"/>
      <c r="G15" s="54"/>
      <c r="H15" s="55"/>
    </row>
    <row r="16" spans="1:11" x14ac:dyDescent="0.25">
      <c r="A16" s="22" t="s">
        <v>68</v>
      </c>
      <c r="B16" s="43" t="s">
        <v>260</v>
      </c>
      <c r="C16" s="44"/>
      <c r="D16" s="45" t="s">
        <v>69</v>
      </c>
      <c r="E16" s="46"/>
      <c r="F16" s="46" t="s">
        <v>7</v>
      </c>
      <c r="G16" s="46"/>
      <c r="H16" s="47"/>
    </row>
    <row r="17" spans="1:8" x14ac:dyDescent="0.25">
      <c r="A17" s="34" t="s">
        <v>24</v>
      </c>
      <c r="B17" s="34"/>
      <c r="C17" s="34"/>
      <c r="D17" s="34" t="s">
        <v>213</v>
      </c>
      <c r="E17" s="34"/>
      <c r="F17" s="34"/>
      <c r="G17" s="34"/>
      <c r="H17" s="34"/>
    </row>
    <row r="18" spans="1:8" ht="56.25" customHeight="1" x14ac:dyDescent="0.25">
      <c r="A18" s="34" t="s">
        <v>25</v>
      </c>
      <c r="B18" s="34"/>
      <c r="C18" s="34"/>
      <c r="D18" s="59" t="s">
        <v>259</v>
      </c>
      <c r="E18" s="59"/>
      <c r="F18" s="59"/>
      <c r="G18" s="59"/>
      <c r="H18" s="59"/>
    </row>
    <row r="19" spans="1:8" ht="76.5" customHeight="1" x14ac:dyDescent="0.25">
      <c r="A19" s="34" t="s">
        <v>23</v>
      </c>
      <c r="B19" s="34"/>
      <c r="C19" s="34"/>
      <c r="D19" s="34" t="s">
        <v>258</v>
      </c>
      <c r="E19" s="34"/>
      <c r="F19" s="34"/>
      <c r="G19" s="34"/>
      <c r="H19" s="34"/>
    </row>
    <row r="20" spans="1:8" x14ac:dyDescent="0.25">
      <c r="A20" s="22" t="s">
        <v>70</v>
      </c>
      <c r="B20" s="48">
        <v>150000</v>
      </c>
      <c r="C20" s="49"/>
      <c r="D20" s="45" t="s">
        <v>71</v>
      </c>
      <c r="E20" s="46"/>
      <c r="F20" s="48">
        <v>0</v>
      </c>
      <c r="G20" s="48"/>
      <c r="H20" s="49"/>
    </row>
    <row r="21" spans="1:8" x14ac:dyDescent="0.25">
      <c r="A21" s="34" t="s">
        <v>77</v>
      </c>
      <c r="B21" s="34"/>
      <c r="C21" s="34"/>
      <c r="D21" s="35" t="s">
        <v>215</v>
      </c>
      <c r="E21" s="35"/>
      <c r="F21" s="35"/>
      <c r="G21" s="35"/>
      <c r="H21" s="35"/>
    </row>
    <row r="22" spans="1:8" x14ac:dyDescent="0.25">
      <c r="A22" s="34" t="s">
        <v>78</v>
      </c>
      <c r="B22" s="34"/>
      <c r="C22" s="34"/>
      <c r="D22" s="35" t="s">
        <v>212</v>
      </c>
      <c r="E22" s="35"/>
      <c r="F22" s="35"/>
      <c r="G22" s="35"/>
      <c r="H22" s="35"/>
    </row>
    <row r="23" spans="1:8" x14ac:dyDescent="0.25">
      <c r="A23" s="40" t="s">
        <v>72</v>
      </c>
      <c r="B23" s="41"/>
      <c r="C23" s="41"/>
      <c r="D23" s="41"/>
      <c r="E23" s="41"/>
      <c r="F23" s="41"/>
      <c r="G23" s="41"/>
      <c r="H23" s="42"/>
    </row>
    <row r="24" spans="1:8" x14ac:dyDescent="0.25">
      <c r="A24" s="40"/>
      <c r="B24" s="41"/>
      <c r="C24" s="41"/>
      <c r="D24" s="41"/>
      <c r="E24" s="41"/>
      <c r="F24" s="41"/>
      <c r="G24" s="41"/>
      <c r="H24" s="42"/>
    </row>
    <row r="25" spans="1:8" x14ac:dyDescent="0.25">
      <c r="A25" s="23" t="s">
        <v>73</v>
      </c>
      <c r="B25" s="34" t="s">
        <v>74</v>
      </c>
      <c r="C25" s="34"/>
      <c r="D25" s="34"/>
      <c r="E25" s="34"/>
      <c r="F25" s="23" t="s">
        <v>75</v>
      </c>
      <c r="G25" s="34" t="s">
        <v>76</v>
      </c>
      <c r="H25" s="34"/>
    </row>
    <row r="26" spans="1:8" x14ac:dyDescent="0.25">
      <c r="A26" s="25">
        <v>4</v>
      </c>
      <c r="B26" s="39" t="s">
        <v>195</v>
      </c>
      <c r="C26" s="39"/>
      <c r="D26" s="39"/>
      <c r="E26" s="39"/>
      <c r="F26" s="24">
        <v>10</v>
      </c>
      <c r="G26" s="38">
        <v>1000</v>
      </c>
      <c r="H26" s="36"/>
    </row>
    <row r="27" spans="1:8" x14ac:dyDescent="0.25">
      <c r="A27" s="24">
        <v>5</v>
      </c>
      <c r="B27" s="39" t="s">
        <v>196</v>
      </c>
      <c r="C27" s="39"/>
      <c r="D27" s="39"/>
      <c r="E27" s="39"/>
      <c r="F27" s="24">
        <v>3</v>
      </c>
      <c r="G27" s="38">
        <v>5.25</v>
      </c>
      <c r="H27" s="36"/>
    </row>
    <row r="28" spans="1:8" x14ac:dyDescent="0.25">
      <c r="A28" s="24">
        <v>4</v>
      </c>
      <c r="B28" s="39" t="s">
        <v>195</v>
      </c>
      <c r="C28" s="39"/>
      <c r="D28" s="39"/>
      <c r="E28" s="39"/>
      <c r="F28" s="24">
        <v>12</v>
      </c>
      <c r="G28" s="36">
        <v>1200</v>
      </c>
      <c r="H28" s="36"/>
    </row>
    <row r="29" spans="1:8" x14ac:dyDescent="0.25">
      <c r="A29" s="24"/>
      <c r="B29" s="39"/>
      <c r="C29" s="39"/>
      <c r="D29" s="39"/>
      <c r="E29" s="39"/>
      <c r="F29" s="24"/>
      <c r="G29" s="36"/>
      <c r="H29" s="36"/>
    </row>
    <row r="30" spans="1:8" x14ac:dyDescent="0.25">
      <c r="A30" s="24"/>
      <c r="B30" s="39"/>
      <c r="C30" s="39"/>
      <c r="D30" s="39"/>
      <c r="E30" s="39"/>
      <c r="F30" s="24"/>
      <c r="G30" s="36"/>
      <c r="H30" s="36"/>
    </row>
    <row r="31" spans="1:8" x14ac:dyDescent="0.25">
      <c r="A31" s="24"/>
      <c r="B31" s="39"/>
      <c r="C31" s="39"/>
      <c r="D31" s="39"/>
      <c r="E31" s="39"/>
      <c r="F31" s="24"/>
      <c r="G31" s="36"/>
      <c r="H31" s="36"/>
    </row>
    <row r="32" spans="1:8" x14ac:dyDescent="0.25">
      <c r="A32" s="24"/>
      <c r="B32" s="39"/>
      <c r="C32" s="39"/>
      <c r="D32" s="39"/>
      <c r="E32" s="39"/>
      <c r="F32" s="24"/>
      <c r="G32" s="36"/>
      <c r="H32" s="36"/>
    </row>
    <row r="33" spans="1:8" x14ac:dyDescent="0.25">
      <c r="A33" s="24"/>
      <c r="B33" s="39"/>
      <c r="C33" s="39"/>
      <c r="D33" s="39"/>
      <c r="E33" s="39"/>
      <c r="F33" s="24"/>
      <c r="G33" s="36"/>
      <c r="H33" s="36"/>
    </row>
    <row r="34" spans="1:8" x14ac:dyDescent="0.25">
      <c r="A34" s="24"/>
      <c r="B34" s="39"/>
      <c r="C34" s="39"/>
      <c r="D34" s="39"/>
      <c r="E34" s="39"/>
      <c r="F34" s="24"/>
      <c r="G34" s="36"/>
      <c r="H34" s="36"/>
    </row>
    <row r="35" spans="1:8" x14ac:dyDescent="0.25">
      <c r="A35" s="24"/>
      <c r="B35" s="39"/>
      <c r="C35" s="39"/>
      <c r="D35" s="39"/>
      <c r="E35" s="39"/>
      <c r="F35" s="24"/>
      <c r="G35" s="36"/>
      <c r="H35" s="36"/>
    </row>
    <row r="36" spans="1:8" x14ac:dyDescent="0.25">
      <c r="A36" s="24"/>
      <c r="B36" s="39"/>
      <c r="C36" s="39"/>
      <c r="D36" s="39"/>
      <c r="E36" s="39"/>
      <c r="F36" s="24"/>
      <c r="G36" s="36"/>
      <c r="H36" s="36"/>
    </row>
    <row r="37" spans="1:8" x14ac:dyDescent="0.25">
      <c r="A37" s="24"/>
      <c r="B37" s="39"/>
      <c r="C37" s="39"/>
      <c r="D37" s="39"/>
      <c r="E37" s="39"/>
      <c r="F37" s="24"/>
      <c r="G37" s="36"/>
      <c r="H37" s="36"/>
    </row>
    <row r="38" spans="1:8" x14ac:dyDescent="0.25">
      <c r="A38" s="24"/>
      <c r="B38" s="39"/>
      <c r="C38" s="39"/>
      <c r="D38" s="39"/>
      <c r="E38" s="39"/>
      <c r="F38" s="24"/>
      <c r="G38" s="36"/>
      <c r="H38" s="36"/>
    </row>
    <row r="39" spans="1:8" x14ac:dyDescent="0.25">
      <c r="A39" s="24"/>
      <c r="B39" s="39"/>
      <c r="C39" s="39"/>
      <c r="D39" s="39"/>
      <c r="E39" s="39"/>
      <c r="F39" s="24"/>
      <c r="G39" s="36"/>
      <c r="H39" s="36"/>
    </row>
    <row r="40" spans="1:8" x14ac:dyDescent="0.25">
      <c r="A40" s="24"/>
      <c r="B40" s="39"/>
      <c r="C40" s="39"/>
      <c r="D40" s="39"/>
      <c r="E40" s="39"/>
      <c r="F40" s="24"/>
      <c r="G40" s="36"/>
      <c r="H40" s="36"/>
    </row>
    <row r="41" spans="1:8" x14ac:dyDescent="0.25">
      <c r="A41" s="24"/>
      <c r="B41" s="39"/>
      <c r="C41" s="39"/>
      <c r="D41" s="39"/>
      <c r="E41" s="39"/>
      <c r="F41" s="24"/>
      <c r="G41" s="36"/>
      <c r="H41" s="36"/>
    </row>
    <row r="42" spans="1:8" x14ac:dyDescent="0.25">
      <c r="A42" s="24"/>
      <c r="B42" s="39"/>
      <c r="C42" s="39"/>
      <c r="D42" s="39"/>
      <c r="E42" s="39"/>
      <c r="F42" s="24"/>
      <c r="G42" s="36"/>
      <c r="H42" s="36"/>
    </row>
    <row r="43" spans="1:8" x14ac:dyDescent="0.25">
      <c r="A43" s="24"/>
      <c r="B43" s="39"/>
      <c r="C43" s="39"/>
      <c r="D43" s="39"/>
      <c r="E43" s="39"/>
      <c r="F43" s="24"/>
      <c r="G43" s="36"/>
      <c r="H43" s="36"/>
    </row>
    <row r="44" spans="1:8" x14ac:dyDescent="0.25">
      <c r="A44" s="24"/>
      <c r="B44" s="39"/>
      <c r="C44" s="39"/>
      <c r="D44" s="39"/>
      <c r="E44" s="39"/>
      <c r="F44" s="24"/>
      <c r="G44" s="36"/>
      <c r="H44" s="36"/>
    </row>
    <row r="45" spans="1:8" x14ac:dyDescent="0.25">
      <c r="A45" s="24"/>
      <c r="B45" s="39"/>
      <c r="C45" s="39"/>
      <c r="D45" s="39"/>
      <c r="E45" s="39"/>
      <c r="F45" s="24"/>
      <c r="G45" s="36"/>
      <c r="H45" s="36"/>
    </row>
    <row r="46" spans="1:8" x14ac:dyDescent="0.25">
      <c r="A46" s="24"/>
      <c r="B46" s="39"/>
      <c r="C46" s="39"/>
      <c r="D46" s="39"/>
      <c r="E46" s="39"/>
      <c r="F46" s="24"/>
      <c r="G46" s="36"/>
      <c r="H46" s="36"/>
    </row>
    <row r="47" spans="1:8" x14ac:dyDescent="0.25">
      <c r="A47" s="24"/>
      <c r="B47" s="39"/>
      <c r="C47" s="39"/>
      <c r="D47" s="39"/>
      <c r="E47" s="39"/>
      <c r="F47" s="24"/>
      <c r="G47" s="36"/>
      <c r="H47" s="36"/>
    </row>
    <row r="48" spans="1:8" x14ac:dyDescent="0.25">
      <c r="A48" s="24"/>
      <c r="B48" s="39"/>
      <c r="C48" s="39"/>
      <c r="D48" s="39"/>
      <c r="E48" s="39"/>
      <c r="F48" s="24"/>
      <c r="G48" s="36"/>
      <c r="H48" s="36"/>
    </row>
    <row r="49" spans="1:8" x14ac:dyDescent="0.25">
      <c r="A49" s="24"/>
      <c r="B49" s="39"/>
      <c r="C49" s="39"/>
      <c r="D49" s="39"/>
      <c r="E49" s="39"/>
      <c r="F49" s="24"/>
      <c r="G49" s="36"/>
      <c r="H49" s="36"/>
    </row>
    <row r="50" spans="1:8" x14ac:dyDescent="0.25">
      <c r="A50" s="24"/>
      <c r="B50" s="39"/>
      <c r="C50" s="39"/>
      <c r="D50" s="39"/>
      <c r="E50" s="39"/>
      <c r="F50" s="24"/>
      <c r="G50" s="36"/>
      <c r="H50" s="36"/>
    </row>
    <row r="51" spans="1:8" x14ac:dyDescent="0.25">
      <c r="A51" s="24"/>
      <c r="B51" s="39"/>
      <c r="C51" s="39"/>
      <c r="D51" s="39"/>
      <c r="E51" s="39"/>
      <c r="F51" s="24"/>
      <c r="G51" s="36"/>
      <c r="H51" s="36"/>
    </row>
    <row r="52" spans="1:8" x14ac:dyDescent="0.25">
      <c r="A52" s="24"/>
      <c r="B52" s="39"/>
      <c r="C52" s="39"/>
      <c r="D52" s="39"/>
      <c r="E52" s="39"/>
      <c r="F52" s="24"/>
      <c r="G52" s="36"/>
      <c r="H52" s="36"/>
    </row>
    <row r="53" spans="1:8" x14ac:dyDescent="0.25">
      <c r="A53" s="24"/>
      <c r="B53" s="39"/>
      <c r="C53" s="39"/>
      <c r="D53" s="39"/>
      <c r="E53" s="39"/>
      <c r="F53" s="24"/>
      <c r="G53" s="36"/>
      <c r="H53" s="36"/>
    </row>
    <row r="54" spans="1:8" x14ac:dyDescent="0.25">
      <c r="A54" s="24"/>
      <c r="B54" s="39"/>
      <c r="C54" s="39"/>
      <c r="D54" s="39"/>
      <c r="E54" s="39"/>
      <c r="F54" s="24"/>
      <c r="G54" s="36"/>
      <c r="H54" s="36"/>
    </row>
    <row r="55" spans="1:8" x14ac:dyDescent="0.25">
      <c r="A55" s="24"/>
      <c r="B55" s="39"/>
      <c r="C55" s="39"/>
      <c r="D55" s="39"/>
      <c r="E55" s="39"/>
      <c r="F55" s="24"/>
      <c r="G55" s="36"/>
      <c r="H55" s="36"/>
    </row>
    <row r="56" spans="1:8" x14ac:dyDescent="0.25">
      <c r="A56" s="24"/>
      <c r="B56" s="39"/>
      <c r="C56" s="39"/>
      <c r="D56" s="39"/>
      <c r="E56" s="39"/>
      <c r="F56" s="24"/>
      <c r="G56" s="36"/>
      <c r="H56" s="36"/>
    </row>
    <row r="57" spans="1:8" x14ac:dyDescent="0.25">
      <c r="A57" s="24"/>
      <c r="B57" s="39"/>
      <c r="C57" s="39"/>
      <c r="D57" s="39"/>
      <c r="E57" s="39"/>
      <c r="F57" s="24"/>
      <c r="G57" s="36"/>
      <c r="H57" s="36"/>
    </row>
    <row r="58" spans="1:8" x14ac:dyDescent="0.25">
      <c r="A58" s="24"/>
      <c r="B58" s="39"/>
      <c r="C58" s="39"/>
      <c r="D58" s="39"/>
      <c r="E58" s="39"/>
      <c r="F58" s="24"/>
      <c r="G58" s="36"/>
      <c r="H58" s="36"/>
    </row>
    <row r="59" spans="1:8" x14ac:dyDescent="0.25">
      <c r="A59" s="24"/>
      <c r="B59" s="39"/>
      <c r="C59" s="39"/>
      <c r="D59" s="39"/>
      <c r="E59" s="39"/>
      <c r="F59" s="24"/>
      <c r="G59" s="36"/>
      <c r="H59" s="36"/>
    </row>
    <row r="60" spans="1:8" x14ac:dyDescent="0.25">
      <c r="A60" s="24"/>
      <c r="B60" s="39"/>
      <c r="C60" s="39"/>
      <c r="D60" s="39"/>
      <c r="E60" s="39"/>
      <c r="F60" s="24"/>
      <c r="G60" s="36"/>
      <c r="H60" s="36"/>
    </row>
    <row r="61" spans="1:8" x14ac:dyDescent="0.25">
      <c r="A61" s="24"/>
      <c r="B61" s="39"/>
      <c r="C61" s="39"/>
      <c r="D61" s="39"/>
      <c r="E61" s="39"/>
      <c r="F61" s="24"/>
      <c r="G61" s="36"/>
      <c r="H61" s="36"/>
    </row>
    <row r="62" spans="1:8" x14ac:dyDescent="0.25">
      <c r="A62" s="24"/>
      <c r="B62" s="39"/>
      <c r="C62" s="39"/>
      <c r="D62" s="39"/>
      <c r="E62" s="39"/>
      <c r="F62" s="24"/>
      <c r="G62" s="36"/>
      <c r="H62" s="36"/>
    </row>
    <row r="63" spans="1:8" x14ac:dyDescent="0.25">
      <c r="A63" s="24"/>
      <c r="B63" s="39"/>
      <c r="C63" s="39"/>
      <c r="D63" s="39"/>
      <c r="E63" s="39"/>
      <c r="F63" s="24"/>
      <c r="G63" s="36"/>
      <c r="H63" s="36"/>
    </row>
    <row r="64" spans="1:8" x14ac:dyDescent="0.25">
      <c r="A64" s="24"/>
      <c r="B64" s="39"/>
      <c r="C64" s="39"/>
      <c r="D64" s="39"/>
      <c r="E64" s="39"/>
      <c r="F64" s="24"/>
      <c r="G64" s="36"/>
      <c r="H64" s="36"/>
    </row>
    <row r="65" spans="1:8" x14ac:dyDescent="0.25">
      <c r="A65" s="24"/>
      <c r="B65" s="39"/>
      <c r="C65" s="39"/>
      <c r="D65" s="39"/>
      <c r="E65" s="39"/>
      <c r="F65" s="24"/>
      <c r="G65" s="36"/>
      <c r="H65" s="36"/>
    </row>
    <row r="66" spans="1:8" x14ac:dyDescent="0.25">
      <c r="A66" s="24"/>
      <c r="B66" s="39"/>
      <c r="C66" s="39"/>
      <c r="D66" s="39"/>
      <c r="E66" s="39"/>
      <c r="F66" s="24"/>
      <c r="G66" s="36"/>
      <c r="H66" s="36"/>
    </row>
    <row r="67" spans="1:8" x14ac:dyDescent="0.25">
      <c r="A67" s="24"/>
      <c r="B67" s="39"/>
      <c r="C67" s="39"/>
      <c r="D67" s="39"/>
      <c r="E67" s="39"/>
      <c r="F67" s="24"/>
      <c r="G67" s="36"/>
      <c r="H67" s="36"/>
    </row>
    <row r="68" spans="1:8" x14ac:dyDescent="0.25">
      <c r="A68" s="24"/>
      <c r="B68" s="39"/>
      <c r="C68" s="39"/>
      <c r="D68" s="39"/>
      <c r="E68" s="39"/>
      <c r="F68" s="24"/>
      <c r="G68" s="36"/>
      <c r="H68" s="36"/>
    </row>
    <row r="69" spans="1:8" x14ac:dyDescent="0.25">
      <c r="A69" s="24"/>
      <c r="B69" s="39"/>
      <c r="C69" s="39"/>
      <c r="D69" s="39"/>
      <c r="E69" s="39"/>
      <c r="F69" s="24"/>
      <c r="G69" s="36"/>
      <c r="H69" s="36"/>
    </row>
    <row r="70" spans="1:8" x14ac:dyDescent="0.25">
      <c r="A70" s="24"/>
      <c r="B70" s="39"/>
      <c r="C70" s="39"/>
      <c r="D70" s="39"/>
      <c r="E70" s="39"/>
      <c r="F70" s="24"/>
      <c r="G70" s="36"/>
      <c r="H70" s="36"/>
    </row>
    <row r="71" spans="1:8" x14ac:dyDescent="0.25">
      <c r="A71" s="24"/>
      <c r="B71" s="39"/>
      <c r="C71" s="39"/>
      <c r="D71" s="39"/>
      <c r="E71" s="39"/>
      <c r="F71" s="24"/>
      <c r="G71" s="36"/>
      <c r="H71" s="36"/>
    </row>
    <row r="72" spans="1:8" x14ac:dyDescent="0.25">
      <c r="A72" s="24"/>
      <c r="B72" s="39"/>
      <c r="C72" s="39"/>
      <c r="D72" s="39"/>
      <c r="E72" s="39"/>
      <c r="F72" s="24"/>
      <c r="G72" s="36"/>
      <c r="H72" s="36"/>
    </row>
    <row r="73" spans="1:8" x14ac:dyDescent="0.25">
      <c r="A73" s="24"/>
      <c r="B73" s="39"/>
      <c r="C73" s="39"/>
      <c r="D73" s="39"/>
      <c r="E73" s="39"/>
      <c r="F73" s="24"/>
      <c r="G73" s="36"/>
      <c r="H73" s="36"/>
    </row>
    <row r="74" spans="1:8" x14ac:dyDescent="0.25">
      <c r="A74" s="24"/>
      <c r="B74" s="39"/>
      <c r="C74" s="39"/>
      <c r="D74" s="39"/>
      <c r="E74" s="39"/>
      <c r="F74" s="24"/>
      <c r="G74" s="36"/>
      <c r="H74" s="36"/>
    </row>
    <row r="75" spans="1:8" x14ac:dyDescent="0.25">
      <c r="A75" s="24"/>
      <c r="B75" s="39"/>
      <c r="C75" s="39"/>
      <c r="D75" s="39"/>
      <c r="E75" s="39"/>
      <c r="F75" s="24"/>
      <c r="G75" s="36"/>
      <c r="H75" s="36"/>
    </row>
    <row r="76" spans="1:8" x14ac:dyDescent="0.25">
      <c r="A76" s="24"/>
      <c r="B76" s="39"/>
      <c r="C76" s="39"/>
      <c r="D76" s="39"/>
      <c r="E76" s="39"/>
      <c r="F76" s="24"/>
      <c r="G76" s="36"/>
      <c r="H76" s="36"/>
    </row>
    <row r="77" spans="1:8" x14ac:dyDescent="0.25">
      <c r="A77" s="24"/>
      <c r="B77" s="39"/>
      <c r="C77" s="39"/>
      <c r="D77" s="39"/>
      <c r="E77" s="39"/>
      <c r="F77" s="24"/>
      <c r="G77" s="36"/>
      <c r="H77" s="36"/>
    </row>
    <row r="78" spans="1:8" x14ac:dyDescent="0.25">
      <c r="A78" s="24"/>
      <c r="B78" s="39"/>
      <c r="C78" s="39"/>
      <c r="D78" s="39"/>
      <c r="E78" s="39"/>
      <c r="F78" s="24"/>
      <c r="G78" s="36"/>
      <c r="H78" s="36"/>
    </row>
    <row r="79" spans="1:8" x14ac:dyDescent="0.25">
      <c r="A79" s="24"/>
      <c r="B79" s="39"/>
      <c r="C79" s="39"/>
      <c r="D79" s="39"/>
      <c r="E79" s="39"/>
      <c r="F79" s="24"/>
      <c r="G79" s="36"/>
      <c r="H79" s="36"/>
    </row>
    <row r="80" spans="1:8" x14ac:dyDescent="0.25">
      <c r="A80" s="24"/>
      <c r="B80" s="39"/>
      <c r="C80" s="39"/>
      <c r="D80" s="39"/>
      <c r="E80" s="39"/>
      <c r="F80" s="24"/>
      <c r="G80" s="36"/>
      <c r="H80" s="36"/>
    </row>
    <row r="81" spans="1:8" x14ac:dyDescent="0.25">
      <c r="A81" s="24"/>
      <c r="B81" s="39"/>
      <c r="C81" s="39"/>
      <c r="D81" s="39"/>
      <c r="E81" s="39"/>
      <c r="F81" s="24"/>
      <c r="G81" s="36"/>
      <c r="H81" s="36"/>
    </row>
    <row r="82" spans="1:8" x14ac:dyDescent="0.25">
      <c r="A82" s="24"/>
      <c r="B82" s="39"/>
      <c r="C82" s="39"/>
      <c r="D82" s="39"/>
      <c r="E82" s="39"/>
      <c r="F82" s="24"/>
      <c r="G82" s="36"/>
      <c r="H82" s="36"/>
    </row>
    <row r="83" spans="1:8" x14ac:dyDescent="0.25">
      <c r="A83" s="24"/>
      <c r="B83" s="39"/>
      <c r="C83" s="39"/>
      <c r="D83" s="39"/>
      <c r="E83" s="39"/>
      <c r="F83" s="24"/>
      <c r="G83" s="36"/>
      <c r="H83" s="36"/>
    </row>
    <row r="84" spans="1:8" x14ac:dyDescent="0.25">
      <c r="A84" s="24"/>
      <c r="B84" s="39"/>
      <c r="C84" s="39"/>
      <c r="D84" s="39"/>
      <c r="E84" s="39"/>
      <c r="F84" s="24"/>
      <c r="G84" s="36"/>
      <c r="H84" s="36"/>
    </row>
    <row r="85" spans="1:8" x14ac:dyDescent="0.25">
      <c r="A85" s="24"/>
      <c r="B85" s="39"/>
      <c r="C85" s="39"/>
      <c r="D85" s="39"/>
      <c r="E85" s="39"/>
      <c r="F85" s="24"/>
      <c r="G85" s="36"/>
      <c r="H85" s="36"/>
    </row>
    <row r="86" spans="1:8" x14ac:dyDescent="0.25">
      <c r="A86" s="24"/>
      <c r="B86" s="39"/>
      <c r="C86" s="39"/>
      <c r="D86" s="39"/>
      <c r="E86" s="39"/>
      <c r="F86" s="24"/>
      <c r="G86" s="36"/>
      <c r="H86" s="36"/>
    </row>
    <row r="87" spans="1:8" x14ac:dyDescent="0.25">
      <c r="A87" s="24"/>
      <c r="B87" s="39"/>
      <c r="C87" s="39"/>
      <c r="D87" s="39"/>
      <c r="E87" s="39"/>
      <c r="F87" s="24"/>
      <c r="G87" s="36"/>
      <c r="H87" s="36"/>
    </row>
    <row r="88" spans="1:8" x14ac:dyDescent="0.25">
      <c r="A88" s="24"/>
      <c r="B88" s="39"/>
      <c r="C88" s="39"/>
      <c r="D88" s="39"/>
      <c r="E88" s="39"/>
      <c r="F88" s="24"/>
      <c r="G88" s="36"/>
      <c r="H88" s="36"/>
    </row>
    <row r="89" spans="1:8" x14ac:dyDescent="0.25">
      <c r="A89" s="24"/>
      <c r="B89" s="39"/>
      <c r="C89" s="39"/>
      <c r="D89" s="39"/>
      <c r="E89" s="39"/>
      <c r="F89" s="24"/>
      <c r="G89" s="36"/>
      <c r="H89" s="36"/>
    </row>
    <row r="90" spans="1:8" x14ac:dyDescent="0.25">
      <c r="A90" s="24"/>
      <c r="B90" s="39"/>
      <c r="C90" s="39"/>
      <c r="D90" s="39"/>
      <c r="E90" s="39"/>
      <c r="F90" s="24"/>
      <c r="G90" s="36"/>
      <c r="H90" s="36"/>
    </row>
    <row r="91" spans="1:8" x14ac:dyDescent="0.25">
      <c r="A91" s="24"/>
      <c r="B91" s="39"/>
      <c r="C91" s="39"/>
      <c r="D91" s="39"/>
      <c r="E91" s="39"/>
      <c r="F91" s="24"/>
      <c r="G91" s="36"/>
      <c r="H91" s="36"/>
    </row>
    <row r="92" spans="1:8" x14ac:dyDescent="0.25">
      <c r="A92" s="24"/>
      <c r="B92" s="39"/>
      <c r="C92" s="39"/>
      <c r="D92" s="39"/>
      <c r="E92" s="39"/>
      <c r="F92" s="24"/>
      <c r="G92" s="36"/>
      <c r="H92" s="36"/>
    </row>
    <row r="93" spans="1:8" x14ac:dyDescent="0.25">
      <c r="A93" s="24"/>
      <c r="B93" s="39"/>
      <c r="C93" s="39"/>
      <c r="D93" s="39"/>
      <c r="E93" s="39"/>
      <c r="F93" s="24"/>
      <c r="G93" s="36"/>
      <c r="H93" s="36"/>
    </row>
    <row r="94" spans="1:8" x14ac:dyDescent="0.25">
      <c r="A94" s="24"/>
      <c r="B94" s="39"/>
      <c r="C94" s="39"/>
      <c r="D94" s="39"/>
      <c r="E94" s="39"/>
      <c r="F94" s="24"/>
      <c r="G94" s="36"/>
      <c r="H94" s="36"/>
    </row>
    <row r="95" spans="1:8" x14ac:dyDescent="0.25">
      <c r="A95" s="24"/>
      <c r="B95" s="39"/>
      <c r="C95" s="39"/>
      <c r="D95" s="39"/>
      <c r="E95" s="39"/>
      <c r="F95" s="24"/>
      <c r="G95" s="36"/>
      <c r="H95" s="36"/>
    </row>
    <row r="96" spans="1:8" x14ac:dyDescent="0.25">
      <c r="A96" s="24"/>
      <c r="B96" s="39"/>
      <c r="C96" s="39"/>
      <c r="D96" s="39"/>
      <c r="E96" s="39"/>
      <c r="F96" s="24"/>
      <c r="G96" s="36"/>
      <c r="H96" s="36"/>
    </row>
    <row r="97" spans="1:8" x14ac:dyDescent="0.25">
      <c r="A97" s="24"/>
      <c r="B97" s="39"/>
      <c r="C97" s="39"/>
      <c r="D97" s="39"/>
      <c r="E97" s="39"/>
      <c r="F97" s="24"/>
      <c r="G97" s="36"/>
      <c r="H97" s="36"/>
    </row>
    <row r="98" spans="1:8" x14ac:dyDescent="0.25">
      <c r="A98" s="24"/>
      <c r="B98" s="39"/>
      <c r="C98" s="39"/>
      <c r="D98" s="39"/>
      <c r="E98" s="39"/>
      <c r="F98" s="24"/>
      <c r="G98" s="36"/>
      <c r="H98" s="36"/>
    </row>
    <row r="99" spans="1:8" x14ac:dyDescent="0.25">
      <c r="A99" s="24"/>
      <c r="B99" s="39"/>
      <c r="C99" s="39"/>
      <c r="D99" s="39"/>
      <c r="E99" s="39"/>
      <c r="F99" s="24"/>
      <c r="G99" s="36"/>
      <c r="H99" s="36"/>
    </row>
    <row r="100" spans="1:8" x14ac:dyDescent="0.25">
      <c r="A100" s="24"/>
      <c r="B100" s="39"/>
      <c r="C100" s="39"/>
      <c r="D100" s="39"/>
      <c r="E100" s="39"/>
      <c r="F100" s="24"/>
      <c r="G100" s="36"/>
      <c r="H100" s="36"/>
    </row>
    <row r="101" spans="1:8" x14ac:dyDescent="0.25">
      <c r="A101" s="24"/>
      <c r="B101" s="39"/>
      <c r="C101" s="39"/>
      <c r="D101" s="39"/>
      <c r="E101" s="39"/>
      <c r="F101" s="24"/>
      <c r="G101" s="36"/>
      <c r="H101" s="36"/>
    </row>
    <row r="102" spans="1:8" x14ac:dyDescent="0.25">
      <c r="A102" s="24"/>
      <c r="B102" s="39"/>
      <c r="C102" s="39"/>
      <c r="D102" s="39"/>
      <c r="E102" s="39"/>
      <c r="F102" s="24"/>
      <c r="G102" s="36"/>
      <c r="H102" s="36"/>
    </row>
    <row r="103" spans="1:8" x14ac:dyDescent="0.25">
      <c r="A103" s="24"/>
      <c r="B103" s="39"/>
      <c r="C103" s="39"/>
      <c r="D103" s="39"/>
      <c r="E103" s="39"/>
      <c r="F103" s="24"/>
      <c r="G103" s="36"/>
      <c r="H103" s="36"/>
    </row>
    <row r="104" spans="1:8" x14ac:dyDescent="0.25">
      <c r="A104" s="24"/>
      <c r="B104" s="39"/>
      <c r="C104" s="39"/>
      <c r="D104" s="39"/>
      <c r="E104" s="39"/>
      <c r="F104" s="24"/>
      <c r="G104" s="36"/>
      <c r="H104" s="36"/>
    </row>
    <row r="105" spans="1:8" x14ac:dyDescent="0.25">
      <c r="A105" s="24"/>
      <c r="B105" s="39"/>
      <c r="C105" s="39"/>
      <c r="D105" s="39"/>
      <c r="E105" s="39"/>
      <c r="F105" s="24"/>
      <c r="G105" s="36"/>
      <c r="H105" s="36"/>
    </row>
    <row r="106" spans="1:8" x14ac:dyDescent="0.25">
      <c r="A106" s="24"/>
      <c r="B106" s="39"/>
      <c r="C106" s="39"/>
      <c r="D106" s="39"/>
      <c r="E106" s="39"/>
      <c r="F106" s="24"/>
      <c r="G106" s="36"/>
      <c r="H106" s="36"/>
    </row>
    <row r="107" spans="1:8" x14ac:dyDescent="0.25">
      <c r="A107" s="24"/>
      <c r="B107" s="39"/>
      <c r="C107" s="39"/>
      <c r="D107" s="39"/>
      <c r="E107" s="39"/>
      <c r="F107" s="24"/>
      <c r="G107" s="36"/>
      <c r="H107" s="36"/>
    </row>
    <row r="108" spans="1:8" x14ac:dyDescent="0.25">
      <c r="A108" s="24"/>
      <c r="B108" s="39"/>
      <c r="C108" s="39"/>
      <c r="D108" s="39"/>
      <c r="E108" s="39"/>
      <c r="F108" s="24"/>
      <c r="G108" s="36"/>
      <c r="H108" s="36"/>
    </row>
    <row r="109" spans="1:8" x14ac:dyDescent="0.25">
      <c r="A109" s="24"/>
      <c r="B109" s="39"/>
      <c r="C109" s="39"/>
      <c r="D109" s="39"/>
      <c r="E109" s="39"/>
      <c r="F109" s="24"/>
      <c r="G109" s="36"/>
      <c r="H109" s="36"/>
    </row>
    <row r="110" spans="1:8" x14ac:dyDescent="0.25">
      <c r="A110" s="24"/>
      <c r="B110" s="39"/>
      <c r="C110" s="39"/>
      <c r="D110" s="39"/>
      <c r="E110" s="39"/>
      <c r="F110" s="24"/>
      <c r="G110" s="36"/>
      <c r="H110" s="36"/>
    </row>
    <row r="111" spans="1:8" x14ac:dyDescent="0.25">
      <c r="A111" s="24"/>
      <c r="B111" s="39"/>
      <c r="C111" s="39"/>
      <c r="D111" s="39"/>
      <c r="E111" s="39"/>
      <c r="F111" s="24"/>
      <c r="G111" s="36"/>
      <c r="H111" s="36"/>
    </row>
    <row r="112" spans="1:8" x14ac:dyDescent="0.25">
      <c r="A112" s="24"/>
      <c r="B112" s="39"/>
      <c r="C112" s="39"/>
      <c r="D112" s="39"/>
      <c r="E112" s="39"/>
      <c r="F112" s="24"/>
      <c r="G112" s="36"/>
      <c r="H112" s="36"/>
    </row>
    <row r="113" spans="1:8" x14ac:dyDescent="0.25">
      <c r="A113" s="24"/>
      <c r="B113" s="39"/>
      <c r="C113" s="39"/>
      <c r="D113" s="39"/>
      <c r="E113" s="39"/>
      <c r="F113" s="24"/>
      <c r="G113" s="36"/>
      <c r="H113" s="36"/>
    </row>
    <row r="114" spans="1:8" x14ac:dyDescent="0.25">
      <c r="A114" s="24"/>
      <c r="B114" s="39"/>
      <c r="C114" s="39"/>
      <c r="D114" s="39"/>
      <c r="E114" s="39"/>
      <c r="F114" s="24"/>
      <c r="G114" s="36"/>
      <c r="H114" s="36"/>
    </row>
    <row r="115" spans="1:8" x14ac:dyDescent="0.25">
      <c r="A115" s="24"/>
      <c r="B115" s="39"/>
      <c r="C115" s="39"/>
      <c r="D115" s="39"/>
      <c r="E115" s="39"/>
      <c r="F115" s="24"/>
      <c r="G115" s="36"/>
      <c r="H115" s="36"/>
    </row>
    <row r="116" spans="1:8" x14ac:dyDescent="0.25">
      <c r="A116" s="24"/>
      <c r="B116" s="39"/>
      <c r="C116" s="39"/>
      <c r="D116" s="39"/>
      <c r="E116" s="39"/>
      <c r="F116" s="24"/>
      <c r="G116" s="36"/>
      <c r="H116" s="36"/>
    </row>
    <row r="117" spans="1:8" x14ac:dyDescent="0.25">
      <c r="A117" s="24"/>
      <c r="B117" s="39"/>
      <c r="C117" s="39"/>
      <c r="D117" s="39"/>
      <c r="E117" s="39"/>
      <c r="F117" s="24"/>
      <c r="G117" s="36"/>
      <c r="H117" s="36"/>
    </row>
    <row r="118" spans="1:8" x14ac:dyDescent="0.25">
      <c r="A118" s="24"/>
      <c r="B118" s="39"/>
      <c r="C118" s="39"/>
      <c r="D118" s="39"/>
      <c r="E118" s="39"/>
      <c r="F118" s="24"/>
      <c r="G118" s="36"/>
      <c r="H118" s="36"/>
    </row>
    <row r="119" spans="1:8" x14ac:dyDescent="0.25">
      <c r="A119" s="24"/>
      <c r="B119" s="39"/>
      <c r="C119" s="39"/>
      <c r="D119" s="39"/>
      <c r="E119" s="39"/>
      <c r="F119" s="24"/>
      <c r="G119" s="36"/>
      <c r="H119" s="36"/>
    </row>
    <row r="120" spans="1:8" x14ac:dyDescent="0.25">
      <c r="A120" s="24"/>
      <c r="B120" s="39"/>
      <c r="C120" s="39"/>
      <c r="D120" s="39"/>
      <c r="E120" s="39"/>
      <c r="F120" s="24"/>
      <c r="G120" s="36"/>
      <c r="H120" s="36"/>
    </row>
    <row r="121" spans="1:8" x14ac:dyDescent="0.25">
      <c r="A121" s="24"/>
      <c r="B121" s="39"/>
      <c r="C121" s="39"/>
      <c r="D121" s="39"/>
      <c r="E121" s="39"/>
      <c r="F121" s="24"/>
      <c r="G121" s="36"/>
      <c r="H121" s="36"/>
    </row>
    <row r="122" spans="1:8" x14ac:dyDescent="0.25">
      <c r="A122" s="24"/>
      <c r="B122" s="39"/>
      <c r="C122" s="39"/>
      <c r="D122" s="39"/>
      <c r="E122" s="39"/>
      <c r="F122" s="24"/>
      <c r="G122" s="36"/>
      <c r="H122" s="36"/>
    </row>
    <row r="123" spans="1:8" x14ac:dyDescent="0.25">
      <c r="A123" s="24"/>
      <c r="B123" s="39"/>
      <c r="C123" s="39"/>
      <c r="D123" s="39"/>
      <c r="E123" s="39"/>
      <c r="F123" s="24"/>
      <c r="G123" s="36"/>
      <c r="H123" s="36"/>
    </row>
    <row r="124" spans="1:8" x14ac:dyDescent="0.25">
      <c r="A124" s="24"/>
      <c r="B124" s="39"/>
      <c r="C124" s="39"/>
      <c r="D124" s="39"/>
      <c r="E124" s="39"/>
      <c r="F124" s="24"/>
      <c r="G124" s="36"/>
      <c r="H124" s="36"/>
    </row>
    <row r="125" spans="1:8" x14ac:dyDescent="0.25">
      <c r="A125" s="24"/>
      <c r="B125" s="39"/>
      <c r="C125" s="39"/>
      <c r="D125" s="39"/>
      <c r="E125" s="39"/>
      <c r="F125" s="24"/>
      <c r="G125" s="36"/>
      <c r="H125" s="36"/>
    </row>
    <row r="126" spans="1:8" x14ac:dyDescent="0.25">
      <c r="A126" s="24"/>
      <c r="B126" s="39"/>
      <c r="C126" s="39"/>
      <c r="D126" s="39"/>
      <c r="E126" s="39"/>
      <c r="F126" s="24"/>
      <c r="G126" s="36"/>
      <c r="H126" s="36"/>
    </row>
    <row r="127" spans="1:8" x14ac:dyDescent="0.25">
      <c r="A127" s="24"/>
      <c r="B127" s="39"/>
      <c r="C127" s="39"/>
      <c r="D127" s="39"/>
      <c r="E127" s="39"/>
      <c r="F127" s="24"/>
      <c r="G127" s="36"/>
      <c r="H127" s="36"/>
    </row>
    <row r="128" spans="1:8" x14ac:dyDescent="0.25">
      <c r="A128" s="24"/>
      <c r="B128" s="39"/>
      <c r="C128" s="39"/>
      <c r="D128" s="39"/>
      <c r="E128" s="39"/>
      <c r="F128" s="24"/>
      <c r="G128" s="36"/>
      <c r="H128" s="36"/>
    </row>
    <row r="129" spans="1:8" x14ac:dyDescent="0.25">
      <c r="A129" s="24"/>
      <c r="B129" s="39"/>
      <c r="C129" s="39"/>
      <c r="D129" s="39"/>
      <c r="E129" s="39"/>
      <c r="F129" s="24"/>
      <c r="G129" s="36"/>
      <c r="H129" s="36"/>
    </row>
    <row r="130" spans="1:8" x14ac:dyDescent="0.25">
      <c r="A130" s="24"/>
      <c r="B130" s="39"/>
      <c r="C130" s="39"/>
      <c r="D130" s="39"/>
      <c r="E130" s="39"/>
      <c r="F130" s="24"/>
      <c r="G130" s="36"/>
      <c r="H130" s="36"/>
    </row>
    <row r="131" spans="1:8" x14ac:dyDescent="0.25">
      <c r="A131" s="24"/>
      <c r="B131" s="39"/>
      <c r="C131" s="39"/>
      <c r="D131" s="39"/>
      <c r="E131" s="39"/>
      <c r="F131" s="24"/>
      <c r="G131" s="36"/>
      <c r="H131" s="36"/>
    </row>
    <row r="132" spans="1:8" x14ac:dyDescent="0.25">
      <c r="A132" s="24"/>
      <c r="B132" s="39"/>
      <c r="C132" s="39"/>
      <c r="D132" s="39"/>
      <c r="E132" s="39"/>
      <c r="F132" s="24"/>
      <c r="G132" s="36"/>
      <c r="H132" s="36"/>
    </row>
    <row r="133" spans="1:8" x14ac:dyDescent="0.25">
      <c r="A133" s="24"/>
      <c r="B133" s="39"/>
      <c r="C133" s="39"/>
      <c r="D133" s="39"/>
      <c r="E133" s="39"/>
      <c r="F133" s="24"/>
      <c r="G133" s="36"/>
      <c r="H133" s="36"/>
    </row>
    <row r="134" spans="1:8" x14ac:dyDescent="0.25">
      <c r="A134" s="24"/>
      <c r="B134" s="39"/>
      <c r="C134" s="39"/>
      <c r="D134" s="39"/>
      <c r="E134" s="39"/>
      <c r="F134" s="24"/>
      <c r="G134" s="36"/>
      <c r="H134" s="36"/>
    </row>
    <row r="135" spans="1:8" x14ac:dyDescent="0.25">
      <c r="A135" s="24"/>
      <c r="B135" s="39"/>
      <c r="C135" s="39"/>
      <c r="D135" s="39"/>
      <c r="E135" s="39"/>
      <c r="F135" s="24"/>
      <c r="G135" s="36"/>
      <c r="H135" s="36"/>
    </row>
    <row r="136" spans="1:8" x14ac:dyDescent="0.25">
      <c r="A136" s="24"/>
      <c r="B136" s="39"/>
      <c r="C136" s="39"/>
      <c r="D136" s="39"/>
      <c r="E136" s="39"/>
      <c r="F136" s="24"/>
      <c r="G136" s="36"/>
      <c r="H136" s="36"/>
    </row>
    <row r="137" spans="1:8" x14ac:dyDescent="0.25">
      <c r="A137" s="24"/>
      <c r="B137" s="39"/>
      <c r="C137" s="39"/>
      <c r="D137" s="39"/>
      <c r="E137" s="39"/>
      <c r="F137" s="24"/>
      <c r="G137" s="36"/>
      <c r="H137" s="36"/>
    </row>
    <row r="138" spans="1:8" x14ac:dyDescent="0.25">
      <c r="A138" s="24"/>
      <c r="B138" s="39"/>
      <c r="C138" s="39"/>
      <c r="D138" s="39"/>
      <c r="E138" s="39"/>
      <c r="F138" s="24"/>
      <c r="G138" s="36"/>
      <c r="H138" s="36"/>
    </row>
    <row r="139" spans="1:8" x14ac:dyDescent="0.25">
      <c r="A139" s="24"/>
      <c r="B139" s="39"/>
      <c r="C139" s="39"/>
      <c r="D139" s="39"/>
      <c r="E139" s="39"/>
      <c r="F139" s="24"/>
      <c r="G139" s="36"/>
      <c r="H139" s="36"/>
    </row>
    <row r="140" spans="1:8" x14ac:dyDescent="0.25">
      <c r="A140" s="24"/>
      <c r="B140" s="39"/>
      <c r="C140" s="39"/>
      <c r="D140" s="39"/>
      <c r="E140" s="39"/>
      <c r="F140" s="24"/>
      <c r="G140" s="36"/>
      <c r="H140" s="36"/>
    </row>
    <row r="141" spans="1:8" x14ac:dyDescent="0.25">
      <c r="A141" s="24"/>
      <c r="B141" s="39"/>
      <c r="C141" s="39"/>
      <c r="D141" s="39"/>
      <c r="E141" s="39"/>
      <c r="F141" s="24"/>
      <c r="G141" s="36"/>
      <c r="H141" s="36"/>
    </row>
    <row r="142" spans="1:8" x14ac:dyDescent="0.25">
      <c r="A142" s="24"/>
      <c r="B142" s="39"/>
      <c r="C142" s="39"/>
      <c r="D142" s="39"/>
      <c r="E142" s="39"/>
      <c r="F142" s="24"/>
      <c r="G142" s="36"/>
      <c r="H142" s="36"/>
    </row>
    <row r="143" spans="1:8" x14ac:dyDescent="0.25">
      <c r="A143" s="24"/>
      <c r="B143" s="39"/>
      <c r="C143" s="39"/>
      <c r="D143" s="39"/>
      <c r="E143" s="39"/>
      <c r="F143" s="24"/>
      <c r="G143" s="36"/>
      <c r="H143" s="36"/>
    </row>
    <row r="144" spans="1:8" x14ac:dyDescent="0.25">
      <c r="A144" s="24"/>
      <c r="B144" s="39"/>
      <c r="C144" s="39"/>
      <c r="D144" s="39"/>
      <c r="E144" s="39"/>
      <c r="F144" s="24"/>
      <c r="G144" s="36"/>
      <c r="H144" s="36"/>
    </row>
    <row r="145" spans="1:8" x14ac:dyDescent="0.25">
      <c r="A145" s="24"/>
      <c r="B145" s="39"/>
      <c r="C145" s="39"/>
      <c r="D145" s="39"/>
      <c r="E145" s="39"/>
      <c r="F145" s="24"/>
      <c r="G145" s="36"/>
      <c r="H145" s="36"/>
    </row>
    <row r="146" spans="1:8" x14ac:dyDescent="0.25">
      <c r="A146" s="24"/>
      <c r="B146" s="39"/>
      <c r="C146" s="39"/>
      <c r="D146" s="39"/>
      <c r="E146" s="39"/>
      <c r="F146" s="24"/>
      <c r="G146" s="36"/>
      <c r="H146" s="36"/>
    </row>
    <row r="147" spans="1:8" x14ac:dyDescent="0.25">
      <c r="A147" s="24"/>
      <c r="B147" s="39"/>
      <c r="C147" s="39"/>
      <c r="D147" s="39"/>
      <c r="E147" s="39"/>
      <c r="F147" s="24"/>
      <c r="G147" s="36"/>
      <c r="H147" s="36"/>
    </row>
    <row r="148" spans="1:8" x14ac:dyDescent="0.25">
      <c r="A148" s="24"/>
      <c r="B148" s="39"/>
      <c r="C148" s="39"/>
      <c r="D148" s="39"/>
      <c r="E148" s="39"/>
      <c r="F148" s="24"/>
      <c r="G148" s="36"/>
      <c r="H148" s="36"/>
    </row>
    <row r="149" spans="1:8" x14ac:dyDescent="0.25">
      <c r="A149" s="24"/>
      <c r="B149" s="39"/>
      <c r="C149" s="39"/>
      <c r="D149" s="39"/>
      <c r="E149" s="39"/>
      <c r="F149" s="24"/>
      <c r="G149" s="36"/>
      <c r="H149" s="36"/>
    </row>
    <row r="150" spans="1:8" x14ac:dyDescent="0.25">
      <c r="A150" s="24"/>
      <c r="B150" s="39"/>
      <c r="C150" s="39"/>
      <c r="D150" s="39"/>
      <c r="E150" s="39"/>
      <c r="F150" s="24"/>
      <c r="G150" s="36"/>
      <c r="H150" s="36"/>
    </row>
    <row r="151" spans="1:8" x14ac:dyDescent="0.25">
      <c r="A151" s="24"/>
      <c r="B151" s="39"/>
      <c r="C151" s="39"/>
      <c r="D151" s="39"/>
      <c r="E151" s="39"/>
      <c r="F151" s="24"/>
      <c r="G151" s="36"/>
      <c r="H151" s="36"/>
    </row>
    <row r="152" spans="1:8" x14ac:dyDescent="0.25">
      <c r="A152" s="24"/>
      <c r="B152" s="39"/>
      <c r="C152" s="39"/>
      <c r="D152" s="39"/>
      <c r="E152" s="39"/>
      <c r="F152" s="24"/>
      <c r="G152" s="36"/>
      <c r="H152" s="36"/>
    </row>
    <row r="153" spans="1:8" x14ac:dyDescent="0.25">
      <c r="A153" s="24"/>
      <c r="B153" s="39"/>
      <c r="C153" s="39"/>
      <c r="D153" s="39"/>
      <c r="E153" s="39"/>
      <c r="F153" s="24"/>
      <c r="G153" s="36"/>
      <c r="H153" s="36"/>
    </row>
    <row r="154" spans="1:8" x14ac:dyDescent="0.25">
      <c r="A154" s="24"/>
      <c r="B154" s="39"/>
      <c r="C154" s="39"/>
      <c r="D154" s="39"/>
      <c r="E154" s="39"/>
      <c r="F154" s="24"/>
      <c r="G154" s="36"/>
      <c r="H154" s="36"/>
    </row>
    <row r="155" spans="1:8" x14ac:dyDescent="0.25">
      <c r="A155" s="24"/>
      <c r="B155" s="39"/>
      <c r="C155" s="39"/>
      <c r="D155" s="39"/>
      <c r="E155" s="39"/>
      <c r="F155" s="24"/>
      <c r="G155" s="36"/>
      <c r="H155" s="36"/>
    </row>
    <row r="156" spans="1:8" x14ac:dyDescent="0.25">
      <c r="A156" s="24"/>
      <c r="B156" s="39"/>
      <c r="C156" s="39"/>
      <c r="D156" s="39"/>
      <c r="E156" s="39"/>
      <c r="F156" s="24"/>
      <c r="G156" s="36"/>
      <c r="H156" s="36"/>
    </row>
    <row r="157" spans="1:8" x14ac:dyDescent="0.25">
      <c r="A157" s="24"/>
      <c r="B157" s="39"/>
      <c r="C157" s="39"/>
      <c r="D157" s="39"/>
      <c r="E157" s="39"/>
      <c r="F157" s="24"/>
      <c r="G157" s="36"/>
      <c r="H157" s="36"/>
    </row>
    <row r="158" spans="1:8" x14ac:dyDescent="0.25">
      <c r="A158" s="24"/>
      <c r="B158" s="39"/>
      <c r="C158" s="39"/>
      <c r="D158" s="39"/>
      <c r="E158" s="39"/>
      <c r="F158" s="24"/>
      <c r="G158" s="36"/>
      <c r="H158" s="36"/>
    </row>
    <row r="159" spans="1:8" x14ac:dyDescent="0.25">
      <c r="A159" s="24"/>
      <c r="B159" s="39"/>
      <c r="C159" s="39"/>
      <c r="D159" s="39"/>
      <c r="E159" s="39"/>
      <c r="F159" s="24"/>
      <c r="G159" s="36"/>
      <c r="H159" s="36"/>
    </row>
    <row r="160" spans="1:8" x14ac:dyDescent="0.25">
      <c r="A160" s="24"/>
      <c r="B160" s="39"/>
      <c r="C160" s="39"/>
      <c r="D160" s="39"/>
      <c r="E160" s="39"/>
      <c r="F160" s="24"/>
      <c r="G160" s="36"/>
      <c r="H160" s="36"/>
    </row>
    <row r="161" spans="1:8" x14ac:dyDescent="0.25">
      <c r="A161" s="24"/>
      <c r="B161" s="39"/>
      <c r="C161" s="39"/>
      <c r="D161" s="39"/>
      <c r="E161" s="39"/>
      <c r="F161" s="24"/>
      <c r="G161" s="36"/>
      <c r="H161" s="36"/>
    </row>
    <row r="162" spans="1:8" x14ac:dyDescent="0.25">
      <c r="A162" s="24"/>
      <c r="B162" s="39"/>
      <c r="C162" s="39"/>
      <c r="D162" s="39"/>
      <c r="E162" s="39"/>
      <c r="F162" s="24"/>
      <c r="G162" s="36"/>
      <c r="H162" s="36"/>
    </row>
    <row r="163" spans="1:8" x14ac:dyDescent="0.25">
      <c r="A163" s="24"/>
      <c r="B163" s="39"/>
      <c r="C163" s="39"/>
      <c r="D163" s="39"/>
      <c r="E163" s="39"/>
      <c r="F163" s="24"/>
      <c r="G163" s="36"/>
      <c r="H163" s="36"/>
    </row>
    <row r="164" spans="1:8" x14ac:dyDescent="0.25">
      <c r="A164" s="24"/>
      <c r="B164" s="39"/>
      <c r="C164" s="39"/>
      <c r="D164" s="39"/>
      <c r="E164" s="39"/>
      <c r="F164" s="24"/>
      <c r="G164" s="36"/>
      <c r="H164" s="36"/>
    </row>
    <row r="165" spans="1:8" x14ac:dyDescent="0.25">
      <c r="A165" s="24"/>
      <c r="B165" s="39"/>
      <c r="C165" s="39"/>
      <c r="D165" s="39"/>
      <c r="E165" s="39"/>
      <c r="F165" s="24"/>
      <c r="G165" s="36"/>
      <c r="H165" s="36"/>
    </row>
    <row r="166" spans="1:8" x14ac:dyDescent="0.25">
      <c r="A166" s="24"/>
      <c r="B166" s="39"/>
      <c r="C166" s="39"/>
      <c r="D166" s="39"/>
      <c r="E166" s="39"/>
      <c r="F166" s="24"/>
      <c r="G166" s="36"/>
      <c r="H166" s="36"/>
    </row>
    <row r="167" spans="1:8" x14ac:dyDescent="0.25">
      <c r="A167" s="24"/>
      <c r="B167" s="39"/>
      <c r="C167" s="39"/>
      <c r="D167" s="39"/>
      <c r="E167" s="39"/>
      <c r="F167" s="24"/>
      <c r="G167" s="36"/>
      <c r="H167" s="36"/>
    </row>
    <row r="168" spans="1:8" x14ac:dyDescent="0.25">
      <c r="A168" s="24"/>
      <c r="B168" s="39"/>
      <c r="C168" s="39"/>
      <c r="D168" s="39"/>
      <c r="E168" s="39"/>
      <c r="F168" s="24"/>
      <c r="G168" s="36"/>
      <c r="H168" s="36"/>
    </row>
    <row r="169" spans="1:8" x14ac:dyDescent="0.25">
      <c r="A169" s="24"/>
      <c r="B169" s="39"/>
      <c r="C169" s="39"/>
      <c r="D169" s="39"/>
      <c r="E169" s="39"/>
      <c r="F169" s="24"/>
      <c r="G169" s="36"/>
      <c r="H169" s="36"/>
    </row>
    <row r="170" spans="1:8" x14ac:dyDescent="0.25">
      <c r="A170" s="24"/>
      <c r="B170" s="39"/>
      <c r="C170" s="39"/>
      <c r="D170" s="39"/>
      <c r="E170" s="39"/>
      <c r="F170" s="24"/>
      <c r="G170" s="36"/>
      <c r="H170" s="36"/>
    </row>
    <row r="171" spans="1:8" x14ac:dyDescent="0.25">
      <c r="A171" s="24"/>
      <c r="B171" s="39"/>
      <c r="C171" s="39"/>
      <c r="D171" s="39"/>
      <c r="E171" s="39"/>
      <c r="F171" s="24"/>
      <c r="G171" s="36"/>
      <c r="H171" s="36"/>
    </row>
    <row r="172" spans="1:8" x14ac:dyDescent="0.25">
      <c r="A172" s="24"/>
      <c r="B172" s="39"/>
      <c r="C172" s="39"/>
      <c r="D172" s="39"/>
      <c r="E172" s="39"/>
      <c r="F172" s="24"/>
      <c r="G172" s="36"/>
      <c r="H172" s="36"/>
    </row>
    <row r="173" spans="1:8" x14ac:dyDescent="0.25">
      <c r="A173" s="24"/>
      <c r="B173" s="39"/>
      <c r="C173" s="39"/>
      <c r="D173" s="39"/>
      <c r="E173" s="39"/>
      <c r="F173" s="24"/>
      <c r="G173" s="36"/>
      <c r="H173" s="36"/>
    </row>
    <row r="174" spans="1:8" x14ac:dyDescent="0.25">
      <c r="A174" s="24"/>
      <c r="B174" s="39"/>
      <c r="C174" s="39"/>
      <c r="D174" s="39"/>
      <c r="E174" s="39"/>
      <c r="F174" s="24"/>
      <c r="G174" s="36"/>
      <c r="H174" s="36"/>
    </row>
    <row r="175" spans="1:8" x14ac:dyDescent="0.25">
      <c r="A175" s="24"/>
      <c r="B175" s="39"/>
      <c r="C175" s="39"/>
      <c r="D175" s="39"/>
      <c r="E175" s="39"/>
      <c r="F175" s="24"/>
      <c r="G175" s="36"/>
      <c r="H175" s="36"/>
    </row>
    <row r="176" spans="1:8" x14ac:dyDescent="0.25">
      <c r="A176" s="24"/>
      <c r="B176" s="39"/>
      <c r="C176" s="39"/>
      <c r="D176" s="39"/>
      <c r="E176" s="39"/>
      <c r="F176" s="24"/>
      <c r="G176" s="36"/>
      <c r="H176" s="36"/>
    </row>
    <row r="177" spans="1:8" x14ac:dyDescent="0.25">
      <c r="A177" s="24"/>
      <c r="B177" s="39"/>
      <c r="C177" s="39"/>
      <c r="D177" s="39"/>
      <c r="E177" s="39"/>
      <c r="F177" s="24"/>
      <c r="G177" s="36"/>
      <c r="H177" s="36"/>
    </row>
    <row r="178" spans="1:8" x14ac:dyDescent="0.25">
      <c r="A178" s="24"/>
      <c r="B178" s="39"/>
      <c r="C178" s="39"/>
      <c r="D178" s="39"/>
      <c r="E178" s="39"/>
      <c r="F178" s="24"/>
      <c r="G178" s="36"/>
      <c r="H178" s="36"/>
    </row>
    <row r="179" spans="1:8" x14ac:dyDescent="0.25">
      <c r="A179" s="24"/>
      <c r="B179" s="39"/>
      <c r="C179" s="39"/>
      <c r="D179" s="39"/>
      <c r="E179" s="39"/>
      <c r="F179" s="24"/>
      <c r="G179" s="36"/>
      <c r="H179" s="36"/>
    </row>
    <row r="180" spans="1:8" x14ac:dyDescent="0.25">
      <c r="A180" s="24"/>
      <c r="B180" s="39"/>
      <c r="C180" s="39"/>
      <c r="D180" s="39"/>
      <c r="E180" s="39"/>
      <c r="F180" s="24"/>
      <c r="G180" s="36"/>
      <c r="H180" s="36"/>
    </row>
    <row r="181" spans="1:8" x14ac:dyDescent="0.25">
      <c r="A181" s="24"/>
      <c r="B181" s="39"/>
      <c r="C181" s="39"/>
      <c r="D181" s="39"/>
      <c r="E181" s="39"/>
      <c r="F181" s="24"/>
      <c r="G181" s="36"/>
      <c r="H181" s="36"/>
    </row>
    <row r="182" spans="1:8" x14ac:dyDescent="0.25">
      <c r="A182" s="24"/>
      <c r="B182" s="39"/>
      <c r="C182" s="39"/>
      <c r="D182" s="39"/>
      <c r="E182" s="39"/>
      <c r="F182" s="24"/>
      <c r="G182" s="36"/>
      <c r="H182" s="36"/>
    </row>
    <row r="183" spans="1:8" x14ac:dyDescent="0.25">
      <c r="A183" s="24"/>
      <c r="B183" s="39"/>
      <c r="C183" s="39"/>
      <c r="D183" s="39"/>
      <c r="E183" s="39"/>
      <c r="F183" s="24"/>
      <c r="G183" s="36"/>
      <c r="H183" s="36"/>
    </row>
    <row r="184" spans="1:8" x14ac:dyDescent="0.25">
      <c r="A184" s="24"/>
      <c r="B184" s="39"/>
      <c r="C184" s="39"/>
      <c r="D184" s="39"/>
      <c r="E184" s="39"/>
      <c r="F184" s="24"/>
      <c r="G184" s="36"/>
      <c r="H184" s="36"/>
    </row>
    <row r="185" spans="1:8" x14ac:dyDescent="0.25">
      <c r="A185" s="24"/>
      <c r="B185" s="39"/>
      <c r="C185" s="39"/>
      <c r="D185" s="39"/>
      <c r="E185" s="39"/>
      <c r="F185" s="24"/>
      <c r="G185" s="36"/>
      <c r="H185" s="36"/>
    </row>
    <row r="186" spans="1:8" x14ac:dyDescent="0.25">
      <c r="A186" s="24"/>
      <c r="B186" s="39"/>
      <c r="C186" s="39"/>
      <c r="D186" s="39"/>
      <c r="E186" s="39"/>
      <c r="F186" s="24"/>
      <c r="G186" s="36"/>
      <c r="H186" s="36"/>
    </row>
    <row r="187" spans="1:8" x14ac:dyDescent="0.25">
      <c r="A187" s="24"/>
      <c r="B187" s="39"/>
      <c r="C187" s="39"/>
      <c r="D187" s="39"/>
      <c r="E187" s="39"/>
      <c r="F187" s="24"/>
      <c r="G187" s="36"/>
      <c r="H187" s="36"/>
    </row>
    <row r="188" spans="1:8" x14ac:dyDescent="0.25">
      <c r="A188" s="24"/>
      <c r="B188" s="39"/>
      <c r="C188" s="39"/>
      <c r="D188" s="39"/>
      <c r="E188" s="39"/>
      <c r="F188" s="24"/>
      <c r="G188" s="36"/>
      <c r="H188" s="36"/>
    </row>
    <row r="189" spans="1:8" x14ac:dyDescent="0.25">
      <c r="A189" s="24"/>
      <c r="B189" s="39"/>
      <c r="C189" s="39"/>
      <c r="D189" s="39"/>
      <c r="E189" s="39"/>
      <c r="F189" s="24"/>
      <c r="G189" s="36"/>
      <c r="H189" s="36"/>
    </row>
    <row r="190" spans="1:8" x14ac:dyDescent="0.25">
      <c r="A190" s="24"/>
      <c r="B190" s="39"/>
      <c r="C190" s="39"/>
      <c r="D190" s="39"/>
      <c r="E190" s="39"/>
      <c r="F190" s="24"/>
      <c r="G190" s="36"/>
      <c r="H190" s="36"/>
    </row>
    <row r="191" spans="1:8" x14ac:dyDescent="0.25">
      <c r="A191" s="24"/>
      <c r="B191" s="39"/>
      <c r="C191" s="39"/>
      <c r="D191" s="39"/>
      <c r="E191" s="39"/>
      <c r="F191" s="24"/>
      <c r="G191" s="36"/>
      <c r="H191" s="36"/>
    </row>
    <row r="192" spans="1:8" x14ac:dyDescent="0.25">
      <c r="A192" s="24"/>
      <c r="B192" s="39"/>
      <c r="C192" s="39"/>
      <c r="D192" s="39"/>
      <c r="E192" s="39"/>
      <c r="F192" s="24"/>
      <c r="G192" s="36"/>
      <c r="H192" s="36"/>
    </row>
    <row r="193" spans="1:8" x14ac:dyDescent="0.25">
      <c r="A193" s="24"/>
      <c r="B193" s="39"/>
      <c r="C193" s="39"/>
      <c r="D193" s="39"/>
      <c r="E193" s="39"/>
      <c r="F193" s="24"/>
      <c r="G193" s="36"/>
      <c r="H193" s="36"/>
    </row>
    <row r="194" spans="1:8" x14ac:dyDescent="0.25">
      <c r="A194" s="24"/>
      <c r="B194" s="39"/>
      <c r="C194" s="39"/>
      <c r="D194" s="39"/>
      <c r="E194" s="39"/>
      <c r="F194" s="24"/>
      <c r="G194" s="36"/>
      <c r="H194" s="36"/>
    </row>
    <row r="195" spans="1:8" x14ac:dyDescent="0.25">
      <c r="A195" s="24"/>
      <c r="B195" s="39"/>
      <c r="C195" s="39"/>
      <c r="D195" s="39"/>
      <c r="E195" s="39"/>
      <c r="F195" s="24"/>
      <c r="G195" s="36"/>
      <c r="H195" s="36"/>
    </row>
    <row r="196" spans="1:8" x14ac:dyDescent="0.25">
      <c r="A196" s="24"/>
      <c r="B196" s="39"/>
      <c r="C196" s="39"/>
      <c r="D196" s="39"/>
      <c r="E196" s="39"/>
      <c r="F196" s="24"/>
      <c r="G196" s="36"/>
      <c r="H196" s="36"/>
    </row>
    <row r="197" spans="1:8" x14ac:dyDescent="0.25">
      <c r="A197" s="24"/>
      <c r="B197" s="39"/>
      <c r="C197" s="39"/>
      <c r="D197" s="39"/>
      <c r="E197" s="39"/>
      <c r="F197" s="24"/>
      <c r="G197" s="36"/>
      <c r="H197" s="36"/>
    </row>
    <row r="198" spans="1:8" x14ac:dyDescent="0.25">
      <c r="A198" s="24"/>
      <c r="B198" s="39"/>
      <c r="C198" s="39"/>
      <c r="D198" s="39"/>
      <c r="E198" s="39"/>
      <c r="F198" s="24"/>
      <c r="G198" s="36"/>
      <c r="H198" s="36"/>
    </row>
    <row r="199" spans="1:8" x14ac:dyDescent="0.25">
      <c r="A199" s="24"/>
      <c r="B199" s="39"/>
      <c r="C199" s="39"/>
      <c r="D199" s="39"/>
      <c r="E199" s="39"/>
      <c r="F199" s="24"/>
      <c r="G199" s="36"/>
      <c r="H199" s="36"/>
    </row>
    <row r="200" spans="1:8" x14ac:dyDescent="0.25">
      <c r="A200" s="24"/>
      <c r="B200" s="39"/>
      <c r="C200" s="39"/>
      <c r="D200" s="39"/>
      <c r="E200" s="39"/>
      <c r="F200" s="24"/>
      <c r="G200" s="36"/>
      <c r="H200" s="36"/>
    </row>
    <row r="201" spans="1:8" x14ac:dyDescent="0.25">
      <c r="A201" s="24"/>
      <c r="B201" s="39"/>
      <c r="C201" s="39"/>
      <c r="D201" s="39"/>
      <c r="E201" s="39"/>
      <c r="F201" s="24"/>
      <c r="G201" s="36"/>
      <c r="H201" s="36"/>
    </row>
    <row r="202" spans="1:8" x14ac:dyDescent="0.25">
      <c r="A202" s="24"/>
      <c r="B202" s="39"/>
      <c r="C202" s="39"/>
      <c r="D202" s="39"/>
      <c r="E202" s="39"/>
      <c r="F202" s="24"/>
      <c r="G202" s="36"/>
      <c r="H202" s="36"/>
    </row>
    <row r="203" spans="1:8" x14ac:dyDescent="0.25">
      <c r="A203" s="24"/>
      <c r="B203" s="39"/>
      <c r="C203" s="39"/>
      <c r="D203" s="39"/>
      <c r="E203" s="39"/>
      <c r="F203" s="24"/>
      <c r="G203" s="36"/>
      <c r="H203" s="36"/>
    </row>
    <row r="204" spans="1:8" x14ac:dyDescent="0.25">
      <c r="A204" s="24"/>
      <c r="B204" s="39"/>
      <c r="C204" s="39"/>
      <c r="D204" s="39"/>
      <c r="E204" s="39"/>
      <c r="F204" s="24"/>
      <c r="G204" s="36"/>
      <c r="H204" s="36"/>
    </row>
    <row r="205" spans="1:8" x14ac:dyDescent="0.25">
      <c r="A205" s="24"/>
      <c r="B205" s="39"/>
      <c r="C205" s="39"/>
      <c r="D205" s="39"/>
      <c r="E205" s="39"/>
      <c r="F205" s="24"/>
      <c r="G205" s="36"/>
      <c r="H205" s="36"/>
    </row>
    <row r="206" spans="1:8" x14ac:dyDescent="0.25">
      <c r="A206" s="24"/>
      <c r="B206" s="39"/>
      <c r="C206" s="39"/>
      <c r="D206" s="39"/>
      <c r="E206" s="39"/>
      <c r="F206" s="24"/>
      <c r="G206" s="36"/>
      <c r="H206" s="36"/>
    </row>
    <row r="207" spans="1:8" x14ac:dyDescent="0.25">
      <c r="A207" s="24"/>
      <c r="B207" s="39"/>
      <c r="C207" s="39"/>
      <c r="D207" s="39"/>
      <c r="E207" s="39"/>
      <c r="F207" s="24"/>
      <c r="G207" s="36"/>
      <c r="H207" s="36"/>
    </row>
    <row r="208" spans="1:8" x14ac:dyDescent="0.25">
      <c r="A208" s="24"/>
      <c r="B208" s="39"/>
      <c r="C208" s="39"/>
      <c r="D208" s="39"/>
      <c r="E208" s="39"/>
      <c r="F208" s="24"/>
      <c r="G208" s="36"/>
      <c r="H208" s="36"/>
    </row>
    <row r="209" spans="1:8" x14ac:dyDescent="0.25">
      <c r="A209" s="24"/>
      <c r="B209" s="39"/>
      <c r="C209" s="39"/>
      <c r="D209" s="39"/>
      <c r="E209" s="39"/>
      <c r="F209" s="24"/>
      <c r="G209" s="36"/>
      <c r="H209" s="36"/>
    </row>
    <row r="210" spans="1:8" x14ac:dyDescent="0.25">
      <c r="A210" s="24"/>
      <c r="B210" s="39"/>
      <c r="C210" s="39"/>
      <c r="D210" s="39"/>
      <c r="E210" s="39"/>
      <c r="F210" s="24"/>
      <c r="G210" s="36"/>
      <c r="H210" s="36"/>
    </row>
    <row r="211" spans="1:8" x14ac:dyDescent="0.25">
      <c r="A211" s="24"/>
      <c r="B211" s="39"/>
      <c r="C211" s="39"/>
      <c r="D211" s="39"/>
      <c r="E211" s="39"/>
      <c r="F211" s="24"/>
      <c r="G211" s="36"/>
      <c r="H211" s="36"/>
    </row>
    <row r="212" spans="1:8" x14ac:dyDescent="0.25">
      <c r="A212" s="24"/>
      <c r="B212" s="39"/>
      <c r="C212" s="39"/>
      <c r="D212" s="39"/>
      <c r="E212" s="39"/>
      <c r="F212" s="24"/>
      <c r="G212" s="36"/>
      <c r="H212" s="36"/>
    </row>
    <row r="213" spans="1:8" x14ac:dyDescent="0.25">
      <c r="A213" s="24"/>
      <c r="B213" s="39"/>
      <c r="C213" s="39"/>
      <c r="D213" s="39"/>
      <c r="E213" s="39"/>
      <c r="F213" s="24"/>
      <c r="G213" s="36"/>
      <c r="H213" s="36"/>
    </row>
    <row r="214" spans="1:8" x14ac:dyDescent="0.25">
      <c r="A214" s="24"/>
      <c r="B214" s="39"/>
      <c r="C214" s="39"/>
      <c r="D214" s="39"/>
      <c r="E214" s="39"/>
      <c r="F214" s="24"/>
      <c r="G214" s="36"/>
      <c r="H214" s="36"/>
    </row>
    <row r="215" spans="1:8" x14ac:dyDescent="0.25">
      <c r="A215" s="24"/>
      <c r="B215" s="39"/>
      <c r="C215" s="39"/>
      <c r="D215" s="39"/>
      <c r="E215" s="39"/>
      <c r="F215" s="24"/>
      <c r="G215" s="36"/>
      <c r="H215" s="36"/>
    </row>
    <row r="216" spans="1:8" x14ac:dyDescent="0.25">
      <c r="A216" s="24"/>
      <c r="B216" s="39"/>
      <c r="C216" s="39"/>
      <c r="D216" s="39"/>
      <c r="E216" s="39"/>
      <c r="F216" s="24"/>
      <c r="G216" s="36"/>
      <c r="H216" s="36"/>
    </row>
    <row r="217" spans="1:8" x14ac:dyDescent="0.25">
      <c r="A217" s="24"/>
      <c r="B217" s="39"/>
      <c r="C217" s="39"/>
      <c r="D217" s="39"/>
      <c r="E217" s="39"/>
      <c r="F217" s="24"/>
      <c r="G217" s="36"/>
      <c r="H217" s="36"/>
    </row>
    <row r="218" spans="1:8" x14ac:dyDescent="0.25">
      <c r="A218" s="24"/>
      <c r="B218" s="39"/>
      <c r="C218" s="39"/>
      <c r="D218" s="39"/>
      <c r="E218" s="39"/>
      <c r="F218" s="24"/>
      <c r="G218" s="36"/>
      <c r="H218" s="36"/>
    </row>
    <row r="219" spans="1:8" x14ac:dyDescent="0.25">
      <c r="A219" s="24"/>
      <c r="B219" s="39"/>
      <c r="C219" s="39"/>
      <c r="D219" s="39"/>
      <c r="E219" s="39"/>
      <c r="F219" s="24"/>
      <c r="G219" s="36"/>
      <c r="H219" s="36"/>
    </row>
    <row r="220" spans="1:8" x14ac:dyDescent="0.25">
      <c r="A220" s="24"/>
      <c r="B220" s="39"/>
      <c r="C220" s="39"/>
      <c r="D220" s="39"/>
      <c r="E220" s="39"/>
      <c r="F220" s="24"/>
      <c r="G220" s="36"/>
      <c r="H220" s="36"/>
    </row>
    <row r="221" spans="1:8" x14ac:dyDescent="0.25">
      <c r="A221" s="24"/>
      <c r="B221" s="39"/>
      <c r="C221" s="39"/>
      <c r="D221" s="39"/>
      <c r="E221" s="39"/>
      <c r="F221" s="24"/>
      <c r="G221" s="36"/>
      <c r="H221" s="36"/>
    </row>
    <row r="222" spans="1:8" x14ac:dyDescent="0.25">
      <c r="A222" s="24"/>
      <c r="B222" s="39"/>
      <c r="C222" s="39"/>
      <c r="D222" s="39"/>
      <c r="E222" s="39"/>
      <c r="F222" s="24"/>
      <c r="G222" s="36"/>
      <c r="H222" s="36"/>
    </row>
    <row r="223" spans="1:8" x14ac:dyDescent="0.25">
      <c r="A223" s="24"/>
      <c r="B223" s="39"/>
      <c r="C223" s="39"/>
      <c r="D223" s="39"/>
      <c r="E223" s="39"/>
      <c r="F223" s="24"/>
      <c r="G223" s="36"/>
      <c r="H223" s="36"/>
    </row>
    <row r="224" spans="1:8" x14ac:dyDescent="0.25">
      <c r="A224" s="24"/>
      <c r="B224" s="39"/>
      <c r="C224" s="39"/>
      <c r="D224" s="39"/>
      <c r="E224" s="39"/>
      <c r="F224" s="24"/>
      <c r="G224" s="36"/>
      <c r="H224" s="36"/>
    </row>
    <row r="225" spans="1:8" x14ac:dyDescent="0.25">
      <c r="A225" s="24"/>
      <c r="B225" s="39"/>
      <c r="C225" s="39"/>
      <c r="D225" s="39"/>
      <c r="E225" s="39"/>
      <c r="F225" s="24"/>
      <c r="G225" s="36"/>
      <c r="H225" s="36"/>
    </row>
    <row r="226" spans="1:8" x14ac:dyDescent="0.25">
      <c r="A226" s="24"/>
      <c r="B226" s="39"/>
      <c r="C226" s="39"/>
      <c r="D226" s="39"/>
      <c r="E226" s="39"/>
      <c r="F226" s="24"/>
      <c r="G226" s="36"/>
      <c r="H226" s="36"/>
    </row>
    <row r="227" spans="1:8" x14ac:dyDescent="0.25">
      <c r="A227" s="24"/>
      <c r="B227" s="39"/>
      <c r="C227" s="39"/>
      <c r="D227" s="39"/>
      <c r="E227" s="39"/>
      <c r="F227" s="24"/>
      <c r="G227" s="36"/>
      <c r="H227" s="36"/>
    </row>
    <row r="228" spans="1:8" x14ac:dyDescent="0.25">
      <c r="A228" s="24"/>
      <c r="B228" s="39"/>
      <c r="C228" s="39"/>
      <c r="D228" s="39"/>
      <c r="E228" s="39"/>
      <c r="F228" s="24"/>
      <c r="G228" s="36"/>
      <c r="H228" s="36"/>
    </row>
    <row r="229" spans="1:8" x14ac:dyDescent="0.25">
      <c r="A229" s="24"/>
      <c r="B229" s="39"/>
      <c r="C229" s="39"/>
      <c r="D229" s="39"/>
      <c r="E229" s="39"/>
      <c r="F229" s="24"/>
      <c r="G229" s="36"/>
      <c r="H229" s="36"/>
    </row>
    <row r="230" spans="1:8" x14ac:dyDescent="0.25">
      <c r="A230" s="24"/>
      <c r="B230" s="39"/>
      <c r="C230" s="39"/>
      <c r="D230" s="39"/>
      <c r="E230" s="39"/>
      <c r="F230" s="24"/>
      <c r="G230" s="36"/>
      <c r="H230" s="36"/>
    </row>
    <row r="231" spans="1:8" x14ac:dyDescent="0.25">
      <c r="A231" s="24"/>
      <c r="B231" s="39"/>
      <c r="C231" s="39"/>
      <c r="D231" s="39"/>
      <c r="E231" s="39"/>
      <c r="F231" s="24"/>
      <c r="G231" s="36"/>
      <c r="H231" s="36"/>
    </row>
    <row r="232" spans="1:8" x14ac:dyDescent="0.25">
      <c r="A232" s="24"/>
      <c r="B232" s="39"/>
      <c r="C232" s="39"/>
      <c r="D232" s="39"/>
      <c r="E232" s="39"/>
      <c r="F232" s="24"/>
      <c r="G232" s="36"/>
      <c r="H232" s="36"/>
    </row>
    <row r="233" spans="1:8" x14ac:dyDescent="0.25">
      <c r="A233" s="24"/>
      <c r="B233" s="39"/>
      <c r="C233" s="39"/>
      <c r="D233" s="39"/>
      <c r="E233" s="39"/>
      <c r="F233" s="24"/>
      <c r="G233" s="36"/>
      <c r="H233" s="36"/>
    </row>
    <row r="234" spans="1:8" x14ac:dyDescent="0.25">
      <c r="A234" s="24"/>
      <c r="B234" s="39"/>
      <c r="C234" s="39"/>
      <c r="D234" s="39"/>
      <c r="E234" s="39"/>
      <c r="F234" s="24"/>
      <c r="G234" s="36"/>
      <c r="H234" s="36"/>
    </row>
    <row r="235" spans="1:8" x14ac:dyDescent="0.25">
      <c r="A235" s="24"/>
      <c r="B235" s="39"/>
      <c r="C235" s="39"/>
      <c r="D235" s="39"/>
      <c r="E235" s="39"/>
      <c r="F235" s="24"/>
      <c r="G235" s="36"/>
      <c r="H235" s="36"/>
    </row>
    <row r="236" spans="1:8" x14ac:dyDescent="0.25">
      <c r="A236" s="24"/>
      <c r="B236" s="39"/>
      <c r="C236" s="39"/>
      <c r="D236" s="39"/>
      <c r="E236" s="39"/>
      <c r="F236" s="24"/>
      <c r="G236" s="36"/>
      <c r="H236" s="36"/>
    </row>
    <row r="237" spans="1:8" x14ac:dyDescent="0.25">
      <c r="A237" s="24"/>
      <c r="B237" s="39"/>
      <c r="C237" s="39"/>
      <c r="D237" s="39"/>
      <c r="E237" s="39"/>
      <c r="F237" s="24"/>
      <c r="G237" s="36"/>
      <c r="H237" s="36"/>
    </row>
    <row r="238" spans="1:8" x14ac:dyDescent="0.25">
      <c r="A238" s="24"/>
      <c r="B238" s="39"/>
      <c r="C238" s="39"/>
      <c r="D238" s="39"/>
      <c r="E238" s="39"/>
      <c r="F238" s="24"/>
      <c r="G238" s="36"/>
      <c r="H238" s="36"/>
    </row>
    <row r="239" spans="1:8" x14ac:dyDescent="0.25">
      <c r="A239" s="24"/>
      <c r="B239" s="39"/>
      <c r="C239" s="39"/>
      <c r="D239" s="39"/>
      <c r="E239" s="39"/>
      <c r="F239" s="24"/>
      <c r="G239" s="36"/>
      <c r="H239" s="36"/>
    </row>
    <row r="240" spans="1:8" x14ac:dyDescent="0.25">
      <c r="A240" s="24"/>
      <c r="B240" s="39"/>
      <c r="C240" s="39"/>
      <c r="D240" s="39"/>
      <c r="E240" s="39"/>
      <c r="F240" s="24"/>
      <c r="G240" s="36"/>
      <c r="H240" s="36"/>
    </row>
    <row r="241" spans="1:8" x14ac:dyDescent="0.25">
      <c r="A241" s="24"/>
      <c r="B241" s="39"/>
      <c r="C241" s="39"/>
      <c r="D241" s="39"/>
      <c r="E241" s="39"/>
      <c r="F241" s="24"/>
      <c r="G241" s="36"/>
      <c r="H241" s="36"/>
    </row>
    <row r="242" spans="1:8" x14ac:dyDescent="0.25">
      <c r="A242" s="24"/>
      <c r="B242" s="39"/>
      <c r="C242" s="39"/>
      <c r="D242" s="39"/>
      <c r="E242" s="39"/>
      <c r="F242" s="24"/>
      <c r="G242" s="36"/>
      <c r="H242" s="36"/>
    </row>
    <row r="243" spans="1:8" x14ac:dyDescent="0.25">
      <c r="A243" s="24"/>
      <c r="B243" s="39"/>
      <c r="C243" s="39"/>
      <c r="D243" s="39"/>
      <c r="E243" s="39"/>
      <c r="F243" s="24"/>
      <c r="G243" s="36"/>
      <c r="H243" s="36"/>
    </row>
    <row r="244" spans="1:8" x14ac:dyDescent="0.25">
      <c r="A244" s="24"/>
      <c r="B244" s="39"/>
      <c r="C244" s="39"/>
      <c r="D244" s="39"/>
      <c r="E244" s="39"/>
      <c r="F244" s="24"/>
      <c r="G244" s="36"/>
      <c r="H244" s="36"/>
    </row>
    <row r="245" spans="1:8" x14ac:dyDescent="0.25">
      <c r="A245" s="24"/>
      <c r="B245" s="39"/>
      <c r="C245" s="39"/>
      <c r="D245" s="39"/>
      <c r="E245" s="39"/>
      <c r="F245" s="24"/>
      <c r="G245" s="36"/>
      <c r="H245" s="36"/>
    </row>
    <row r="246" spans="1:8" x14ac:dyDescent="0.25">
      <c r="A246" s="24"/>
      <c r="B246" s="39"/>
      <c r="C246" s="39"/>
      <c r="D246" s="39"/>
      <c r="E246" s="39"/>
      <c r="F246" s="24"/>
      <c r="G246" s="36"/>
      <c r="H246" s="36"/>
    </row>
    <row r="247" spans="1:8" x14ac:dyDescent="0.25">
      <c r="B247" s="37"/>
      <c r="C247" s="37"/>
      <c r="D247" s="37"/>
      <c r="E247" s="37"/>
    </row>
  </sheetData>
  <mergeCells count="482">
    <mergeCell ref="C1:H4"/>
    <mergeCell ref="A5:H5"/>
    <mergeCell ref="A10:H11"/>
    <mergeCell ref="A1:B4"/>
    <mergeCell ref="C8:H8"/>
    <mergeCell ref="C9:H9"/>
    <mergeCell ref="A6:B6"/>
    <mergeCell ref="A7:B7"/>
    <mergeCell ref="A8:B8"/>
    <mergeCell ref="A9:B9"/>
    <mergeCell ref="C6:H6"/>
    <mergeCell ref="C7:H7"/>
    <mergeCell ref="B16:C16"/>
    <mergeCell ref="D16:E16"/>
    <mergeCell ref="F16:H16"/>
    <mergeCell ref="B20:C20"/>
    <mergeCell ref="D20:E20"/>
    <mergeCell ref="F20:H20"/>
    <mergeCell ref="A13:C13"/>
    <mergeCell ref="D13:H13"/>
    <mergeCell ref="A12:C12"/>
    <mergeCell ref="D12:H12"/>
    <mergeCell ref="A18:C18"/>
    <mergeCell ref="D18:H18"/>
    <mergeCell ref="A19:C19"/>
    <mergeCell ref="D19:H19"/>
    <mergeCell ref="A14:C14"/>
    <mergeCell ref="D14:H14"/>
    <mergeCell ref="A17:C17"/>
    <mergeCell ref="D17:H17"/>
    <mergeCell ref="A15:C15"/>
    <mergeCell ref="D15:H15"/>
    <mergeCell ref="B27:E27"/>
    <mergeCell ref="B28:E28"/>
    <mergeCell ref="B29:E29"/>
    <mergeCell ref="B30:E30"/>
    <mergeCell ref="B31:E31"/>
    <mergeCell ref="A23:H24"/>
    <mergeCell ref="B25:E25"/>
    <mergeCell ref="G25:H25"/>
    <mergeCell ref="G26:H26"/>
    <mergeCell ref="B26:E26"/>
    <mergeCell ref="B37:E37"/>
    <mergeCell ref="B38:E38"/>
    <mergeCell ref="B39:E39"/>
    <mergeCell ref="B40:E40"/>
    <mergeCell ref="B41:E41"/>
    <mergeCell ref="B32:E32"/>
    <mergeCell ref="B33:E33"/>
    <mergeCell ref="B34:E34"/>
    <mergeCell ref="B35:E35"/>
    <mergeCell ref="B36:E36"/>
    <mergeCell ref="B47:E47"/>
    <mergeCell ref="B48:E48"/>
    <mergeCell ref="B49:E49"/>
    <mergeCell ref="B50:E50"/>
    <mergeCell ref="B51:E51"/>
    <mergeCell ref="B42:E42"/>
    <mergeCell ref="B43:E43"/>
    <mergeCell ref="B44:E44"/>
    <mergeCell ref="B45:E45"/>
    <mergeCell ref="B46:E46"/>
    <mergeCell ref="B57:E57"/>
    <mergeCell ref="B58:E58"/>
    <mergeCell ref="B59:E59"/>
    <mergeCell ref="B60:E60"/>
    <mergeCell ref="B61:E61"/>
    <mergeCell ref="B52:E52"/>
    <mergeCell ref="B53:E53"/>
    <mergeCell ref="B54:E54"/>
    <mergeCell ref="B55:E55"/>
    <mergeCell ref="B56:E56"/>
    <mergeCell ref="B67:E67"/>
    <mergeCell ref="B68:E68"/>
    <mergeCell ref="B69:E69"/>
    <mergeCell ref="B70:E70"/>
    <mergeCell ref="B71:E71"/>
    <mergeCell ref="B62:E62"/>
    <mergeCell ref="B63:E63"/>
    <mergeCell ref="B64:E64"/>
    <mergeCell ref="B65:E65"/>
    <mergeCell ref="B66:E66"/>
    <mergeCell ref="B77:E77"/>
    <mergeCell ref="B78:E78"/>
    <mergeCell ref="B79:E79"/>
    <mergeCell ref="B80:E80"/>
    <mergeCell ref="B81:E81"/>
    <mergeCell ref="B72:E72"/>
    <mergeCell ref="B73:E73"/>
    <mergeCell ref="B74:E74"/>
    <mergeCell ref="B75:E75"/>
    <mergeCell ref="B76:E76"/>
    <mergeCell ref="B87:E87"/>
    <mergeCell ref="B88:E88"/>
    <mergeCell ref="B89:E89"/>
    <mergeCell ref="B90:E90"/>
    <mergeCell ref="B91:E91"/>
    <mergeCell ref="B82:E82"/>
    <mergeCell ref="B83:E83"/>
    <mergeCell ref="B84:E84"/>
    <mergeCell ref="B85:E85"/>
    <mergeCell ref="B86:E86"/>
    <mergeCell ref="B97:E97"/>
    <mergeCell ref="B98:E98"/>
    <mergeCell ref="B99:E99"/>
    <mergeCell ref="B100:E100"/>
    <mergeCell ref="B101:E101"/>
    <mergeCell ref="B92:E92"/>
    <mergeCell ref="B93:E93"/>
    <mergeCell ref="B94:E94"/>
    <mergeCell ref="B95:E95"/>
    <mergeCell ref="B96:E96"/>
    <mergeCell ref="B107:E107"/>
    <mergeCell ref="B108:E108"/>
    <mergeCell ref="B109:E109"/>
    <mergeCell ref="B110:E110"/>
    <mergeCell ref="B111:E111"/>
    <mergeCell ref="B102:E102"/>
    <mergeCell ref="B103:E103"/>
    <mergeCell ref="B104:E104"/>
    <mergeCell ref="B105:E105"/>
    <mergeCell ref="B106:E106"/>
    <mergeCell ref="B117:E117"/>
    <mergeCell ref="B118:E118"/>
    <mergeCell ref="B119:E119"/>
    <mergeCell ref="B120:E120"/>
    <mergeCell ref="B121:E121"/>
    <mergeCell ref="B112:E112"/>
    <mergeCell ref="B113:E113"/>
    <mergeCell ref="B114:E114"/>
    <mergeCell ref="B115:E115"/>
    <mergeCell ref="B116:E116"/>
    <mergeCell ref="B127:E127"/>
    <mergeCell ref="B128:E128"/>
    <mergeCell ref="B129:E129"/>
    <mergeCell ref="B130:E130"/>
    <mergeCell ref="B131:E131"/>
    <mergeCell ref="B122:E122"/>
    <mergeCell ref="B123:E123"/>
    <mergeCell ref="B124:E124"/>
    <mergeCell ref="B125:E125"/>
    <mergeCell ref="B126:E126"/>
    <mergeCell ref="B137:E137"/>
    <mergeCell ref="B138:E138"/>
    <mergeCell ref="B139:E139"/>
    <mergeCell ref="B140:E140"/>
    <mergeCell ref="B141:E141"/>
    <mergeCell ref="B132:E132"/>
    <mergeCell ref="B133:E133"/>
    <mergeCell ref="B134:E134"/>
    <mergeCell ref="B135:E135"/>
    <mergeCell ref="B136:E136"/>
    <mergeCell ref="B147:E147"/>
    <mergeCell ref="B148:E148"/>
    <mergeCell ref="B149:E149"/>
    <mergeCell ref="B150:E150"/>
    <mergeCell ref="B151:E151"/>
    <mergeCell ref="B142:E142"/>
    <mergeCell ref="B143:E143"/>
    <mergeCell ref="B144:E144"/>
    <mergeCell ref="B145:E145"/>
    <mergeCell ref="B146:E146"/>
    <mergeCell ref="B157:E157"/>
    <mergeCell ref="B158:E158"/>
    <mergeCell ref="B159:E159"/>
    <mergeCell ref="B160:E160"/>
    <mergeCell ref="B161:E161"/>
    <mergeCell ref="B152:E152"/>
    <mergeCell ref="B153:E153"/>
    <mergeCell ref="B154:E154"/>
    <mergeCell ref="B155:E155"/>
    <mergeCell ref="B156:E156"/>
    <mergeCell ref="B167:E167"/>
    <mergeCell ref="B168:E168"/>
    <mergeCell ref="B169:E169"/>
    <mergeCell ref="B170:E170"/>
    <mergeCell ref="B171:E171"/>
    <mergeCell ref="B162:E162"/>
    <mergeCell ref="B163:E163"/>
    <mergeCell ref="B164:E164"/>
    <mergeCell ref="B165:E165"/>
    <mergeCell ref="B166:E166"/>
    <mergeCell ref="B177:E177"/>
    <mergeCell ref="B178:E178"/>
    <mergeCell ref="B179:E179"/>
    <mergeCell ref="B180:E180"/>
    <mergeCell ref="B181:E181"/>
    <mergeCell ref="B172:E172"/>
    <mergeCell ref="B173:E173"/>
    <mergeCell ref="B174:E174"/>
    <mergeCell ref="B175:E175"/>
    <mergeCell ref="B176:E176"/>
    <mergeCell ref="B187:E187"/>
    <mergeCell ref="B188:E188"/>
    <mergeCell ref="B189:E189"/>
    <mergeCell ref="B190:E190"/>
    <mergeCell ref="B191:E191"/>
    <mergeCell ref="B182:E182"/>
    <mergeCell ref="B183:E183"/>
    <mergeCell ref="B184:E184"/>
    <mergeCell ref="B185:E185"/>
    <mergeCell ref="B186:E186"/>
    <mergeCell ref="B197:E197"/>
    <mergeCell ref="B198:E198"/>
    <mergeCell ref="B199:E199"/>
    <mergeCell ref="B200:E200"/>
    <mergeCell ref="B201:E201"/>
    <mergeCell ref="B192:E192"/>
    <mergeCell ref="B193:E193"/>
    <mergeCell ref="B194:E194"/>
    <mergeCell ref="B195:E195"/>
    <mergeCell ref="B196:E196"/>
    <mergeCell ref="B207:E207"/>
    <mergeCell ref="B208:E208"/>
    <mergeCell ref="B209:E209"/>
    <mergeCell ref="B210:E210"/>
    <mergeCell ref="B211:E211"/>
    <mergeCell ref="B202:E202"/>
    <mergeCell ref="B203:E203"/>
    <mergeCell ref="B204:E204"/>
    <mergeCell ref="B205:E205"/>
    <mergeCell ref="B206:E206"/>
    <mergeCell ref="B217:E217"/>
    <mergeCell ref="B218:E218"/>
    <mergeCell ref="B219:E219"/>
    <mergeCell ref="B220:E220"/>
    <mergeCell ref="B221:E221"/>
    <mergeCell ref="B212:E212"/>
    <mergeCell ref="B213:E213"/>
    <mergeCell ref="B214:E214"/>
    <mergeCell ref="B215:E215"/>
    <mergeCell ref="B216:E216"/>
    <mergeCell ref="B227:E227"/>
    <mergeCell ref="B228:E228"/>
    <mergeCell ref="B229:E229"/>
    <mergeCell ref="B230:E230"/>
    <mergeCell ref="B231:E231"/>
    <mergeCell ref="B222:E222"/>
    <mergeCell ref="B223:E223"/>
    <mergeCell ref="B224:E224"/>
    <mergeCell ref="B225:E225"/>
    <mergeCell ref="B226:E226"/>
    <mergeCell ref="B245:E245"/>
    <mergeCell ref="B246:E246"/>
    <mergeCell ref="B237:E237"/>
    <mergeCell ref="B238:E238"/>
    <mergeCell ref="B239:E239"/>
    <mergeCell ref="B240:E240"/>
    <mergeCell ref="B241:E241"/>
    <mergeCell ref="B232:E232"/>
    <mergeCell ref="B233:E233"/>
    <mergeCell ref="B234:E234"/>
    <mergeCell ref="B235:E235"/>
    <mergeCell ref="B236:E236"/>
    <mergeCell ref="G42:H42"/>
    <mergeCell ref="G43:H43"/>
    <mergeCell ref="G44:H44"/>
    <mergeCell ref="G45:H45"/>
    <mergeCell ref="G46:H46"/>
    <mergeCell ref="B247:E247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B242:E242"/>
    <mergeCell ref="B243:E243"/>
    <mergeCell ref="B244:E244"/>
    <mergeCell ref="G52:H52"/>
    <mergeCell ref="G53:H53"/>
    <mergeCell ref="G54:H54"/>
    <mergeCell ref="G55:H55"/>
    <mergeCell ref="G56:H56"/>
    <mergeCell ref="G47:H47"/>
    <mergeCell ref="G48:H48"/>
    <mergeCell ref="G49:H49"/>
    <mergeCell ref="G50:H50"/>
    <mergeCell ref="G51:H51"/>
    <mergeCell ref="G62:H62"/>
    <mergeCell ref="G63:H63"/>
    <mergeCell ref="G64:H64"/>
    <mergeCell ref="G65:H65"/>
    <mergeCell ref="G66:H66"/>
    <mergeCell ref="G57:H57"/>
    <mergeCell ref="G58:H58"/>
    <mergeCell ref="G59:H59"/>
    <mergeCell ref="G60:H60"/>
    <mergeCell ref="G61:H6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112:H112"/>
    <mergeCell ref="G113:H113"/>
    <mergeCell ref="G114:H114"/>
    <mergeCell ref="G115:H115"/>
    <mergeCell ref="G116:H116"/>
    <mergeCell ref="G107:H107"/>
    <mergeCell ref="G108:H108"/>
    <mergeCell ref="G109:H109"/>
    <mergeCell ref="G110:H110"/>
    <mergeCell ref="G111:H111"/>
    <mergeCell ref="G122:H122"/>
    <mergeCell ref="G123:H123"/>
    <mergeCell ref="G124:H124"/>
    <mergeCell ref="G125:H125"/>
    <mergeCell ref="G126:H126"/>
    <mergeCell ref="G117:H117"/>
    <mergeCell ref="G118:H118"/>
    <mergeCell ref="G119:H119"/>
    <mergeCell ref="G120:H120"/>
    <mergeCell ref="G121:H121"/>
    <mergeCell ref="G132:H132"/>
    <mergeCell ref="G133:H133"/>
    <mergeCell ref="G134:H134"/>
    <mergeCell ref="G135:H135"/>
    <mergeCell ref="G136:H136"/>
    <mergeCell ref="G127:H127"/>
    <mergeCell ref="G128:H128"/>
    <mergeCell ref="G129:H129"/>
    <mergeCell ref="G130:H130"/>
    <mergeCell ref="G131:H131"/>
    <mergeCell ref="G142:H142"/>
    <mergeCell ref="G143:H143"/>
    <mergeCell ref="G144:H144"/>
    <mergeCell ref="G145:H145"/>
    <mergeCell ref="G146:H146"/>
    <mergeCell ref="G137:H137"/>
    <mergeCell ref="G138:H138"/>
    <mergeCell ref="G139:H139"/>
    <mergeCell ref="G140:H140"/>
    <mergeCell ref="G141:H141"/>
    <mergeCell ref="G152:H152"/>
    <mergeCell ref="G153:H153"/>
    <mergeCell ref="G154:H154"/>
    <mergeCell ref="G155:H155"/>
    <mergeCell ref="G156:H156"/>
    <mergeCell ref="G147:H147"/>
    <mergeCell ref="G148:H148"/>
    <mergeCell ref="G149:H149"/>
    <mergeCell ref="G150:H150"/>
    <mergeCell ref="G151:H151"/>
    <mergeCell ref="G162:H162"/>
    <mergeCell ref="G163:H163"/>
    <mergeCell ref="G164:H164"/>
    <mergeCell ref="G165:H165"/>
    <mergeCell ref="G166:H166"/>
    <mergeCell ref="G157:H157"/>
    <mergeCell ref="G158:H158"/>
    <mergeCell ref="G159:H159"/>
    <mergeCell ref="G160:H160"/>
    <mergeCell ref="G161:H161"/>
    <mergeCell ref="G172:H172"/>
    <mergeCell ref="G173:H173"/>
    <mergeCell ref="G174:H174"/>
    <mergeCell ref="G175:H175"/>
    <mergeCell ref="G176:H176"/>
    <mergeCell ref="G167:H167"/>
    <mergeCell ref="G168:H168"/>
    <mergeCell ref="G169:H169"/>
    <mergeCell ref="G170:H170"/>
    <mergeCell ref="G171:H171"/>
    <mergeCell ref="G182:H182"/>
    <mergeCell ref="G183:H183"/>
    <mergeCell ref="G184:H184"/>
    <mergeCell ref="G185:H185"/>
    <mergeCell ref="G186:H186"/>
    <mergeCell ref="G177:H177"/>
    <mergeCell ref="G178:H178"/>
    <mergeCell ref="G179:H179"/>
    <mergeCell ref="G180:H180"/>
    <mergeCell ref="G181:H181"/>
    <mergeCell ref="G192:H192"/>
    <mergeCell ref="G193:H193"/>
    <mergeCell ref="G194:H194"/>
    <mergeCell ref="G195:H195"/>
    <mergeCell ref="G196:H196"/>
    <mergeCell ref="G187:H187"/>
    <mergeCell ref="G188:H188"/>
    <mergeCell ref="G189:H189"/>
    <mergeCell ref="G190:H190"/>
    <mergeCell ref="G191:H191"/>
    <mergeCell ref="G202:H202"/>
    <mergeCell ref="G203:H203"/>
    <mergeCell ref="G204:H204"/>
    <mergeCell ref="G205:H205"/>
    <mergeCell ref="G206:H206"/>
    <mergeCell ref="G197:H197"/>
    <mergeCell ref="G198:H198"/>
    <mergeCell ref="G199:H199"/>
    <mergeCell ref="G200:H200"/>
    <mergeCell ref="G201:H201"/>
    <mergeCell ref="G212:H212"/>
    <mergeCell ref="G213:H213"/>
    <mergeCell ref="G214:H214"/>
    <mergeCell ref="G215:H215"/>
    <mergeCell ref="G216:H216"/>
    <mergeCell ref="G207:H207"/>
    <mergeCell ref="G208:H208"/>
    <mergeCell ref="G209:H209"/>
    <mergeCell ref="G210:H210"/>
    <mergeCell ref="G211:H211"/>
    <mergeCell ref="G222:H222"/>
    <mergeCell ref="G223:H223"/>
    <mergeCell ref="G224:H224"/>
    <mergeCell ref="G225:H225"/>
    <mergeCell ref="G226:H226"/>
    <mergeCell ref="G217:H217"/>
    <mergeCell ref="G218:H218"/>
    <mergeCell ref="G219:H219"/>
    <mergeCell ref="G220:H220"/>
    <mergeCell ref="G221:H221"/>
    <mergeCell ref="A21:C21"/>
    <mergeCell ref="A22:C22"/>
    <mergeCell ref="D21:H21"/>
    <mergeCell ref="D22:H22"/>
    <mergeCell ref="G242:H242"/>
    <mergeCell ref="G243:H243"/>
    <mergeCell ref="G244:H244"/>
    <mergeCell ref="G245:H245"/>
    <mergeCell ref="G246:H246"/>
    <mergeCell ref="G237:H237"/>
    <mergeCell ref="G238:H238"/>
    <mergeCell ref="G239:H239"/>
    <mergeCell ref="G240:H240"/>
    <mergeCell ref="G241:H241"/>
    <mergeCell ref="G232:H232"/>
    <mergeCell ref="G233:H233"/>
    <mergeCell ref="G234:H234"/>
    <mergeCell ref="G235:H235"/>
    <mergeCell ref="G236:H236"/>
    <mergeCell ref="G227:H227"/>
    <mergeCell ref="G228:H228"/>
    <mergeCell ref="G229:H229"/>
    <mergeCell ref="G230:H230"/>
    <mergeCell ref="G231:H23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FF0000"/>
  </sheetPr>
  <dimension ref="F5:S27"/>
  <sheetViews>
    <sheetView topLeftCell="D9" workbookViewId="0">
      <selection activeCell="G18" sqref="G18"/>
    </sheetView>
  </sheetViews>
  <sheetFormatPr baseColWidth="10" defaultRowHeight="14.4" x14ac:dyDescent="0.3"/>
  <cols>
    <col min="6" max="6" width="17.21875" bestFit="1" customWidth="1"/>
    <col min="7" max="7" width="21.44140625" bestFit="1" customWidth="1"/>
    <col min="8" max="8" width="11.88671875" bestFit="1" customWidth="1"/>
    <col min="9" max="10" width="12.5546875" bestFit="1" customWidth="1"/>
    <col min="11" max="11" width="16.5546875" bestFit="1" customWidth="1"/>
    <col min="12" max="12" width="18.77734375" bestFit="1" customWidth="1"/>
    <col min="13" max="13" width="12.5546875" customWidth="1"/>
    <col min="14" max="14" width="16.5546875" bestFit="1" customWidth="1"/>
    <col min="15" max="15" width="24.109375" bestFit="1" customWidth="1"/>
    <col min="18" max="18" width="16.5546875" bestFit="1" customWidth="1"/>
    <col min="19" max="19" width="19.6640625" bestFit="1" customWidth="1"/>
  </cols>
  <sheetData>
    <row r="5" spans="6:19" x14ac:dyDescent="0.3">
      <c r="K5" s="2" t="s">
        <v>32</v>
      </c>
      <c r="L5" t="s">
        <v>79</v>
      </c>
    </row>
    <row r="6" spans="6:19" x14ac:dyDescent="0.3">
      <c r="K6" s="29">
        <v>45370</v>
      </c>
      <c r="L6" s="26">
        <v>0</v>
      </c>
    </row>
    <row r="7" spans="6:19" x14ac:dyDescent="0.3">
      <c r="G7" s="2" t="s">
        <v>27</v>
      </c>
      <c r="K7" s="29">
        <v>45423</v>
      </c>
      <c r="L7" s="26">
        <v>0</v>
      </c>
    </row>
    <row r="8" spans="6:19" x14ac:dyDescent="0.3">
      <c r="G8" t="s">
        <v>247</v>
      </c>
      <c r="H8" t="s">
        <v>29</v>
      </c>
      <c r="K8" s="29">
        <v>45429</v>
      </c>
      <c r="L8" s="26">
        <v>0</v>
      </c>
      <c r="R8" s="2" t="s">
        <v>32</v>
      </c>
      <c r="S8" t="s">
        <v>81</v>
      </c>
    </row>
    <row r="9" spans="6:19" x14ac:dyDescent="0.3">
      <c r="F9" t="s">
        <v>26</v>
      </c>
      <c r="G9" s="27">
        <v>150</v>
      </c>
      <c r="H9" s="27">
        <v>150</v>
      </c>
      <c r="K9" s="29">
        <v>45444</v>
      </c>
      <c r="L9" s="26">
        <v>0</v>
      </c>
      <c r="R9" s="3" t="s">
        <v>107</v>
      </c>
      <c r="S9" s="72">
        <v>14</v>
      </c>
    </row>
    <row r="10" spans="6:19" x14ac:dyDescent="0.3">
      <c r="K10" s="29">
        <v>45460</v>
      </c>
      <c r="L10" s="26">
        <v>0</v>
      </c>
      <c r="R10" s="3" t="s">
        <v>28</v>
      </c>
      <c r="S10" s="72"/>
    </row>
    <row r="11" spans="6:19" x14ac:dyDescent="0.3">
      <c r="K11" s="29">
        <v>45465</v>
      </c>
      <c r="L11" s="26">
        <v>0</v>
      </c>
      <c r="N11" s="2" t="s">
        <v>32</v>
      </c>
      <c r="O11" t="s">
        <v>80</v>
      </c>
      <c r="R11" s="3" t="s">
        <v>159</v>
      </c>
      <c r="S11" s="72">
        <v>7</v>
      </c>
    </row>
    <row r="12" spans="6:19" x14ac:dyDescent="0.3">
      <c r="K12" s="29">
        <v>45467</v>
      </c>
      <c r="L12" s="26">
        <v>0</v>
      </c>
      <c r="N12" s="29">
        <v>45370</v>
      </c>
      <c r="O12" s="26">
        <v>0</v>
      </c>
      <c r="R12" s="3" t="s">
        <v>29</v>
      </c>
      <c r="S12" s="72">
        <v>21</v>
      </c>
    </row>
    <row r="13" spans="6:19" x14ac:dyDescent="0.3">
      <c r="K13" s="29">
        <v>45471</v>
      </c>
      <c r="L13" s="26">
        <v>70000</v>
      </c>
      <c r="N13" s="29">
        <v>45423</v>
      </c>
      <c r="O13" s="26">
        <v>0</v>
      </c>
    </row>
    <row r="14" spans="6:19" x14ac:dyDescent="0.3">
      <c r="K14" s="29">
        <v>45474</v>
      </c>
      <c r="L14" s="26">
        <v>150000</v>
      </c>
      <c r="N14" s="29">
        <v>45429</v>
      </c>
      <c r="O14" s="26">
        <v>0</v>
      </c>
    </row>
    <row r="15" spans="6:19" x14ac:dyDescent="0.3">
      <c r="K15" s="29">
        <v>45486</v>
      </c>
      <c r="L15" s="26">
        <v>0</v>
      </c>
      <c r="N15" s="29">
        <v>45444</v>
      </c>
      <c r="O15" s="26">
        <v>0</v>
      </c>
    </row>
    <row r="16" spans="6:19" x14ac:dyDescent="0.3">
      <c r="K16" s="29">
        <v>45519</v>
      </c>
      <c r="L16" s="26">
        <v>0</v>
      </c>
      <c r="N16" s="29">
        <v>45460</v>
      </c>
      <c r="O16" s="26">
        <v>0</v>
      </c>
    </row>
    <row r="17" spans="6:15" x14ac:dyDescent="0.3">
      <c r="K17" s="29">
        <v>45554</v>
      </c>
      <c r="L17" s="26">
        <v>0</v>
      </c>
      <c r="N17" s="29">
        <v>45465</v>
      </c>
      <c r="O17" s="26">
        <v>0</v>
      </c>
    </row>
    <row r="18" spans="6:15" x14ac:dyDescent="0.3">
      <c r="K18" s="29">
        <v>45647</v>
      </c>
      <c r="L18" s="26">
        <v>0</v>
      </c>
      <c r="N18" s="29">
        <v>45467</v>
      </c>
      <c r="O18" s="26">
        <v>0</v>
      </c>
    </row>
    <row r="19" spans="6:15" x14ac:dyDescent="0.3">
      <c r="F19" cm="1">
        <f t="array" ref="F19">DASHBOARD!C19:H24</f>
        <v>14</v>
      </c>
      <c r="K19" s="3" t="s">
        <v>29</v>
      </c>
      <c r="L19" s="26">
        <v>220000</v>
      </c>
      <c r="N19" s="29">
        <v>45471</v>
      </c>
      <c r="O19" s="26">
        <v>0</v>
      </c>
    </row>
    <row r="20" spans="6:15" x14ac:dyDescent="0.3">
      <c r="N20" s="29">
        <v>45474</v>
      </c>
      <c r="O20" s="26">
        <v>0</v>
      </c>
    </row>
    <row r="21" spans="6:15" x14ac:dyDescent="0.3">
      <c r="N21" s="29">
        <v>45486</v>
      </c>
      <c r="O21" s="26">
        <v>0</v>
      </c>
    </row>
    <row r="22" spans="6:15" x14ac:dyDescent="0.3">
      <c r="N22" s="29">
        <v>45519</v>
      </c>
      <c r="O22" s="26">
        <v>0</v>
      </c>
    </row>
    <row r="23" spans="6:15" x14ac:dyDescent="0.3">
      <c r="N23" s="29">
        <v>45554</v>
      </c>
      <c r="O23" s="26">
        <v>0</v>
      </c>
    </row>
    <row r="24" spans="6:15" x14ac:dyDescent="0.3">
      <c r="N24" s="29">
        <v>45644</v>
      </c>
      <c r="O24" s="26">
        <v>0</v>
      </c>
    </row>
    <row r="25" spans="6:15" x14ac:dyDescent="0.3">
      <c r="N25" s="29">
        <v>45647</v>
      </c>
      <c r="O25" s="26">
        <v>0</v>
      </c>
    </row>
    <row r="26" spans="6:15" x14ac:dyDescent="0.3">
      <c r="N26" s="3" t="s">
        <v>28</v>
      </c>
      <c r="O26" s="26"/>
    </row>
    <row r="27" spans="6:15" x14ac:dyDescent="0.3">
      <c r="N27" s="3" t="s">
        <v>29</v>
      </c>
      <c r="O27" s="26">
        <v>0</v>
      </c>
    </row>
  </sheetData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DASHBOARD</vt:lpstr>
      <vt:lpstr>BD</vt:lpstr>
      <vt:lpstr>ALMACEN</vt:lpstr>
      <vt:lpstr>CRONOGRAMA</vt:lpstr>
      <vt:lpstr>MAQUINAS</vt:lpstr>
      <vt:lpstr>MANTENIMIENTOS</vt:lpstr>
      <vt:lpstr>PM</vt:lpstr>
      <vt:lpstr>IMPRIMIR</vt:lpstr>
      <vt:lpstr>GD</vt:lpstr>
      <vt:lpstr>IMPRIMIR!Área_de_impresión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</dc:creator>
  <cp:lastModifiedBy>Gonzalo Jaimes</cp:lastModifiedBy>
  <cp:lastPrinted>2024-07-17T19:42:33Z</cp:lastPrinted>
  <dcterms:created xsi:type="dcterms:W3CDTF">2006-09-16T00:00:00Z</dcterms:created>
  <dcterms:modified xsi:type="dcterms:W3CDTF">2026-03-18T16:16:03Z</dcterms:modified>
</cp:coreProperties>
</file>