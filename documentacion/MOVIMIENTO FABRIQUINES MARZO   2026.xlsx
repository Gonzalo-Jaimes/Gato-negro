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toNegro5\Desktop\movimientos caja 2026\"/>
    </mc:Choice>
  </mc:AlternateContent>
  <bookViews>
    <workbookView xWindow="0" yWindow="600" windowWidth="20280" windowHeight="8610" tabRatio="952" firstSheet="2" activeTab="8"/>
  </bookViews>
  <sheets>
    <sheet name="CONTROL DE RAZAGOS" sheetId="23" r:id="rId1"/>
    <sheet name="CONTROL DE CALIDAD " sheetId="25" r:id="rId2"/>
    <sheet name="ENTREGA CESTAS " sheetId="20" r:id="rId3"/>
    <sheet name="ENTREGA MATERIAL " sheetId="17" r:id="rId4"/>
    <sheet name="RECP-TAB-FAB" sheetId="18" r:id="rId5"/>
    <sheet name="ACUM-RES" sheetId="3" r:id="rId6"/>
    <sheet name="ACUM-DET" sheetId="15" r:id="rId7"/>
    <sheet name="SEMANA DEL 2 AL 7-3-26" sheetId="6" r:id="rId8"/>
    <sheet name="SEMANA DEL 7 AL 14" sheetId="5" r:id="rId9"/>
    <sheet name="SEMANA DEL 14 AL 21 " sheetId="1" r:id="rId10"/>
    <sheet name="SEMANA DEL 21AL 28-3" sheetId="8" r:id="rId11"/>
    <sheet name="SEMANA DEL 28 AL-5-7" sheetId="24" state="hidden" r:id="rId12"/>
    <sheet name="PRESTAMOS" sheetId="13" r:id="rId13"/>
    <sheet name="AHORROS" sheetId="14" r:id="rId14"/>
  </sheets>
  <externalReferences>
    <externalReference r:id="rId15"/>
  </externalReferences>
  <definedNames>
    <definedName name="_xlnm._FilterDatabase" localSheetId="9" hidden="1">'SEMANA DEL 14 AL 21 '!$A$4:$CI$4</definedName>
    <definedName name="_xlnm._FilterDatabase" localSheetId="7" hidden="1">'SEMANA DEL 2 AL 7-3-26'!$A$4:$CI$4</definedName>
    <definedName name="_xlnm._FilterDatabase" localSheetId="10" hidden="1">'SEMANA DEL 21AL 28-3'!$A$4:$CI$4</definedName>
    <definedName name="_xlnm._FilterDatabase" localSheetId="8" hidden="1">'SEMANA DEL 7 AL 14'!$A$4:$CI$4</definedName>
    <definedName name="_xlnm.Print_Area" localSheetId="6">'ACUM-DET'!$A$1:$CI$31</definedName>
    <definedName name="_xlnm.Print_Area" localSheetId="5">'ACUM-RES'!$B$1:$G$28</definedName>
    <definedName name="_xlnm.Print_Area" localSheetId="13">AHORROS!$A$1:$H$35</definedName>
    <definedName name="_xlnm.Print_Area" localSheetId="0">'CONTROL DE RAZAGOS'!$A$1:$K$45</definedName>
    <definedName name="_xlnm.Print_Area" localSheetId="2">'ENTREGA CESTAS '!$A$3:$B$45</definedName>
    <definedName name="_xlnm.Print_Area" localSheetId="12">PRESTAMOS!$A$1:$I$23</definedName>
    <definedName name="_xlnm.Print_Area" localSheetId="4">'RECP-TAB-FAB'!$A$1:$M$37</definedName>
    <definedName name="_xlnm.Print_Area" localSheetId="9">'SEMANA DEL 14 AL 21 '!$CS$2:$DE$49</definedName>
    <definedName name="_xlnm.Print_Area" localSheetId="7">'SEMANA DEL 2 AL 7-3-26'!$CR$1:$DD$47</definedName>
    <definedName name="_xlnm.Print_Area" localSheetId="10">'SEMANA DEL 21AL 28-3'!$CT$1:$DB$46</definedName>
    <definedName name="_xlnm.Print_Area" localSheetId="11">'SEMANA DEL 28 AL-5-7'!$A$1:$U$47</definedName>
    <definedName name="_xlnm.Print_Area" localSheetId="8">'SEMANA DEL 7 AL 14'!$CR$1:$DC$47</definedName>
  </definedNames>
  <calcPr calcId="152511"/>
</workbook>
</file>

<file path=xl/calcChain.xml><?xml version="1.0" encoding="utf-8"?>
<calcChain xmlns="http://schemas.openxmlformats.org/spreadsheetml/2006/main">
  <c r="A6" i="5" l="1"/>
  <c r="A7" i="5"/>
  <c r="A8" i="5"/>
  <c r="A9" i="5"/>
  <c r="CR9" i="5" s="1"/>
  <c r="A10" i="5"/>
  <c r="A11" i="5"/>
  <c r="A12" i="5"/>
  <c r="A13" i="5"/>
  <c r="CR13" i="5" s="1"/>
  <c r="A14" i="5"/>
  <c r="A15" i="5"/>
  <c r="A16" i="5"/>
  <c r="A17" i="5"/>
  <c r="CR17" i="5" s="1"/>
  <c r="A18" i="5"/>
  <c r="A19" i="5"/>
  <c r="A20" i="5"/>
  <c r="A21" i="5"/>
  <c r="CR21" i="5" s="1"/>
  <c r="A22" i="5"/>
  <c r="A23" i="5"/>
  <c r="A24" i="5"/>
  <c r="A25" i="5"/>
  <c r="CR25" i="5" s="1"/>
  <c r="A26" i="5"/>
  <c r="A27" i="5"/>
  <c r="A28" i="5"/>
  <c r="A29" i="5"/>
  <c r="CR29" i="5" s="1"/>
  <c r="A30" i="5"/>
  <c r="A31" i="5"/>
  <c r="A32" i="5"/>
  <c r="A33" i="5"/>
  <c r="CR33" i="5" s="1"/>
  <c r="A34" i="5"/>
  <c r="A35" i="5"/>
  <c r="A36" i="5"/>
  <c r="A37" i="5"/>
  <c r="CR37" i="5" s="1"/>
  <c r="A38" i="5"/>
  <c r="A39" i="5"/>
  <c r="A40" i="5"/>
  <c r="A41" i="5"/>
  <c r="CR41" i="5" s="1"/>
  <c r="A42" i="5"/>
  <c r="A43" i="5"/>
  <c r="A44" i="5"/>
  <c r="CR6" i="5"/>
  <c r="CR7" i="5"/>
  <c r="CR8" i="5"/>
  <c r="CR10" i="5"/>
  <c r="CR11" i="5"/>
  <c r="CR12" i="5"/>
  <c r="CR14" i="5"/>
  <c r="CR15" i="5"/>
  <c r="CR16" i="5"/>
  <c r="CR18" i="5"/>
  <c r="CR19" i="5"/>
  <c r="CR20" i="5"/>
  <c r="CR22" i="5"/>
  <c r="CR23" i="5"/>
  <c r="CR24" i="5"/>
  <c r="CR26" i="5"/>
  <c r="CR27" i="5"/>
  <c r="CR28" i="5"/>
  <c r="CR30" i="5"/>
  <c r="CR31" i="5"/>
  <c r="CR32" i="5"/>
  <c r="CR34" i="5"/>
  <c r="CR35" i="5"/>
  <c r="CR36" i="5"/>
  <c r="CR38" i="5"/>
  <c r="CR39" i="5"/>
  <c r="CR40" i="5"/>
  <c r="CR42" i="5"/>
  <c r="CR43" i="5"/>
  <c r="CR44" i="5"/>
  <c r="CS6" i="5"/>
  <c r="CS7" i="5"/>
  <c r="CS8" i="5"/>
  <c r="CS9" i="5"/>
  <c r="CS10" i="5"/>
  <c r="CS11" i="5"/>
  <c r="CS12" i="5"/>
  <c r="CS13" i="5"/>
  <c r="CS14" i="5"/>
  <c r="CS15" i="5"/>
  <c r="CS16" i="5"/>
  <c r="CS17" i="5"/>
  <c r="CS18" i="5"/>
  <c r="CS19" i="5"/>
  <c r="CS20" i="5"/>
  <c r="CS21" i="5"/>
  <c r="CS22" i="5"/>
  <c r="CS23" i="5"/>
  <c r="CS24" i="5"/>
  <c r="CS25" i="5"/>
  <c r="CS26" i="5"/>
  <c r="CS27" i="5"/>
  <c r="CS28" i="5"/>
  <c r="CS29" i="5"/>
  <c r="CS30" i="5"/>
  <c r="CS31" i="5"/>
  <c r="CS32" i="5"/>
  <c r="CS33" i="5"/>
  <c r="CS34" i="5"/>
  <c r="CS35" i="5"/>
  <c r="CS36" i="5"/>
  <c r="CS37" i="5"/>
  <c r="CS38" i="5"/>
  <c r="CS39" i="5"/>
  <c r="CS40" i="5"/>
  <c r="CS41" i="5"/>
  <c r="CS42" i="5"/>
  <c r="CS43" i="5"/>
  <c r="CS44" i="5"/>
  <c r="CD29" i="5"/>
  <c r="CD25" i="5"/>
  <c r="CD24" i="5"/>
  <c r="CD23" i="5"/>
  <c r="CD22" i="5"/>
  <c r="CD21" i="5"/>
  <c r="CD19" i="5"/>
  <c r="CD18" i="5"/>
  <c r="CD17" i="5"/>
  <c r="CD16" i="5"/>
  <c r="CD15" i="5"/>
  <c r="CD14" i="5"/>
  <c r="CD13" i="5"/>
  <c r="CD10" i="5"/>
  <c r="CD9" i="5"/>
  <c r="CG6" i="5"/>
  <c r="CG7" i="5"/>
  <c r="CG8" i="5"/>
  <c r="CG9" i="5"/>
  <c r="CG10" i="5"/>
  <c r="CG11" i="5"/>
  <c r="CG12" i="5"/>
  <c r="CG13" i="5"/>
  <c r="CG14" i="5"/>
  <c r="CG15" i="5"/>
  <c r="CG16" i="5"/>
  <c r="CG17" i="5"/>
  <c r="CG18" i="5"/>
  <c r="CG19" i="5"/>
  <c r="CG20" i="5"/>
  <c r="CG21" i="5"/>
  <c r="CG22" i="5"/>
  <c r="CG23" i="5"/>
  <c r="CG24" i="5"/>
  <c r="CG25" i="5"/>
  <c r="CG26" i="5"/>
  <c r="CG27" i="5"/>
  <c r="CG28" i="5"/>
  <c r="CG29" i="5"/>
  <c r="CG30" i="5"/>
  <c r="CG31" i="5"/>
  <c r="CG32" i="5"/>
  <c r="CG33" i="5"/>
  <c r="CG34" i="5"/>
  <c r="CG35" i="5"/>
  <c r="CG36" i="5"/>
  <c r="CG37" i="5"/>
  <c r="CG38" i="5"/>
  <c r="CG39" i="5"/>
  <c r="CG40" i="5"/>
  <c r="CG41" i="5"/>
  <c r="CG42" i="5"/>
  <c r="CG43" i="5"/>
  <c r="CG5" i="5"/>
  <c r="CD6" i="5"/>
  <c r="F6" i="1" l="1"/>
  <c r="H6" i="1"/>
  <c r="I6" i="1"/>
  <c r="J6" i="1"/>
  <c r="K6" i="1"/>
  <c r="L6" i="1"/>
  <c r="M6" i="1"/>
  <c r="N6" i="1"/>
  <c r="O6" i="1"/>
  <c r="P6" i="1"/>
  <c r="Q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F9" i="1"/>
  <c r="G9" i="1"/>
  <c r="H9" i="1"/>
  <c r="I9" i="1"/>
  <c r="J9" i="1"/>
  <c r="K9" i="1"/>
  <c r="L9" i="1"/>
  <c r="M9" i="1"/>
  <c r="N9" i="1"/>
  <c r="O9" i="1"/>
  <c r="P9" i="1"/>
  <c r="Q9" i="1"/>
  <c r="F10" i="1"/>
  <c r="G10" i="1"/>
  <c r="H10" i="1"/>
  <c r="I10" i="1"/>
  <c r="K10" i="1"/>
  <c r="L10" i="1"/>
  <c r="M10" i="1"/>
  <c r="N10" i="1"/>
  <c r="O10" i="1"/>
  <c r="P10" i="1"/>
  <c r="Q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F13" i="1"/>
  <c r="G13" i="1"/>
  <c r="H13" i="1"/>
  <c r="I13" i="1"/>
  <c r="J13" i="1"/>
  <c r="K13" i="1"/>
  <c r="L13" i="1"/>
  <c r="M13" i="1"/>
  <c r="N13" i="1"/>
  <c r="O13" i="1"/>
  <c r="P13" i="1"/>
  <c r="Q13" i="1"/>
  <c r="F14" i="1"/>
  <c r="G14" i="1"/>
  <c r="H14" i="1"/>
  <c r="I14" i="1"/>
  <c r="J14" i="1"/>
  <c r="K14" i="1"/>
  <c r="L14" i="1"/>
  <c r="M14" i="1"/>
  <c r="N14" i="1"/>
  <c r="O14" i="1"/>
  <c r="P14" i="1"/>
  <c r="Q14" i="1"/>
  <c r="J15" i="1"/>
  <c r="K15" i="1"/>
  <c r="L15" i="1"/>
  <c r="M15" i="1"/>
  <c r="N15" i="1"/>
  <c r="O15" i="1"/>
  <c r="P15" i="1"/>
  <c r="Q15" i="1"/>
  <c r="F16" i="1"/>
  <c r="H16" i="1"/>
  <c r="J16" i="1"/>
  <c r="K16" i="1"/>
  <c r="L16" i="1"/>
  <c r="M16" i="1"/>
  <c r="N16" i="1"/>
  <c r="O16" i="1"/>
  <c r="P16" i="1"/>
  <c r="Q16" i="1"/>
  <c r="F17" i="1"/>
  <c r="G17" i="1"/>
  <c r="H17" i="1"/>
  <c r="I17" i="1"/>
  <c r="J17" i="1"/>
  <c r="K17" i="1"/>
  <c r="L17" i="1"/>
  <c r="M17" i="1"/>
  <c r="N17" i="1"/>
  <c r="O17" i="1"/>
  <c r="P17" i="1"/>
  <c r="Q17" i="1"/>
  <c r="F18" i="1"/>
  <c r="G18" i="1"/>
  <c r="H18" i="1"/>
  <c r="I18" i="1"/>
  <c r="J18" i="1"/>
  <c r="K18" i="1"/>
  <c r="L18" i="1"/>
  <c r="M18" i="1"/>
  <c r="N18" i="1"/>
  <c r="O18" i="1"/>
  <c r="P18" i="1"/>
  <c r="Q18" i="1"/>
  <c r="F19" i="1"/>
  <c r="G19" i="1"/>
  <c r="H19" i="1"/>
  <c r="I19" i="1"/>
  <c r="J19" i="1"/>
  <c r="K19" i="1"/>
  <c r="L19" i="1"/>
  <c r="M19" i="1"/>
  <c r="N19" i="1"/>
  <c r="O19" i="1"/>
  <c r="P19" i="1"/>
  <c r="Q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F21" i="1"/>
  <c r="G21" i="1"/>
  <c r="H21" i="1"/>
  <c r="I21" i="1"/>
  <c r="J21" i="1"/>
  <c r="K21" i="1"/>
  <c r="L21" i="1"/>
  <c r="M21" i="1"/>
  <c r="N21" i="1"/>
  <c r="O21" i="1"/>
  <c r="P21" i="1"/>
  <c r="Q21" i="1"/>
  <c r="F22" i="1"/>
  <c r="G22" i="1"/>
  <c r="H22" i="1"/>
  <c r="I22" i="1"/>
  <c r="J22" i="1"/>
  <c r="K22" i="1"/>
  <c r="L22" i="1"/>
  <c r="M22" i="1"/>
  <c r="N22" i="1"/>
  <c r="O22" i="1"/>
  <c r="P22" i="1"/>
  <c r="Q22" i="1"/>
  <c r="F23" i="1"/>
  <c r="G23" i="1"/>
  <c r="H23" i="1"/>
  <c r="I23" i="1"/>
  <c r="J23" i="1"/>
  <c r="K23" i="1"/>
  <c r="L23" i="1"/>
  <c r="M23" i="1"/>
  <c r="N23" i="1"/>
  <c r="O23" i="1"/>
  <c r="P23" i="1"/>
  <c r="Q23" i="1"/>
  <c r="F24" i="1"/>
  <c r="G24" i="1"/>
  <c r="H24" i="1"/>
  <c r="I24" i="1"/>
  <c r="J24" i="1"/>
  <c r="K24" i="1"/>
  <c r="L24" i="1"/>
  <c r="M24" i="1"/>
  <c r="N24" i="1"/>
  <c r="O24" i="1"/>
  <c r="P24" i="1"/>
  <c r="Q24" i="1"/>
  <c r="F25" i="1"/>
  <c r="G25" i="1"/>
  <c r="H25" i="1"/>
  <c r="I25" i="1"/>
  <c r="J25" i="1"/>
  <c r="K25" i="1"/>
  <c r="L25" i="1"/>
  <c r="M25" i="1"/>
  <c r="N25" i="1"/>
  <c r="O25" i="1"/>
  <c r="P25" i="1"/>
  <c r="Q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F27" i="1"/>
  <c r="G27" i="1"/>
  <c r="H27" i="1"/>
  <c r="I27" i="1"/>
  <c r="J27" i="1"/>
  <c r="K27" i="1"/>
  <c r="L27" i="1"/>
  <c r="M27" i="1"/>
  <c r="N27" i="1"/>
  <c r="O27" i="1"/>
  <c r="P27" i="1"/>
  <c r="Q27" i="1"/>
  <c r="F28" i="1"/>
  <c r="G28" i="1"/>
  <c r="H28" i="1"/>
  <c r="I28" i="1"/>
  <c r="K28" i="1"/>
  <c r="L28" i="1"/>
  <c r="M28" i="1"/>
  <c r="N28" i="1"/>
  <c r="O28" i="1"/>
  <c r="P28" i="1"/>
  <c r="Q28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B6" i="5" l="1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4" i="17"/>
  <c r="B25" i="17"/>
  <c r="B26" i="17"/>
  <c r="B36" i="17"/>
  <c r="B37" i="17"/>
  <c r="B39" i="17"/>
  <c r="B44" i="17"/>
  <c r="B45" i="17"/>
  <c r="B5" i="20"/>
  <c r="B26" i="20"/>
  <c r="B27" i="20"/>
  <c r="B37" i="20"/>
  <c r="B38" i="20"/>
  <c r="B40" i="20"/>
  <c r="B45" i="20"/>
  <c r="B46" i="20"/>
  <c r="B47" i="20"/>
  <c r="B48" i="20"/>
  <c r="B49" i="20"/>
  <c r="A28" i="1"/>
  <c r="A28" i="8" s="1"/>
  <c r="A6" i="1"/>
  <c r="A6" i="8" s="1"/>
  <c r="A27" i="1"/>
  <c r="A27" i="8" s="1"/>
  <c r="A38" i="1"/>
  <c r="A38" i="8" s="1"/>
  <c r="A39" i="1"/>
  <c r="A39" i="8" s="1"/>
  <c r="A41" i="1"/>
  <c r="A41" i="8" s="1"/>
  <c r="R45" i="5" l="1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BN45" i="5"/>
  <c r="CA45" i="5"/>
  <c r="CB45" i="5"/>
  <c r="CD42" i="6"/>
  <c r="CD40" i="6"/>
  <c r="CU39" i="6"/>
  <c r="CW39" i="6"/>
  <c r="CD39" i="6"/>
  <c r="CT39" i="6"/>
  <c r="CD38" i="6"/>
  <c r="CD37" i="6"/>
  <c r="CD36" i="6"/>
  <c r="CD35" i="6"/>
  <c r="CD34" i="6"/>
  <c r="CD33" i="6"/>
  <c r="CD31" i="6"/>
  <c r="CD30" i="6"/>
  <c r="CD29" i="6"/>
  <c r="CD25" i="6"/>
  <c r="CD24" i="6"/>
  <c r="CD23" i="6"/>
  <c r="D25" i="13"/>
  <c r="E25" i="13"/>
  <c r="F25" i="13"/>
  <c r="G25" i="13"/>
  <c r="D26" i="13"/>
  <c r="E26" i="13"/>
  <c r="F26" i="13"/>
  <c r="G26" i="13"/>
  <c r="D27" i="13"/>
  <c r="E27" i="13"/>
  <c r="F27" i="13"/>
  <c r="G27" i="13"/>
  <c r="D28" i="13"/>
  <c r="E28" i="13"/>
  <c r="F28" i="13"/>
  <c r="G28" i="13"/>
  <c r="D29" i="13"/>
  <c r="E29" i="13"/>
  <c r="F29" i="13"/>
  <c r="G29" i="13"/>
  <c r="D30" i="13"/>
  <c r="E30" i="13"/>
  <c r="F30" i="13"/>
  <c r="G30" i="13"/>
  <c r="D31" i="13"/>
  <c r="E31" i="13"/>
  <c r="F31" i="13"/>
  <c r="G31" i="13"/>
  <c r="D32" i="13"/>
  <c r="E32" i="13"/>
  <c r="F32" i="13"/>
  <c r="G32" i="13"/>
  <c r="D33" i="13"/>
  <c r="E33" i="13"/>
  <c r="F33" i="13"/>
  <c r="G33" i="13"/>
  <c r="D34" i="13"/>
  <c r="E34" i="13"/>
  <c r="F34" i="13"/>
  <c r="G34" i="13"/>
  <c r="D35" i="13"/>
  <c r="E35" i="13"/>
  <c r="F35" i="13"/>
  <c r="G35" i="13"/>
  <c r="D36" i="13"/>
  <c r="E36" i="13"/>
  <c r="F36" i="13"/>
  <c r="G36" i="13"/>
  <c r="D37" i="13"/>
  <c r="E37" i="13"/>
  <c r="F37" i="13"/>
  <c r="G37" i="13"/>
  <c r="D38" i="13"/>
  <c r="E38" i="13"/>
  <c r="F38" i="13"/>
  <c r="G38" i="13"/>
  <c r="D39" i="13"/>
  <c r="E39" i="13"/>
  <c r="F39" i="13"/>
  <c r="G39" i="13"/>
  <c r="D40" i="13"/>
  <c r="E40" i="13"/>
  <c r="F40" i="13"/>
  <c r="G40" i="13"/>
  <c r="A5" i="13"/>
  <c r="A35" i="13"/>
  <c r="A36" i="13"/>
  <c r="CD22" i="6"/>
  <c r="CD21" i="6"/>
  <c r="CD19" i="6"/>
  <c r="CD18" i="6"/>
  <c r="CD17" i="6"/>
  <c r="CD16" i="6"/>
  <c r="CD15" i="6"/>
  <c r="CD14" i="6"/>
  <c r="CD13" i="6"/>
  <c r="CD11" i="6"/>
  <c r="CD10" i="6"/>
  <c r="CD9" i="6"/>
  <c r="CD6" i="6"/>
  <c r="CD5" i="6"/>
  <c r="B46" i="17" l="1"/>
  <c r="B47" i="17"/>
  <c r="B48" i="17"/>
  <c r="B49" i="17"/>
  <c r="B50" i="17"/>
  <c r="B50" i="20"/>
  <c r="D5" i="13" l="1"/>
  <c r="E5" i="13"/>
  <c r="F5" i="13"/>
  <c r="G5" i="13"/>
  <c r="D6" i="13"/>
  <c r="E6" i="13"/>
  <c r="F6" i="13"/>
  <c r="G6" i="13"/>
  <c r="D7" i="13"/>
  <c r="E7" i="13"/>
  <c r="F7" i="13"/>
  <c r="G7" i="13"/>
  <c r="D8" i="13"/>
  <c r="E8" i="13"/>
  <c r="F8" i="13"/>
  <c r="G8" i="13"/>
  <c r="D9" i="13"/>
  <c r="E9" i="13"/>
  <c r="F9" i="13"/>
  <c r="G9" i="13"/>
  <c r="D10" i="13"/>
  <c r="E10" i="13"/>
  <c r="F10" i="13"/>
  <c r="G10" i="13"/>
  <c r="D11" i="13"/>
  <c r="E11" i="13"/>
  <c r="F11" i="13"/>
  <c r="G11" i="13"/>
  <c r="D12" i="13"/>
  <c r="E12" i="13"/>
  <c r="F12" i="13"/>
  <c r="G12" i="13"/>
  <c r="D13" i="13"/>
  <c r="E13" i="13"/>
  <c r="F13" i="13"/>
  <c r="G13" i="13"/>
  <c r="D14" i="13"/>
  <c r="E14" i="13"/>
  <c r="F14" i="13"/>
  <c r="G14" i="13"/>
  <c r="D15" i="13"/>
  <c r="E15" i="13"/>
  <c r="F15" i="13"/>
  <c r="G15" i="13"/>
  <c r="D16" i="13"/>
  <c r="E16" i="13"/>
  <c r="F16" i="13"/>
  <c r="G16" i="13"/>
  <c r="D17" i="13"/>
  <c r="E17" i="13"/>
  <c r="F17" i="13"/>
  <c r="G17" i="13"/>
  <c r="D18" i="13"/>
  <c r="E18" i="13"/>
  <c r="F18" i="13"/>
  <c r="G18" i="13"/>
  <c r="D19" i="13"/>
  <c r="E19" i="13"/>
  <c r="F19" i="13"/>
  <c r="G19" i="13"/>
  <c r="D20" i="13"/>
  <c r="E20" i="13"/>
  <c r="F20" i="13"/>
  <c r="G20" i="13"/>
  <c r="D21" i="13"/>
  <c r="E21" i="13"/>
  <c r="F21" i="13"/>
  <c r="G21" i="13"/>
  <c r="D22" i="13"/>
  <c r="E22" i="13"/>
  <c r="F22" i="13"/>
  <c r="G22" i="13"/>
  <c r="D23" i="13"/>
  <c r="E23" i="13"/>
  <c r="F23" i="13"/>
  <c r="G23" i="13"/>
  <c r="D24" i="13"/>
  <c r="E24" i="13"/>
  <c r="F24" i="13"/>
  <c r="G24" i="13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BN45" i="6"/>
  <c r="CA45" i="6"/>
  <c r="CB45" i="6"/>
  <c r="CU45" i="8"/>
  <c r="CU6" i="8"/>
  <c r="CU7" i="8"/>
  <c r="CU8" i="8"/>
  <c r="CU9" i="8"/>
  <c r="CU10" i="8"/>
  <c r="CU11" i="8"/>
  <c r="CU12" i="8"/>
  <c r="CU13" i="8"/>
  <c r="CU14" i="8"/>
  <c r="CU15" i="8"/>
  <c r="CU16" i="8"/>
  <c r="CU17" i="8"/>
  <c r="CU18" i="8"/>
  <c r="CU19" i="8"/>
  <c r="CU20" i="8"/>
  <c r="CU21" i="8"/>
  <c r="CU22" i="8"/>
  <c r="CU23" i="8"/>
  <c r="CU24" i="8"/>
  <c r="CU25" i="8"/>
  <c r="CU26" i="8"/>
  <c r="CU27" i="8"/>
  <c r="CU28" i="8"/>
  <c r="CU29" i="8"/>
  <c r="CU30" i="8"/>
  <c r="CU31" i="8"/>
  <c r="CU32" i="8"/>
  <c r="CU33" i="8"/>
  <c r="CU34" i="8"/>
  <c r="CU35" i="8"/>
  <c r="CU36" i="8"/>
  <c r="CU37" i="8"/>
  <c r="CU38" i="8"/>
  <c r="CU39" i="8"/>
  <c r="CU40" i="8"/>
  <c r="CU41" i="8"/>
  <c r="CU44" i="8"/>
  <c r="BO45" i="8"/>
  <c r="BP45" i="8"/>
  <c r="BQ45" i="8"/>
  <c r="BR45" i="8"/>
  <c r="BS45" i="8"/>
  <c r="BT45" i="8"/>
  <c r="BU45" i="8"/>
  <c r="BV45" i="8"/>
  <c r="BW45" i="8"/>
  <c r="BX45" i="8"/>
  <c r="BY45" i="8"/>
  <c r="BZ45" i="8"/>
  <c r="CC45" i="8"/>
  <c r="CD45" i="8"/>
  <c r="CE45" i="8"/>
  <c r="CF45" i="8" s="1"/>
  <c r="CG45" i="8"/>
  <c r="CV45" i="8"/>
  <c r="CW45" i="8"/>
  <c r="CY45" i="8"/>
  <c r="DB45" i="8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4" i="1"/>
  <c r="CT38" i="6"/>
  <c r="DB38" i="6" s="1"/>
  <c r="CU38" i="6"/>
  <c r="CW38" i="6"/>
  <c r="CZ38" i="6"/>
  <c r="CR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C38" i="6"/>
  <c r="CE38" i="6"/>
  <c r="CG38" i="6"/>
  <c r="CH45" i="8" l="1"/>
  <c r="CI45" i="8" s="1"/>
  <c r="DC45" i="8" s="1"/>
  <c r="DD45" i="8" s="1"/>
  <c r="CF38" i="6"/>
  <c r="CH38" i="6"/>
  <c r="CI38" i="6"/>
  <c r="DC38" i="6" s="1"/>
  <c r="DD38" i="6" l="1"/>
  <c r="C41" i="13" l="1"/>
  <c r="B41" i="13"/>
  <c r="CC6" i="8" l="1"/>
  <c r="CD6" i="8"/>
  <c r="CE6" i="8"/>
  <c r="CF6" i="8"/>
  <c r="CG6" i="8"/>
  <c r="CC7" i="8"/>
  <c r="CD7" i="8"/>
  <c r="CE7" i="8"/>
  <c r="CG7" i="8"/>
  <c r="CC8" i="8"/>
  <c r="CD8" i="8"/>
  <c r="CE8" i="8"/>
  <c r="CG8" i="8"/>
  <c r="CC9" i="8"/>
  <c r="CD9" i="8"/>
  <c r="CE9" i="8"/>
  <c r="CF9" i="8" s="1"/>
  <c r="CG9" i="8"/>
  <c r="CC10" i="8"/>
  <c r="CD10" i="8"/>
  <c r="CE10" i="8"/>
  <c r="CG10" i="8"/>
  <c r="CC11" i="8"/>
  <c r="CD11" i="8"/>
  <c r="CE11" i="8"/>
  <c r="CG11" i="8"/>
  <c r="CC12" i="8"/>
  <c r="CD12" i="8"/>
  <c r="CE12" i="8"/>
  <c r="CG12" i="8"/>
  <c r="CC13" i="8"/>
  <c r="CD13" i="8"/>
  <c r="CE13" i="8"/>
  <c r="CF13" i="8" s="1"/>
  <c r="CG13" i="8"/>
  <c r="CC14" i="8"/>
  <c r="CD14" i="8"/>
  <c r="CE14" i="8"/>
  <c r="CG14" i="8"/>
  <c r="CC15" i="8"/>
  <c r="CD15" i="8"/>
  <c r="CE15" i="8"/>
  <c r="CG15" i="8"/>
  <c r="CC16" i="8"/>
  <c r="CD16" i="8"/>
  <c r="CE16" i="8"/>
  <c r="CG16" i="8"/>
  <c r="CC17" i="8"/>
  <c r="CD17" i="8"/>
  <c r="CE17" i="8"/>
  <c r="CG17" i="8"/>
  <c r="CC18" i="8"/>
  <c r="CD18" i="8"/>
  <c r="CE18" i="8"/>
  <c r="CG18" i="8"/>
  <c r="CC19" i="8"/>
  <c r="CD19" i="8"/>
  <c r="CE19" i="8"/>
  <c r="CG19" i="8"/>
  <c r="CC20" i="8"/>
  <c r="CD20" i="8"/>
  <c r="CE20" i="8"/>
  <c r="CG20" i="8"/>
  <c r="CC21" i="8"/>
  <c r="CD21" i="8"/>
  <c r="CE21" i="8"/>
  <c r="CG21" i="8"/>
  <c r="CC22" i="8"/>
  <c r="CD22" i="8"/>
  <c r="CE22" i="8"/>
  <c r="CG22" i="8"/>
  <c r="CC23" i="8"/>
  <c r="CD23" i="8"/>
  <c r="CE23" i="8"/>
  <c r="CG23" i="8"/>
  <c r="CC24" i="8"/>
  <c r="CD24" i="8"/>
  <c r="CE24" i="8"/>
  <c r="CG24" i="8"/>
  <c r="CC25" i="8"/>
  <c r="CD25" i="8"/>
  <c r="CE25" i="8"/>
  <c r="CG25" i="8"/>
  <c r="CC26" i="8"/>
  <c r="CD26" i="8"/>
  <c r="CE26" i="8"/>
  <c r="CG26" i="8"/>
  <c r="CC27" i="8"/>
  <c r="CD27" i="8"/>
  <c r="CE27" i="8"/>
  <c r="CG27" i="8"/>
  <c r="CC28" i="8"/>
  <c r="CD28" i="8"/>
  <c r="CE28" i="8"/>
  <c r="CG28" i="8"/>
  <c r="CC29" i="8"/>
  <c r="CD29" i="8"/>
  <c r="CE29" i="8"/>
  <c r="CG29" i="8"/>
  <c r="CC30" i="8"/>
  <c r="CD30" i="8"/>
  <c r="CE30" i="8"/>
  <c r="CG30" i="8"/>
  <c r="CC31" i="8"/>
  <c r="CD31" i="8"/>
  <c r="CE31" i="8"/>
  <c r="CG31" i="8"/>
  <c r="CC32" i="8"/>
  <c r="CD32" i="8"/>
  <c r="CE32" i="8"/>
  <c r="CG32" i="8"/>
  <c r="CC33" i="8"/>
  <c r="CD33" i="8"/>
  <c r="CE33" i="8"/>
  <c r="CG33" i="8"/>
  <c r="CC34" i="8"/>
  <c r="CD34" i="8"/>
  <c r="CE34" i="8"/>
  <c r="CG34" i="8"/>
  <c r="CC35" i="8"/>
  <c r="CD35" i="8"/>
  <c r="CE35" i="8"/>
  <c r="CG35" i="8"/>
  <c r="CC36" i="8"/>
  <c r="CD36" i="8"/>
  <c r="CE36" i="8"/>
  <c r="CG36" i="8"/>
  <c r="CC37" i="8"/>
  <c r="CD37" i="8"/>
  <c r="CE37" i="8"/>
  <c r="CG37" i="8"/>
  <c r="CC38" i="8"/>
  <c r="CD38" i="8"/>
  <c r="CE38" i="8"/>
  <c r="CG38" i="8"/>
  <c r="CC39" i="8"/>
  <c r="CD39" i="8"/>
  <c r="CE39" i="8"/>
  <c r="CG39" i="8"/>
  <c r="CC40" i="8"/>
  <c r="CD40" i="8"/>
  <c r="CE40" i="8"/>
  <c r="CG40" i="8"/>
  <c r="CC41" i="8"/>
  <c r="CD41" i="8"/>
  <c r="CE41" i="8"/>
  <c r="CG41" i="8"/>
  <c r="CC44" i="8"/>
  <c r="CD44" i="8"/>
  <c r="CE44" i="8"/>
  <c r="CG44" i="8"/>
  <c r="CD5" i="8"/>
  <c r="CC6" i="1"/>
  <c r="CF6" i="1" s="1"/>
  <c r="CD6" i="1"/>
  <c r="CE6" i="1"/>
  <c r="CG6" i="1"/>
  <c r="CC7" i="1"/>
  <c r="CD7" i="1"/>
  <c r="CE7" i="1"/>
  <c r="CG7" i="1"/>
  <c r="CC8" i="1"/>
  <c r="CD8" i="1"/>
  <c r="CF8" i="1" s="1"/>
  <c r="CE8" i="1"/>
  <c r="CG8" i="1"/>
  <c r="CC9" i="1"/>
  <c r="CD9" i="1"/>
  <c r="CE9" i="1"/>
  <c r="CG9" i="1"/>
  <c r="CC10" i="1"/>
  <c r="CD10" i="1"/>
  <c r="CE10" i="1"/>
  <c r="CF10" i="1"/>
  <c r="CG10" i="1"/>
  <c r="CC11" i="1"/>
  <c r="CD11" i="1"/>
  <c r="CE11" i="1"/>
  <c r="CG11" i="1"/>
  <c r="CC12" i="1"/>
  <c r="CD12" i="1"/>
  <c r="CE12" i="1"/>
  <c r="CG12" i="1"/>
  <c r="CC13" i="1"/>
  <c r="CD13" i="1"/>
  <c r="CE13" i="1"/>
  <c r="CF13" i="1" s="1"/>
  <c r="CG13" i="1"/>
  <c r="CC14" i="1"/>
  <c r="CD14" i="1"/>
  <c r="CF14" i="1" s="1"/>
  <c r="CE14" i="1"/>
  <c r="CG14" i="1"/>
  <c r="CC15" i="1"/>
  <c r="CF15" i="1" s="1"/>
  <c r="CD15" i="1"/>
  <c r="CE15" i="1"/>
  <c r="CG15" i="1"/>
  <c r="CC16" i="1"/>
  <c r="CD16" i="1"/>
  <c r="CE16" i="1"/>
  <c r="CG16" i="1"/>
  <c r="CC17" i="1"/>
  <c r="CD17" i="1"/>
  <c r="CE17" i="1"/>
  <c r="CF17" i="1" s="1"/>
  <c r="CG17" i="1"/>
  <c r="CC18" i="1"/>
  <c r="CF18" i="1" s="1"/>
  <c r="CD18" i="1"/>
  <c r="CE18" i="1"/>
  <c r="CG18" i="1"/>
  <c r="CC19" i="1"/>
  <c r="CD19" i="1"/>
  <c r="CE19" i="1"/>
  <c r="CG19" i="1"/>
  <c r="CC20" i="1"/>
  <c r="CD20" i="1"/>
  <c r="CE20" i="1"/>
  <c r="CG20" i="1"/>
  <c r="CC21" i="1"/>
  <c r="CD21" i="1"/>
  <c r="CE21" i="1"/>
  <c r="CG21" i="1"/>
  <c r="CC22" i="1"/>
  <c r="CF22" i="1" s="1"/>
  <c r="CD22" i="1"/>
  <c r="CE22" i="1"/>
  <c r="CG22" i="1"/>
  <c r="CC23" i="1"/>
  <c r="CD23" i="1"/>
  <c r="CE23" i="1"/>
  <c r="CG23" i="1"/>
  <c r="CC24" i="1"/>
  <c r="CD24" i="1"/>
  <c r="CF24" i="1" s="1"/>
  <c r="CE24" i="1"/>
  <c r="CG24" i="1"/>
  <c r="CC25" i="1"/>
  <c r="CD25" i="1"/>
  <c r="CE25" i="1"/>
  <c r="CG25" i="1"/>
  <c r="CC26" i="1"/>
  <c r="CD26" i="1"/>
  <c r="CE26" i="1"/>
  <c r="CF26" i="1"/>
  <c r="CG26" i="1"/>
  <c r="CC27" i="1"/>
  <c r="CD27" i="1"/>
  <c r="CE27" i="1"/>
  <c r="CG27" i="1"/>
  <c r="CC28" i="1"/>
  <c r="CD28" i="1"/>
  <c r="CE28" i="1"/>
  <c r="CG28" i="1"/>
  <c r="CC29" i="1"/>
  <c r="CD29" i="1"/>
  <c r="CE29" i="1"/>
  <c r="CF29" i="1" s="1"/>
  <c r="CG29" i="1"/>
  <c r="CC30" i="1"/>
  <c r="CD30" i="1"/>
  <c r="CF30" i="1" s="1"/>
  <c r="CE30" i="1"/>
  <c r="CG30" i="1"/>
  <c r="CC31" i="1"/>
  <c r="CF31" i="1" s="1"/>
  <c r="CD31" i="1"/>
  <c r="CE31" i="1"/>
  <c r="CG31" i="1"/>
  <c r="CC32" i="1"/>
  <c r="CD32" i="1"/>
  <c r="CE32" i="1"/>
  <c r="CG32" i="1"/>
  <c r="CC33" i="1"/>
  <c r="CD33" i="1"/>
  <c r="CE33" i="1"/>
  <c r="CF33" i="1" s="1"/>
  <c r="CG33" i="1"/>
  <c r="CC34" i="1"/>
  <c r="CD34" i="1"/>
  <c r="CF34" i="1" s="1"/>
  <c r="CE34" i="1"/>
  <c r="CG34" i="1"/>
  <c r="CC35" i="1"/>
  <c r="CF35" i="1" s="1"/>
  <c r="CD35" i="1"/>
  <c r="CE35" i="1"/>
  <c r="CG35" i="1"/>
  <c r="CC36" i="1"/>
  <c r="CD36" i="1"/>
  <c r="CE36" i="1"/>
  <c r="CG36" i="1"/>
  <c r="CC37" i="1"/>
  <c r="CD37" i="1"/>
  <c r="CE37" i="1"/>
  <c r="CG37" i="1"/>
  <c r="CC38" i="1"/>
  <c r="CF38" i="1" s="1"/>
  <c r="CD38" i="1"/>
  <c r="CE38" i="1"/>
  <c r="CG38" i="1"/>
  <c r="CC39" i="1"/>
  <c r="CD39" i="1"/>
  <c r="CE39" i="1"/>
  <c r="CG39" i="1"/>
  <c r="CC40" i="1"/>
  <c r="CD40" i="1"/>
  <c r="CF40" i="1" s="1"/>
  <c r="CE40" i="1"/>
  <c r="CG40" i="1"/>
  <c r="CC41" i="1"/>
  <c r="CD41" i="1"/>
  <c r="CE41" i="1"/>
  <c r="CG41" i="1"/>
  <c r="CC44" i="1"/>
  <c r="CD44" i="1"/>
  <c r="CE44" i="1"/>
  <c r="CF44" i="1"/>
  <c r="CG44" i="1"/>
  <c r="CC45" i="1"/>
  <c r="CD45" i="1"/>
  <c r="CE45" i="1"/>
  <c r="CG45" i="1"/>
  <c r="CD5" i="1"/>
  <c r="CC6" i="5"/>
  <c r="CE6" i="5"/>
  <c r="CC7" i="5"/>
  <c r="CD7" i="5"/>
  <c r="CE7" i="5"/>
  <c r="CC8" i="5"/>
  <c r="CD8" i="5"/>
  <c r="CE8" i="5"/>
  <c r="CC9" i="5"/>
  <c r="CE9" i="5"/>
  <c r="CC10" i="5"/>
  <c r="CE10" i="5"/>
  <c r="CC11" i="5"/>
  <c r="CD11" i="5"/>
  <c r="CE11" i="5"/>
  <c r="CC12" i="5"/>
  <c r="CD12" i="5"/>
  <c r="CF12" i="5" s="1"/>
  <c r="CE12" i="5"/>
  <c r="CC13" i="5"/>
  <c r="CE13" i="5"/>
  <c r="CC14" i="5"/>
  <c r="CE14" i="5"/>
  <c r="CC15" i="5"/>
  <c r="CE15" i="5"/>
  <c r="CC16" i="5"/>
  <c r="CE16" i="5"/>
  <c r="CC17" i="5"/>
  <c r="CE17" i="5"/>
  <c r="CC18" i="5"/>
  <c r="CE18" i="5"/>
  <c r="CC19" i="5"/>
  <c r="CE19" i="5"/>
  <c r="CC20" i="5"/>
  <c r="CD20" i="5"/>
  <c r="CE20" i="5"/>
  <c r="CC21" i="5"/>
  <c r="CE21" i="5"/>
  <c r="CC22" i="5"/>
  <c r="CE22" i="5"/>
  <c r="CC23" i="5"/>
  <c r="CE23" i="5"/>
  <c r="CC24" i="5"/>
  <c r="CE24" i="5"/>
  <c r="CC25" i="5"/>
  <c r="CE25" i="5"/>
  <c r="CC26" i="5"/>
  <c r="CD26" i="5"/>
  <c r="CE26" i="5"/>
  <c r="CC27" i="5"/>
  <c r="CD27" i="5"/>
  <c r="CE27" i="5"/>
  <c r="CC28" i="5"/>
  <c r="CD28" i="5"/>
  <c r="CE28" i="5"/>
  <c r="CC29" i="5"/>
  <c r="CE29" i="5"/>
  <c r="CC30" i="5"/>
  <c r="CD30" i="5"/>
  <c r="CE30" i="5"/>
  <c r="CC31" i="5"/>
  <c r="CD31" i="5"/>
  <c r="CE31" i="5"/>
  <c r="CC32" i="5"/>
  <c r="CD32" i="5"/>
  <c r="CE32" i="5"/>
  <c r="CC33" i="5"/>
  <c r="CD33" i="5"/>
  <c r="CE33" i="5"/>
  <c r="CC34" i="5"/>
  <c r="CD34" i="5"/>
  <c r="CE34" i="5"/>
  <c r="CC35" i="5"/>
  <c r="CD35" i="5"/>
  <c r="CE35" i="5"/>
  <c r="CC36" i="5"/>
  <c r="CD36" i="5"/>
  <c r="CE36" i="5"/>
  <c r="CC37" i="5"/>
  <c r="CD37" i="5"/>
  <c r="CE37" i="5"/>
  <c r="CC38" i="5"/>
  <c r="CD38" i="5"/>
  <c r="CE38" i="5"/>
  <c r="CC39" i="5"/>
  <c r="CD39" i="5"/>
  <c r="CE39" i="5"/>
  <c r="CC40" i="5"/>
  <c r="CD40" i="5"/>
  <c r="CE40" i="5"/>
  <c r="CC41" i="5"/>
  <c r="CD41" i="5"/>
  <c r="CE41" i="5"/>
  <c r="CD5" i="5"/>
  <c r="CC6" i="6"/>
  <c r="CE6" i="6"/>
  <c r="CG6" i="6"/>
  <c r="CC7" i="6"/>
  <c r="CD7" i="6"/>
  <c r="CE7" i="6"/>
  <c r="CG7" i="6"/>
  <c r="CC8" i="6"/>
  <c r="CD8" i="6"/>
  <c r="CE8" i="6"/>
  <c r="CG8" i="6"/>
  <c r="CC9" i="6"/>
  <c r="CE9" i="6"/>
  <c r="CG9" i="6"/>
  <c r="CC10" i="6"/>
  <c r="CE10" i="6"/>
  <c r="CG10" i="6"/>
  <c r="CC11" i="6"/>
  <c r="CE11" i="6"/>
  <c r="CG11" i="6"/>
  <c r="CC12" i="6"/>
  <c r="CD12" i="6"/>
  <c r="CE12" i="6"/>
  <c r="CG12" i="6"/>
  <c r="CC13" i="6"/>
  <c r="CE13" i="6"/>
  <c r="CG13" i="6"/>
  <c r="CC14" i="6"/>
  <c r="CE14" i="6"/>
  <c r="CG14" i="6"/>
  <c r="CC15" i="6"/>
  <c r="CE15" i="6"/>
  <c r="CG15" i="6"/>
  <c r="CC16" i="6"/>
  <c r="CE16" i="6"/>
  <c r="CG16" i="6"/>
  <c r="CC17" i="6"/>
  <c r="CE17" i="6"/>
  <c r="CG17" i="6"/>
  <c r="CC18" i="6"/>
  <c r="CE18" i="6"/>
  <c r="CG18" i="6"/>
  <c r="CC19" i="6"/>
  <c r="CE19" i="6"/>
  <c r="CG19" i="6"/>
  <c r="CC20" i="6"/>
  <c r="CD20" i="6"/>
  <c r="CE20" i="6"/>
  <c r="CG20" i="6"/>
  <c r="CC21" i="6"/>
  <c r="CE21" i="6"/>
  <c r="CG21" i="6"/>
  <c r="CC22" i="6"/>
  <c r="CE22" i="6"/>
  <c r="CG22" i="6"/>
  <c r="CC23" i="6"/>
  <c r="CE23" i="6"/>
  <c r="CG23" i="6"/>
  <c r="CC24" i="6"/>
  <c r="CE24" i="6"/>
  <c r="CG24" i="6"/>
  <c r="CC25" i="6"/>
  <c r="CE25" i="6"/>
  <c r="CG25" i="6"/>
  <c r="CC26" i="6"/>
  <c r="CD26" i="6"/>
  <c r="CE26" i="6"/>
  <c r="CG26" i="6"/>
  <c r="CC29" i="6"/>
  <c r="CE29" i="6"/>
  <c r="CG29" i="6"/>
  <c r="CC30" i="6"/>
  <c r="CE30" i="6"/>
  <c r="CG30" i="6"/>
  <c r="CC31" i="6"/>
  <c r="CE31" i="6"/>
  <c r="CG31" i="6"/>
  <c r="CC32" i="6"/>
  <c r="CD32" i="6"/>
  <c r="CE32" i="6"/>
  <c r="CG32" i="6"/>
  <c r="CC33" i="6"/>
  <c r="CE33" i="6"/>
  <c r="CG33" i="6"/>
  <c r="CC34" i="6"/>
  <c r="CE34" i="6"/>
  <c r="CG34" i="6"/>
  <c r="CC35" i="6"/>
  <c r="CE35" i="6"/>
  <c r="CG35" i="6"/>
  <c r="CC36" i="6"/>
  <c r="CE36" i="6"/>
  <c r="CG36" i="6"/>
  <c r="CC37" i="6"/>
  <c r="CE37" i="6"/>
  <c r="CG37" i="6"/>
  <c r="CC39" i="6"/>
  <c r="CE39" i="6"/>
  <c r="CG39" i="6"/>
  <c r="CC40" i="6"/>
  <c r="CE40" i="6"/>
  <c r="CG40" i="6"/>
  <c r="CC42" i="6"/>
  <c r="CE42" i="6"/>
  <c r="CG42" i="6"/>
  <c r="CC43" i="6"/>
  <c r="CD43" i="6"/>
  <c r="CE43" i="6"/>
  <c r="CG43" i="6"/>
  <c r="CC44" i="6"/>
  <c r="CD44" i="6"/>
  <c r="CE44" i="6"/>
  <c r="CG44" i="6"/>
  <c r="B45" i="6"/>
  <c r="CD45" i="5" l="1"/>
  <c r="CF30" i="5"/>
  <c r="CF26" i="5"/>
  <c r="CF22" i="5"/>
  <c r="CF14" i="5"/>
  <c r="CG45" i="5"/>
  <c r="CF29" i="5"/>
  <c r="CF19" i="5"/>
  <c r="CF37" i="5"/>
  <c r="CF33" i="5"/>
  <c r="CF43" i="6"/>
  <c r="CF34" i="5"/>
  <c r="CF13" i="5"/>
  <c r="CF10" i="5"/>
  <c r="CF6" i="5"/>
  <c r="CF38" i="5"/>
  <c r="CF35" i="5"/>
  <c r="CF28" i="5"/>
  <c r="CF18" i="5"/>
  <c r="CF35" i="6"/>
  <c r="CF23" i="6"/>
  <c r="CF20" i="6"/>
  <c r="CF21" i="6"/>
  <c r="CF17" i="6"/>
  <c r="CD45" i="6"/>
  <c r="CF8" i="6"/>
  <c r="CF6" i="6"/>
  <c r="CF25" i="5"/>
  <c r="CF9" i="5"/>
  <c r="CF36" i="5"/>
  <c r="CF27" i="5"/>
  <c r="CF21" i="5"/>
  <c r="CF20" i="5"/>
  <c r="CF11" i="5"/>
  <c r="CF40" i="5"/>
  <c r="CF31" i="5"/>
  <c r="CF24" i="5"/>
  <c r="CF15" i="5"/>
  <c r="CF8" i="5"/>
  <c r="CF41" i="5"/>
  <c r="CF39" i="5"/>
  <c r="CF32" i="5"/>
  <c r="CF23" i="5"/>
  <c r="CF17" i="5"/>
  <c r="CF16" i="5"/>
  <c r="CF7" i="5"/>
  <c r="CF38" i="8"/>
  <c r="CF36" i="8"/>
  <c r="CF26" i="8"/>
  <c r="CF22" i="8"/>
  <c r="CF37" i="8"/>
  <c r="CF34" i="8"/>
  <c r="CF30" i="8"/>
  <c r="CF27" i="8"/>
  <c r="CF20" i="8"/>
  <c r="CF10" i="8"/>
  <c r="CF18" i="8"/>
  <c r="CF14" i="8"/>
  <c r="CF11" i="8"/>
  <c r="CF44" i="8"/>
  <c r="CF29" i="8"/>
  <c r="CF25" i="8"/>
  <c r="CF32" i="8"/>
  <c r="CF23" i="8"/>
  <c r="CF16" i="8"/>
  <c r="CF35" i="8"/>
  <c r="CF28" i="8"/>
  <c r="CF21" i="8"/>
  <c r="CF19" i="8"/>
  <c r="CF12" i="8"/>
  <c r="CF39" i="8"/>
  <c r="CF7" i="8"/>
  <c r="CF41" i="8"/>
  <c r="CF40" i="8"/>
  <c r="CF33" i="8"/>
  <c r="CF31" i="8"/>
  <c r="CF24" i="8"/>
  <c r="CF17" i="8"/>
  <c r="CF15" i="8"/>
  <c r="CF8" i="8"/>
  <c r="CF45" i="1"/>
  <c r="CF36" i="1"/>
  <c r="CF27" i="1"/>
  <c r="CF20" i="1"/>
  <c r="CF11" i="1"/>
  <c r="CF41" i="1"/>
  <c r="CF39" i="1"/>
  <c r="CF32" i="1"/>
  <c r="CF25" i="1"/>
  <c r="CF23" i="1"/>
  <c r="CF16" i="1"/>
  <c r="CF9" i="1"/>
  <c r="CF7" i="1"/>
  <c r="CF37" i="1"/>
  <c r="CF28" i="1"/>
  <c r="CF21" i="1"/>
  <c r="CF19" i="1"/>
  <c r="CF12" i="1"/>
  <c r="CF39" i="6"/>
  <c r="CF10" i="6"/>
  <c r="CF25" i="6"/>
  <c r="CF26" i="6"/>
  <c r="CF13" i="6"/>
  <c r="CF11" i="6"/>
  <c r="CF36" i="6"/>
  <c r="CF34" i="6"/>
  <c r="CF32" i="6"/>
  <c r="CF19" i="6"/>
  <c r="CF7" i="6"/>
  <c r="CF42" i="6"/>
  <c r="CF33" i="6"/>
  <c r="CF31" i="6"/>
  <c r="CF18" i="6"/>
  <c r="CF15" i="6"/>
  <c r="CF22" i="6"/>
  <c r="CF16" i="6"/>
  <c r="CF44" i="6"/>
  <c r="CF40" i="6"/>
  <c r="CF37" i="6"/>
  <c r="CF30" i="6"/>
  <c r="CF29" i="6"/>
  <c r="CF24" i="6"/>
  <c r="CF14" i="6"/>
  <c r="CF12" i="6"/>
  <c r="CF9" i="6"/>
  <c r="CV44" i="8"/>
  <c r="CW44" i="8"/>
  <c r="DB41" i="8"/>
  <c r="DB44" i="8"/>
  <c r="CY41" i="8"/>
  <c r="CY44" i="8"/>
  <c r="CV41" i="8"/>
  <c r="CW41" i="8"/>
  <c r="BO6" i="8" l="1"/>
  <c r="BP6" i="8"/>
  <c r="BQ6" i="8"/>
  <c r="BR6" i="8"/>
  <c r="BS6" i="8"/>
  <c r="BT6" i="8"/>
  <c r="BU6" i="8"/>
  <c r="BV6" i="8"/>
  <c r="BW6" i="8"/>
  <c r="BX6" i="8"/>
  <c r="BY6" i="8"/>
  <c r="BZ6" i="8"/>
  <c r="BO7" i="8"/>
  <c r="BP7" i="8"/>
  <c r="BQ7" i="8"/>
  <c r="BR7" i="8"/>
  <c r="BS7" i="8"/>
  <c r="BT7" i="8"/>
  <c r="BU7" i="8"/>
  <c r="BV7" i="8"/>
  <c r="BW7" i="8"/>
  <c r="BX7" i="8"/>
  <c r="BY7" i="8"/>
  <c r="BZ7" i="8"/>
  <c r="BO8" i="8"/>
  <c r="BP8" i="8"/>
  <c r="BQ8" i="8"/>
  <c r="BR8" i="8"/>
  <c r="BS8" i="8"/>
  <c r="BT8" i="8"/>
  <c r="BU8" i="8"/>
  <c r="BV8" i="8"/>
  <c r="BW8" i="8"/>
  <c r="BX8" i="8"/>
  <c r="BY8" i="8"/>
  <c r="BZ8" i="8"/>
  <c r="BO9" i="8"/>
  <c r="BP9" i="8"/>
  <c r="BQ9" i="8"/>
  <c r="BR9" i="8"/>
  <c r="BS9" i="8"/>
  <c r="BT9" i="8"/>
  <c r="BU9" i="8"/>
  <c r="BV9" i="8"/>
  <c r="BW9" i="8"/>
  <c r="BX9" i="8"/>
  <c r="BY9" i="8"/>
  <c r="BZ9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BO15" i="8"/>
  <c r="BP15" i="8"/>
  <c r="BQ15" i="8"/>
  <c r="BR15" i="8"/>
  <c r="BS15" i="8"/>
  <c r="BT15" i="8"/>
  <c r="BU15" i="8"/>
  <c r="BV15" i="8"/>
  <c r="BW15" i="8"/>
  <c r="BX15" i="8"/>
  <c r="BY15" i="8"/>
  <c r="BZ15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BO19" i="8"/>
  <c r="BP19" i="8"/>
  <c r="BQ19" i="8"/>
  <c r="BR19" i="8"/>
  <c r="BS19" i="8"/>
  <c r="BT19" i="8"/>
  <c r="BU19" i="8"/>
  <c r="BV19" i="8"/>
  <c r="BW19" i="8"/>
  <c r="BX19" i="8"/>
  <c r="BY19" i="8"/>
  <c r="BZ19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BO24" i="8"/>
  <c r="BP24" i="8"/>
  <c r="BQ24" i="8"/>
  <c r="BR24" i="8"/>
  <c r="BS24" i="8"/>
  <c r="BT24" i="8"/>
  <c r="BU24" i="8"/>
  <c r="BV24" i="8"/>
  <c r="BW24" i="8"/>
  <c r="BX24" i="8"/>
  <c r="BY24" i="8"/>
  <c r="BZ24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BO26" i="8"/>
  <c r="BP26" i="8"/>
  <c r="BQ26" i="8"/>
  <c r="BR26" i="8"/>
  <c r="BS26" i="8"/>
  <c r="BT26" i="8"/>
  <c r="BU26" i="8"/>
  <c r="BV26" i="8"/>
  <c r="BW26" i="8"/>
  <c r="BX26" i="8"/>
  <c r="BY26" i="8"/>
  <c r="BZ26" i="8"/>
  <c r="BO27" i="8"/>
  <c r="BP27" i="8"/>
  <c r="BQ27" i="8"/>
  <c r="BR27" i="8"/>
  <c r="BS27" i="8"/>
  <c r="BT27" i="8"/>
  <c r="BU27" i="8"/>
  <c r="BV27" i="8"/>
  <c r="BW27" i="8"/>
  <c r="BX27" i="8"/>
  <c r="BY27" i="8"/>
  <c r="BZ27" i="8"/>
  <c r="BO28" i="8"/>
  <c r="BP28" i="8"/>
  <c r="BQ28" i="8"/>
  <c r="BR28" i="8"/>
  <c r="BS28" i="8"/>
  <c r="BT28" i="8"/>
  <c r="BU28" i="8"/>
  <c r="BV28" i="8"/>
  <c r="BW28" i="8"/>
  <c r="BX28" i="8"/>
  <c r="BY28" i="8"/>
  <c r="BZ28" i="8"/>
  <c r="BO29" i="8"/>
  <c r="BP29" i="8"/>
  <c r="BQ29" i="8"/>
  <c r="BR29" i="8"/>
  <c r="BS29" i="8"/>
  <c r="BT29" i="8"/>
  <c r="BU29" i="8"/>
  <c r="BV29" i="8"/>
  <c r="BW29" i="8"/>
  <c r="BX29" i="8"/>
  <c r="BY29" i="8"/>
  <c r="BZ29" i="8"/>
  <c r="BO30" i="8"/>
  <c r="BP30" i="8"/>
  <c r="BQ30" i="8"/>
  <c r="BR30" i="8"/>
  <c r="BS30" i="8"/>
  <c r="BT30" i="8"/>
  <c r="BU30" i="8"/>
  <c r="BV30" i="8"/>
  <c r="BW30" i="8"/>
  <c r="BX30" i="8"/>
  <c r="BY30" i="8"/>
  <c r="BZ30" i="8"/>
  <c r="BO31" i="8"/>
  <c r="BP31" i="8"/>
  <c r="BQ31" i="8"/>
  <c r="BR31" i="8"/>
  <c r="BS31" i="8"/>
  <c r="BT31" i="8"/>
  <c r="BU31" i="8"/>
  <c r="BV31" i="8"/>
  <c r="BW31" i="8"/>
  <c r="BX31" i="8"/>
  <c r="BY31" i="8"/>
  <c r="BZ31" i="8"/>
  <c r="BO32" i="8"/>
  <c r="BP32" i="8"/>
  <c r="BQ32" i="8"/>
  <c r="BR32" i="8"/>
  <c r="BS32" i="8"/>
  <c r="BT32" i="8"/>
  <c r="BU32" i="8"/>
  <c r="BV32" i="8"/>
  <c r="BW32" i="8"/>
  <c r="BX32" i="8"/>
  <c r="BY32" i="8"/>
  <c r="BZ32" i="8"/>
  <c r="BO33" i="8"/>
  <c r="BP33" i="8"/>
  <c r="BQ33" i="8"/>
  <c r="BR33" i="8"/>
  <c r="BS33" i="8"/>
  <c r="BT33" i="8"/>
  <c r="BU33" i="8"/>
  <c r="BV33" i="8"/>
  <c r="BW33" i="8"/>
  <c r="BX33" i="8"/>
  <c r="BY33" i="8"/>
  <c r="BZ33" i="8"/>
  <c r="BO34" i="8"/>
  <c r="BP34" i="8"/>
  <c r="BQ34" i="8"/>
  <c r="BR34" i="8"/>
  <c r="BS34" i="8"/>
  <c r="BT34" i="8"/>
  <c r="BU34" i="8"/>
  <c r="BV34" i="8"/>
  <c r="BW34" i="8"/>
  <c r="BX34" i="8"/>
  <c r="BY34" i="8"/>
  <c r="BZ34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BO37" i="8"/>
  <c r="BP37" i="8"/>
  <c r="BQ37" i="8"/>
  <c r="BR37" i="8"/>
  <c r="BS37" i="8"/>
  <c r="BT37" i="8"/>
  <c r="BU37" i="8"/>
  <c r="BV37" i="8"/>
  <c r="BW37" i="8"/>
  <c r="BX37" i="8"/>
  <c r="BY37" i="8"/>
  <c r="BZ37" i="8"/>
  <c r="BO38" i="8"/>
  <c r="BP38" i="8"/>
  <c r="BQ38" i="8"/>
  <c r="BR38" i="8"/>
  <c r="BS38" i="8"/>
  <c r="BT38" i="8"/>
  <c r="BU38" i="8"/>
  <c r="BV38" i="8"/>
  <c r="BW38" i="8"/>
  <c r="BX38" i="8"/>
  <c r="BY38" i="8"/>
  <c r="BZ38" i="8"/>
  <c r="BO39" i="8"/>
  <c r="BP39" i="8"/>
  <c r="BQ39" i="8"/>
  <c r="BR39" i="8"/>
  <c r="BS39" i="8"/>
  <c r="BT39" i="8"/>
  <c r="BU39" i="8"/>
  <c r="BV39" i="8"/>
  <c r="BW39" i="8"/>
  <c r="BX39" i="8"/>
  <c r="BY39" i="8"/>
  <c r="BZ39" i="8"/>
  <c r="BO40" i="8"/>
  <c r="BP40" i="8"/>
  <c r="BQ40" i="8"/>
  <c r="BR40" i="8"/>
  <c r="BS40" i="8"/>
  <c r="BT40" i="8"/>
  <c r="BU40" i="8"/>
  <c r="BV40" i="8"/>
  <c r="BW40" i="8"/>
  <c r="BX40" i="8"/>
  <c r="BY40" i="8"/>
  <c r="BZ40" i="8"/>
  <c r="BO41" i="8"/>
  <c r="BP41" i="8"/>
  <c r="BQ41" i="8"/>
  <c r="BR41" i="8"/>
  <c r="BS41" i="8"/>
  <c r="BT41" i="8"/>
  <c r="BU41" i="8"/>
  <c r="BV41" i="8"/>
  <c r="BW41" i="8"/>
  <c r="BX41" i="8"/>
  <c r="BY41" i="8"/>
  <c r="BZ41" i="8"/>
  <c r="BO44" i="8"/>
  <c r="BP44" i="8"/>
  <c r="BQ44" i="8"/>
  <c r="BR44" i="8"/>
  <c r="BS44" i="8"/>
  <c r="BT44" i="8"/>
  <c r="BU44" i="8"/>
  <c r="BV44" i="8"/>
  <c r="BW44" i="8"/>
  <c r="BX44" i="8"/>
  <c r="BY44" i="8"/>
  <c r="BZ44" i="8"/>
  <c r="CH44" i="8" l="1"/>
  <c r="CI44" i="8" s="1"/>
  <c r="CH38" i="8"/>
  <c r="CI38" i="8" s="1"/>
  <c r="CH37" i="8"/>
  <c r="CI37" i="8" s="1"/>
  <c r="CH34" i="8"/>
  <c r="CI34" i="8" s="1"/>
  <c r="CH30" i="8"/>
  <c r="CI30" i="8" s="1"/>
  <c r="CH27" i="8"/>
  <c r="CI27" i="8" s="1"/>
  <c r="CH25" i="8"/>
  <c r="CI25" i="8" s="1"/>
  <c r="CH18" i="8"/>
  <c r="CI18" i="8" s="1"/>
  <c r="CH17" i="8"/>
  <c r="CI17" i="8" s="1"/>
  <c r="CH13" i="8"/>
  <c r="CI13" i="8" s="1"/>
  <c r="CH11" i="8"/>
  <c r="CI11" i="8" s="1"/>
  <c r="CH8" i="8"/>
  <c r="CI8" i="8" s="1"/>
  <c r="CH7" i="8"/>
  <c r="CI7" i="8" s="1"/>
  <c r="CH21" i="8"/>
  <c r="CI21" i="8" s="1"/>
  <c r="CH6" i="8"/>
  <c r="CI6" i="8" s="1"/>
  <c r="CH41" i="8"/>
  <c r="CI41" i="8" s="1"/>
  <c r="DC41" i="8" s="1"/>
  <c r="DD41" i="8" s="1"/>
  <c r="CH40" i="8"/>
  <c r="CI40" i="8" s="1"/>
  <c r="CH39" i="8"/>
  <c r="CI39" i="8" s="1"/>
  <c r="CH36" i="8"/>
  <c r="CI36" i="8" s="1"/>
  <c r="CH35" i="8"/>
  <c r="CI35" i="8" s="1"/>
  <c r="CH33" i="8"/>
  <c r="CI33" i="8" s="1"/>
  <c r="CH32" i="8"/>
  <c r="CI32" i="8" s="1"/>
  <c r="CH31" i="8"/>
  <c r="CI31" i="8" s="1"/>
  <c r="CH29" i="8"/>
  <c r="CI29" i="8" s="1"/>
  <c r="CH28" i="8"/>
  <c r="CI28" i="8" s="1"/>
  <c r="CH26" i="8"/>
  <c r="CI26" i="8" s="1"/>
  <c r="CH24" i="8"/>
  <c r="CI24" i="8" s="1"/>
  <c r="CH23" i="8"/>
  <c r="CI23" i="8" s="1"/>
  <c r="CH22" i="8"/>
  <c r="CI22" i="8" s="1"/>
  <c r="CH20" i="8"/>
  <c r="CI20" i="8" s="1"/>
  <c r="CH19" i="8"/>
  <c r="CI19" i="8" s="1"/>
  <c r="CH16" i="8"/>
  <c r="CI16" i="8" s="1"/>
  <c r="CH15" i="8"/>
  <c r="CI15" i="8" s="1"/>
  <c r="CH14" i="8"/>
  <c r="CI14" i="8" s="1"/>
  <c r="CH12" i="8"/>
  <c r="CI12" i="8" s="1"/>
  <c r="CH10" i="8"/>
  <c r="CI10" i="8" s="1"/>
  <c r="CH9" i="8"/>
  <c r="CI9" i="8" s="1"/>
  <c r="DC44" i="8"/>
  <c r="DD44" i="8" s="1"/>
  <c r="DB44" i="1" l="1"/>
  <c r="CU44" i="1"/>
  <c r="CV44" i="1"/>
  <c r="CY44" i="1"/>
  <c r="D4" i="13"/>
  <c r="E4" i="13"/>
  <c r="E41" i="13" s="1"/>
  <c r="F4" i="13"/>
  <c r="G4" i="13"/>
  <c r="F41" i="13" l="1"/>
  <c r="I37" i="13"/>
  <c r="I34" i="13"/>
  <c r="I29" i="13"/>
  <c r="I26" i="13"/>
  <c r="I18" i="13"/>
  <c r="I16" i="13"/>
  <c r="I15" i="13"/>
  <c r="I12" i="13"/>
  <c r="I10" i="13"/>
  <c r="I8" i="13"/>
  <c r="D41" i="13"/>
  <c r="I39" i="13"/>
  <c r="I35" i="13"/>
  <c r="I31" i="13"/>
  <c r="I27" i="13"/>
  <c r="I20" i="13"/>
  <c r="I40" i="13"/>
  <c r="I32" i="13"/>
  <c r="I24" i="13"/>
  <c r="I21" i="13"/>
  <c r="I13" i="13"/>
  <c r="I6" i="13"/>
  <c r="I38" i="13"/>
  <c r="I36" i="13"/>
  <c r="I33" i="13"/>
  <c r="I30" i="13"/>
  <c r="I28" i="13"/>
  <c r="I25" i="13"/>
  <c r="I23" i="13"/>
  <c r="I19" i="13"/>
  <c r="I17" i="13"/>
  <c r="I14" i="13"/>
  <c r="I11" i="13"/>
  <c r="I9" i="13"/>
  <c r="I7" i="13"/>
  <c r="I5" i="13"/>
  <c r="I22" i="13"/>
  <c r="I4" i="13"/>
  <c r="DB39" i="6" l="1"/>
  <c r="CZ39" i="6"/>
  <c r="CR39" i="6"/>
  <c r="BO44" i="1"/>
  <c r="BP44" i="1"/>
  <c r="BQ44" i="1"/>
  <c r="BR44" i="1"/>
  <c r="BS44" i="1"/>
  <c r="BT44" i="1"/>
  <c r="BU44" i="1"/>
  <c r="BV44" i="1"/>
  <c r="BW44" i="1"/>
  <c r="BX44" i="1"/>
  <c r="BY44" i="1"/>
  <c r="BZ44" i="1"/>
  <c r="BO39" i="6"/>
  <c r="BP39" i="6"/>
  <c r="BQ39" i="6"/>
  <c r="BR39" i="6"/>
  <c r="BS39" i="6"/>
  <c r="BT39" i="6"/>
  <c r="BU39" i="6"/>
  <c r="BV39" i="6"/>
  <c r="BW39" i="6"/>
  <c r="BX39" i="6"/>
  <c r="BY39" i="6"/>
  <c r="BZ39" i="6"/>
  <c r="CH44" i="1" l="1"/>
  <c r="CI44" i="1" s="1"/>
  <c r="CH39" i="6"/>
  <c r="CI39" i="6" s="1"/>
  <c r="CS3" i="5"/>
  <c r="DD39" i="6" l="1"/>
  <c r="DD44" i="1"/>
  <c r="DE44" i="1" s="1"/>
  <c r="DC39" i="6" l="1"/>
  <c r="CY45" i="6" l="1"/>
  <c r="CX45" i="6"/>
  <c r="BY6" i="6"/>
  <c r="BY7" i="6"/>
  <c r="BY8" i="6"/>
  <c r="BY9" i="6"/>
  <c r="BY10" i="6"/>
  <c r="BY11" i="6"/>
  <c r="BY12" i="6"/>
  <c r="BY13" i="6"/>
  <c r="BY14" i="6"/>
  <c r="BY15" i="6"/>
  <c r="BY16" i="6"/>
  <c r="BY17" i="6"/>
  <c r="BY18" i="6"/>
  <c r="BY19" i="6"/>
  <c r="BY20" i="6"/>
  <c r="BY21" i="6"/>
  <c r="BY22" i="6"/>
  <c r="BY23" i="6"/>
  <c r="BY24" i="6"/>
  <c r="BY25" i="6"/>
  <c r="BY26" i="6"/>
  <c r="BY29" i="6"/>
  <c r="BY30" i="6"/>
  <c r="BY31" i="6"/>
  <c r="BY32" i="6"/>
  <c r="BY33" i="6"/>
  <c r="BY34" i="6"/>
  <c r="BY35" i="6"/>
  <c r="BY36" i="6"/>
  <c r="BY37" i="6"/>
  <c r="BY40" i="6"/>
  <c r="BY42" i="6"/>
  <c r="BY43" i="6"/>
  <c r="BY44" i="6"/>
  <c r="BY5" i="6"/>
  <c r="BI5" i="6"/>
  <c r="BT6" i="6"/>
  <c r="BT7" i="6"/>
  <c r="BT8" i="6"/>
  <c r="BT9" i="6"/>
  <c r="BT10" i="6"/>
  <c r="BT11" i="6"/>
  <c r="BT12" i="6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9" i="6"/>
  <c r="BT30" i="6"/>
  <c r="BT31" i="6"/>
  <c r="BT32" i="6"/>
  <c r="BT33" i="6"/>
  <c r="BT34" i="6"/>
  <c r="BT35" i="6"/>
  <c r="BT36" i="6"/>
  <c r="BT37" i="6"/>
  <c r="BT40" i="6"/>
  <c r="BT42" i="6"/>
  <c r="BT43" i="6"/>
  <c r="BT44" i="6"/>
  <c r="CZ6" i="6"/>
  <c r="CT6" i="6"/>
  <c r="DB6" i="6" s="1"/>
  <c r="CU6" i="6"/>
  <c r="CW6" i="6"/>
  <c r="BI45" i="6" l="1"/>
  <c r="BI44" i="1"/>
  <c r="M44" i="8" s="1"/>
  <c r="BI44" i="8" s="1"/>
  <c r="BY45" i="6"/>
  <c r="I41" i="13" l="1"/>
  <c r="G41" i="13"/>
  <c r="CT45" i="1"/>
  <c r="CS45" i="5"/>
  <c r="CR6" i="6"/>
  <c r="CV6" i="8"/>
  <c r="CW6" i="8"/>
  <c r="CY6" i="8"/>
  <c r="DB6" i="8"/>
  <c r="BU5" i="8"/>
  <c r="BE6" i="5" l="1"/>
  <c r="BI6" i="5"/>
  <c r="BO6" i="6"/>
  <c r="BP6" i="6"/>
  <c r="BQ6" i="6"/>
  <c r="BR6" i="6"/>
  <c r="BS6" i="6"/>
  <c r="BU6" i="6"/>
  <c r="BV6" i="6"/>
  <c r="BX6" i="6"/>
  <c r="BZ6" i="6"/>
  <c r="BB7" i="5"/>
  <c r="BC7" i="5"/>
  <c r="BD7" i="5"/>
  <c r="BI7" i="5"/>
  <c r="BO7" i="6"/>
  <c r="BP7" i="6"/>
  <c r="BQ7" i="6"/>
  <c r="BR7" i="6"/>
  <c r="BS7" i="6"/>
  <c r="BU7" i="6"/>
  <c r="BV7" i="6"/>
  <c r="BX7" i="6"/>
  <c r="BZ7" i="6"/>
  <c r="BI8" i="5"/>
  <c r="BO8" i="6"/>
  <c r="BP8" i="6"/>
  <c r="BQ8" i="6"/>
  <c r="BR8" i="6"/>
  <c r="BS8" i="6"/>
  <c r="BU8" i="6"/>
  <c r="BV8" i="6"/>
  <c r="BX8" i="6"/>
  <c r="BZ8" i="6"/>
  <c r="BF9" i="5"/>
  <c r="BO9" i="6"/>
  <c r="BP9" i="6"/>
  <c r="BQ9" i="6"/>
  <c r="BR9" i="6"/>
  <c r="BS9" i="6"/>
  <c r="BU9" i="6"/>
  <c r="BV9" i="6"/>
  <c r="BX9" i="6"/>
  <c r="BZ9" i="6"/>
  <c r="BO10" i="6"/>
  <c r="BP10" i="6"/>
  <c r="BQ10" i="6"/>
  <c r="BR10" i="6"/>
  <c r="BS10" i="6"/>
  <c r="BU10" i="6"/>
  <c r="BV10" i="6"/>
  <c r="BX10" i="6"/>
  <c r="BZ10" i="6"/>
  <c r="BI11" i="5"/>
  <c r="BO11" i="6"/>
  <c r="BP11" i="6"/>
  <c r="BQ11" i="6"/>
  <c r="BR11" i="6"/>
  <c r="BS11" i="6"/>
  <c r="BU11" i="6"/>
  <c r="BV11" i="6"/>
  <c r="BX11" i="6"/>
  <c r="BZ11" i="6"/>
  <c r="BO12" i="6"/>
  <c r="BP12" i="6"/>
  <c r="BQ12" i="6"/>
  <c r="BR12" i="6"/>
  <c r="BS12" i="6"/>
  <c r="BU12" i="6"/>
  <c r="BV12" i="6"/>
  <c r="BX12" i="6"/>
  <c r="BZ12" i="6"/>
  <c r="BI14" i="5"/>
  <c r="BK13" i="5"/>
  <c r="BO13" i="6"/>
  <c r="BP13" i="6"/>
  <c r="BQ13" i="6"/>
  <c r="BR13" i="6"/>
  <c r="BS13" i="6"/>
  <c r="BU13" i="6"/>
  <c r="BV13" i="6"/>
  <c r="BX13" i="6"/>
  <c r="BZ13" i="6"/>
  <c r="BI15" i="5"/>
  <c r="BK14" i="5"/>
  <c r="BO14" i="6"/>
  <c r="BP14" i="6"/>
  <c r="BQ14" i="6"/>
  <c r="BR14" i="6"/>
  <c r="BS14" i="6"/>
  <c r="BU14" i="6"/>
  <c r="BV14" i="6"/>
  <c r="BX14" i="6"/>
  <c r="BZ14" i="6"/>
  <c r="BI16" i="5"/>
  <c r="BO15" i="6"/>
  <c r="BP15" i="6"/>
  <c r="BQ15" i="6"/>
  <c r="BR15" i="6"/>
  <c r="BS15" i="6"/>
  <c r="BU15" i="6"/>
  <c r="BV15" i="6"/>
  <c r="BX15" i="6"/>
  <c r="BZ15" i="6"/>
  <c r="BI17" i="5"/>
  <c r="BO16" i="6"/>
  <c r="BP16" i="6"/>
  <c r="BQ16" i="6"/>
  <c r="BR16" i="6"/>
  <c r="BS16" i="6"/>
  <c r="BU16" i="6"/>
  <c r="BV16" i="6"/>
  <c r="BX16" i="6"/>
  <c r="BZ16" i="6"/>
  <c r="BI18" i="5"/>
  <c r="BO17" i="6"/>
  <c r="BP17" i="6"/>
  <c r="BQ17" i="6"/>
  <c r="BR17" i="6"/>
  <c r="BS17" i="6"/>
  <c r="BU17" i="6"/>
  <c r="BV17" i="6"/>
  <c r="BX17" i="6"/>
  <c r="BZ17" i="6"/>
  <c r="BI19" i="5"/>
  <c r="BO18" i="6"/>
  <c r="BP18" i="6"/>
  <c r="BQ18" i="6"/>
  <c r="BR18" i="6"/>
  <c r="BS18" i="6"/>
  <c r="BU18" i="6"/>
  <c r="BV18" i="6"/>
  <c r="BX18" i="6"/>
  <c r="BZ18" i="6"/>
  <c r="BO19" i="6"/>
  <c r="BP19" i="6"/>
  <c r="BQ19" i="6"/>
  <c r="BR19" i="6"/>
  <c r="BS19" i="6"/>
  <c r="BU19" i="6"/>
  <c r="BV19" i="6"/>
  <c r="BX19" i="6"/>
  <c r="BZ19" i="6"/>
  <c r="BO20" i="6"/>
  <c r="BP20" i="6"/>
  <c r="BQ20" i="6"/>
  <c r="BR20" i="6"/>
  <c r="BS20" i="6"/>
  <c r="BU20" i="6"/>
  <c r="BV20" i="6"/>
  <c r="BX20" i="6"/>
  <c r="BZ20" i="6"/>
  <c r="BI22" i="5"/>
  <c r="BO21" i="6"/>
  <c r="BP21" i="6"/>
  <c r="BQ21" i="6"/>
  <c r="BR21" i="6"/>
  <c r="BS21" i="6"/>
  <c r="BU21" i="6"/>
  <c r="BV21" i="6"/>
  <c r="BX21" i="6"/>
  <c r="BZ21" i="6"/>
  <c r="BO22" i="6"/>
  <c r="BP22" i="6"/>
  <c r="BQ22" i="6"/>
  <c r="BR22" i="6"/>
  <c r="BS22" i="6"/>
  <c r="BU22" i="6"/>
  <c r="BV22" i="6"/>
  <c r="BX22" i="6"/>
  <c r="BZ22" i="6"/>
  <c r="BO23" i="6"/>
  <c r="BP23" i="6"/>
  <c r="BQ23" i="6"/>
  <c r="BR23" i="6"/>
  <c r="BS23" i="6"/>
  <c r="BU23" i="6"/>
  <c r="BV23" i="6"/>
  <c r="BX23" i="6"/>
  <c r="BZ23" i="6"/>
  <c r="BO24" i="6"/>
  <c r="BP24" i="6"/>
  <c r="BQ24" i="6"/>
  <c r="BR24" i="6"/>
  <c r="BS24" i="6"/>
  <c r="BU24" i="6"/>
  <c r="BV24" i="6"/>
  <c r="BX24" i="6"/>
  <c r="BZ24" i="6"/>
  <c r="BO25" i="6"/>
  <c r="BP25" i="6"/>
  <c r="BQ25" i="6"/>
  <c r="BR25" i="6"/>
  <c r="BS25" i="6"/>
  <c r="BU25" i="6"/>
  <c r="BV25" i="6"/>
  <c r="BX25" i="6"/>
  <c r="BZ25" i="6"/>
  <c r="BI27" i="5"/>
  <c r="BO26" i="6"/>
  <c r="BP26" i="6"/>
  <c r="BQ26" i="6"/>
  <c r="BR26" i="6"/>
  <c r="BS26" i="6"/>
  <c r="BU26" i="6"/>
  <c r="BV26" i="6"/>
  <c r="BX26" i="6"/>
  <c r="BZ26" i="6"/>
  <c r="BI28" i="5"/>
  <c r="BO29" i="6"/>
  <c r="BP29" i="6"/>
  <c r="BQ29" i="6"/>
  <c r="BR29" i="6"/>
  <c r="BS29" i="6"/>
  <c r="BU29" i="6"/>
  <c r="BV29" i="6"/>
  <c r="BX29" i="6"/>
  <c r="BZ29" i="6"/>
  <c r="BI29" i="5"/>
  <c r="M29" i="1" s="1"/>
  <c r="BI30" i="5"/>
  <c r="M30" i="1" s="1"/>
  <c r="BO30" i="6"/>
  <c r="BP30" i="6"/>
  <c r="BQ30" i="6"/>
  <c r="BR30" i="6"/>
  <c r="BS30" i="6"/>
  <c r="BU30" i="6"/>
  <c r="BV30" i="6"/>
  <c r="BX30" i="6"/>
  <c r="BZ30" i="6"/>
  <c r="BO31" i="6"/>
  <c r="BP31" i="6"/>
  <c r="BQ31" i="6"/>
  <c r="BR31" i="6"/>
  <c r="BS31" i="6"/>
  <c r="BU31" i="6"/>
  <c r="BV31" i="6"/>
  <c r="BX31" i="6"/>
  <c r="BZ31" i="6"/>
  <c r="BO32" i="6"/>
  <c r="BP32" i="6"/>
  <c r="BQ32" i="6"/>
  <c r="BR32" i="6"/>
  <c r="BS32" i="6"/>
  <c r="BU32" i="6"/>
  <c r="BV32" i="6"/>
  <c r="BX32" i="6"/>
  <c r="BZ32" i="6"/>
  <c r="BO33" i="6"/>
  <c r="BP33" i="6"/>
  <c r="BQ33" i="6"/>
  <c r="BR33" i="6"/>
  <c r="BS33" i="6"/>
  <c r="BU33" i="6"/>
  <c r="BV33" i="6"/>
  <c r="BX33" i="6"/>
  <c r="BZ33" i="6"/>
  <c r="BI36" i="5"/>
  <c r="M36" i="1" s="1"/>
  <c r="BO34" i="6"/>
  <c r="BP34" i="6"/>
  <c r="BQ34" i="6"/>
  <c r="BR34" i="6"/>
  <c r="BS34" i="6"/>
  <c r="BU34" i="6"/>
  <c r="BV34" i="6"/>
  <c r="BX34" i="6"/>
  <c r="BZ34" i="6"/>
  <c r="BI37" i="5"/>
  <c r="M37" i="1" s="1"/>
  <c r="BO35" i="6"/>
  <c r="BP35" i="6"/>
  <c r="BQ35" i="6"/>
  <c r="BR35" i="6"/>
  <c r="BS35" i="6"/>
  <c r="BU35" i="6"/>
  <c r="BV35" i="6"/>
  <c r="BX35" i="6"/>
  <c r="BZ35" i="6"/>
  <c r="BI38" i="5"/>
  <c r="M38" i="1" s="1"/>
  <c r="H37" i="13"/>
  <c r="BO36" i="6"/>
  <c r="BP36" i="6"/>
  <c r="BQ36" i="6"/>
  <c r="BR36" i="6"/>
  <c r="BS36" i="6"/>
  <c r="BU36" i="6"/>
  <c r="BV36" i="6"/>
  <c r="BX36" i="6"/>
  <c r="BZ36" i="6"/>
  <c r="BI40" i="5"/>
  <c r="M40" i="1" s="1"/>
  <c r="BO37" i="6"/>
  <c r="BP37" i="6"/>
  <c r="BQ37" i="6"/>
  <c r="BR37" i="6"/>
  <c r="BS37" i="6"/>
  <c r="BU37" i="6"/>
  <c r="BV37" i="6"/>
  <c r="BX37" i="6"/>
  <c r="BZ37" i="6"/>
  <c r="AX38" i="5"/>
  <c r="B38" i="1" s="1"/>
  <c r="AY38" i="5"/>
  <c r="C38" i="1" s="1"/>
  <c r="AZ38" i="5"/>
  <c r="D38" i="1" s="1"/>
  <c r="BA38" i="5"/>
  <c r="E38" i="1" s="1"/>
  <c r="BB38" i="5"/>
  <c r="F38" i="1" s="1"/>
  <c r="BC38" i="5"/>
  <c r="G38" i="1" s="1"/>
  <c r="BD38" i="5"/>
  <c r="H38" i="1" s="1"/>
  <c r="BE38" i="5"/>
  <c r="I38" i="1" s="1"/>
  <c r="BF38" i="5"/>
  <c r="J38" i="1" s="1"/>
  <c r="BG38" i="5"/>
  <c r="K38" i="1" s="1"/>
  <c r="BH38" i="5"/>
  <c r="L38" i="1" s="1"/>
  <c r="BK38" i="5"/>
  <c r="O38" i="1" s="1"/>
  <c r="BL38" i="5"/>
  <c r="P38" i="1" s="1"/>
  <c r="BM38" i="5"/>
  <c r="Q38" i="1" s="1"/>
  <c r="BO40" i="6"/>
  <c r="BP40" i="6"/>
  <c r="BQ40" i="6"/>
  <c r="BR40" i="6"/>
  <c r="BS40" i="6"/>
  <c r="BU40" i="6"/>
  <c r="BV40" i="6"/>
  <c r="BX40" i="6"/>
  <c r="BZ40" i="6"/>
  <c r="BO42" i="6"/>
  <c r="BP42" i="6"/>
  <c r="BQ42" i="6"/>
  <c r="BR42" i="6"/>
  <c r="BS42" i="6"/>
  <c r="BU42" i="6"/>
  <c r="BV42" i="6"/>
  <c r="BX42" i="6"/>
  <c r="BZ42" i="6"/>
  <c r="BO43" i="6"/>
  <c r="BP43" i="6"/>
  <c r="BQ43" i="6"/>
  <c r="BR43" i="6"/>
  <c r="BS43" i="6"/>
  <c r="BU43" i="6"/>
  <c r="BV43" i="6"/>
  <c r="BX43" i="6"/>
  <c r="BZ43" i="6"/>
  <c r="BO44" i="6"/>
  <c r="BP44" i="6"/>
  <c r="BQ44" i="6"/>
  <c r="BR44" i="6"/>
  <c r="BS44" i="6"/>
  <c r="BU44" i="6"/>
  <c r="BV44" i="6"/>
  <c r="BX44" i="6"/>
  <c r="BZ44" i="6"/>
  <c r="AZ8" i="5"/>
  <c r="AX9" i="5"/>
  <c r="B9" i="1" s="1"/>
  <c r="BB9" i="5"/>
  <c r="BI9" i="5"/>
  <c r="AY10" i="5"/>
  <c r="C10" i="1" s="1"/>
  <c r="BG10" i="5"/>
  <c r="BI10" i="5"/>
  <c r="BK10" i="5"/>
  <c r="BH11" i="5"/>
  <c r="BD12" i="5"/>
  <c r="BI12" i="5"/>
  <c r="BL12" i="5"/>
  <c r="BI13" i="5"/>
  <c r="BI20" i="5"/>
  <c r="BI21" i="5"/>
  <c r="BI23" i="5"/>
  <c r="BI24" i="5"/>
  <c r="BI25" i="5"/>
  <c r="BI26" i="5"/>
  <c r="BI31" i="5"/>
  <c r="M31" i="1" s="1"/>
  <c r="BI32" i="5"/>
  <c r="M32" i="1" s="1"/>
  <c r="BI33" i="5"/>
  <c r="M33" i="1" s="1"/>
  <c r="BI34" i="5"/>
  <c r="M34" i="1" s="1"/>
  <c r="BI35" i="5"/>
  <c r="M35" i="1" s="1"/>
  <c r="BI39" i="5"/>
  <c r="M39" i="1" s="1"/>
  <c r="BI41" i="5"/>
  <c r="M41" i="1" s="1"/>
  <c r="BK44" i="1" l="1"/>
  <c r="O44" i="8" s="1"/>
  <c r="BK44" i="8" s="1"/>
  <c r="BK41" i="5"/>
  <c r="O41" i="1" s="1"/>
  <c r="BG40" i="5"/>
  <c r="K40" i="1" s="1"/>
  <c r="BG39" i="5"/>
  <c r="K39" i="1" s="1"/>
  <c r="BC40" i="5"/>
  <c r="G40" i="1" s="1"/>
  <c r="BC39" i="5"/>
  <c r="G39" i="1" s="1"/>
  <c r="BM44" i="1"/>
  <c r="Q44" i="8" s="1"/>
  <c r="BM44" i="8" s="1"/>
  <c r="BM41" i="5"/>
  <c r="Q41" i="1" s="1"/>
  <c r="BG44" i="1"/>
  <c r="K44" i="8" s="1"/>
  <c r="BG44" i="8" s="1"/>
  <c r="BC44" i="1"/>
  <c r="G44" i="8" s="1"/>
  <c r="BC44" i="8" s="1"/>
  <c r="BC41" i="5"/>
  <c r="G41" i="1" s="1"/>
  <c r="BK40" i="5"/>
  <c r="O40" i="1" s="1"/>
  <c r="BK39" i="5"/>
  <c r="O39" i="1" s="1"/>
  <c r="BE40" i="5"/>
  <c r="I40" i="1" s="1"/>
  <c r="BE39" i="5"/>
  <c r="I39" i="1" s="1"/>
  <c r="BA40" i="5"/>
  <c r="E40" i="1" s="1"/>
  <c r="BA39" i="5"/>
  <c r="E39" i="1" s="1"/>
  <c r="BL44" i="1"/>
  <c r="P44" i="8" s="1"/>
  <c r="BL44" i="8" s="1"/>
  <c r="BL41" i="5"/>
  <c r="P41" i="1" s="1"/>
  <c r="BF44" i="1"/>
  <c r="J44" i="8" s="1"/>
  <c r="BF44" i="8" s="1"/>
  <c r="BH40" i="5"/>
  <c r="L40" i="1" s="1"/>
  <c r="BH39" i="5"/>
  <c r="L39" i="1" s="1"/>
  <c r="BD40" i="5"/>
  <c r="H40" i="1" s="1"/>
  <c r="BD39" i="5"/>
  <c r="H39" i="1" s="1"/>
  <c r="AZ40" i="5"/>
  <c r="D40" i="1" s="1"/>
  <c r="AZ39" i="5"/>
  <c r="D39" i="1" s="1"/>
  <c r="BB29" i="5"/>
  <c r="F29" i="1" s="1"/>
  <c r="BB28" i="5"/>
  <c r="BE44" i="1"/>
  <c r="I44" i="8" s="1"/>
  <c r="BE44" i="8" s="1"/>
  <c r="BE41" i="5"/>
  <c r="I41" i="1" s="1"/>
  <c r="BM40" i="5"/>
  <c r="Q40" i="1" s="1"/>
  <c r="AY40" i="5"/>
  <c r="C40" i="1" s="1"/>
  <c r="AY39" i="5"/>
  <c r="C39" i="1" s="1"/>
  <c r="BH44" i="1"/>
  <c r="L44" i="8" s="1"/>
  <c r="BH44" i="8" s="1"/>
  <c r="BH41" i="5"/>
  <c r="L41" i="1" s="1"/>
  <c r="BD44" i="1"/>
  <c r="H44" i="8" s="1"/>
  <c r="BD44" i="8" s="1"/>
  <c r="BD41" i="5"/>
  <c r="H41" i="1" s="1"/>
  <c r="BL40" i="5"/>
  <c r="P40" i="1" s="1"/>
  <c r="BL39" i="5"/>
  <c r="P39" i="1" s="1"/>
  <c r="BF40" i="5"/>
  <c r="J40" i="1" s="1"/>
  <c r="BF39" i="5"/>
  <c r="J39" i="1" s="1"/>
  <c r="BB40" i="5"/>
  <c r="F40" i="1" s="1"/>
  <c r="BB39" i="5"/>
  <c r="F39" i="1" s="1"/>
  <c r="AX40" i="5"/>
  <c r="B40" i="1" s="1"/>
  <c r="AX39" i="5"/>
  <c r="B39" i="1" s="1"/>
  <c r="AY44" i="1"/>
  <c r="C44" i="8" s="1"/>
  <c r="AY44" i="8" s="1"/>
  <c r="BG41" i="5"/>
  <c r="K41" i="1" s="1"/>
  <c r="AY41" i="5"/>
  <c r="C41" i="1" s="1"/>
  <c r="BM37" i="5"/>
  <c r="Q37" i="1" s="1"/>
  <c r="BM34" i="5"/>
  <c r="Q34" i="1" s="1"/>
  <c r="BH37" i="5"/>
  <c r="L37" i="1" s="1"/>
  <c r="BH34" i="5"/>
  <c r="L34" i="1" s="1"/>
  <c r="BD37" i="5"/>
  <c r="H37" i="1" s="1"/>
  <c r="BD34" i="5"/>
  <c r="H34" i="1" s="1"/>
  <c r="AZ37" i="5"/>
  <c r="D37" i="1" s="1"/>
  <c r="AZ34" i="5"/>
  <c r="D34" i="1" s="1"/>
  <c r="BM36" i="5"/>
  <c r="Q36" i="1" s="1"/>
  <c r="AZ33" i="5"/>
  <c r="D33" i="1" s="1"/>
  <c r="AY35" i="5"/>
  <c r="C35" i="1" s="1"/>
  <c r="AY32" i="5"/>
  <c r="C32" i="1" s="1"/>
  <c r="BH33" i="5"/>
  <c r="L33" i="1" s="1"/>
  <c r="BD33" i="5"/>
  <c r="H33" i="1" s="1"/>
  <c r="BM32" i="5"/>
  <c r="Q32" i="1" s="1"/>
  <c r="BM30" i="5"/>
  <c r="Q30" i="1" s="1"/>
  <c r="BG32" i="5"/>
  <c r="K32" i="1" s="1"/>
  <c r="BG30" i="5"/>
  <c r="K30" i="1" s="1"/>
  <c r="BC32" i="5"/>
  <c r="G32" i="1" s="1"/>
  <c r="BC30" i="5"/>
  <c r="G30" i="1" s="1"/>
  <c r="AY30" i="5"/>
  <c r="C30" i="1" s="1"/>
  <c r="BL29" i="5"/>
  <c r="P29" i="1" s="1"/>
  <c r="BF29" i="5"/>
  <c r="J29" i="1" s="1"/>
  <c r="AX29" i="5"/>
  <c r="B29" i="1" s="1"/>
  <c r="BM28" i="5"/>
  <c r="BH28" i="5"/>
  <c r="BD28" i="5"/>
  <c r="AZ28" i="5"/>
  <c r="D28" i="1" s="1"/>
  <c r="BM27" i="5"/>
  <c r="BH27" i="5"/>
  <c r="BD27" i="5"/>
  <c r="AZ27" i="5"/>
  <c r="D27" i="1" s="1"/>
  <c r="BM26" i="5"/>
  <c r="BA23" i="5"/>
  <c r="E23" i="1" s="1"/>
  <c r="AZ22" i="5"/>
  <c r="D22" i="1" s="1"/>
  <c r="BM21" i="5"/>
  <c r="BH22" i="5"/>
  <c r="BD22" i="5"/>
  <c r="AX19" i="5"/>
  <c r="B19" i="1" s="1"/>
  <c r="BF19" i="5"/>
  <c r="BB19" i="5"/>
  <c r="AX18" i="5"/>
  <c r="B18" i="1" s="1"/>
  <c r="BK18" i="5"/>
  <c r="BF18" i="5"/>
  <c r="BB18" i="5"/>
  <c r="BB17" i="5"/>
  <c r="BK17" i="5"/>
  <c r="BF17" i="5"/>
  <c r="AX17" i="5"/>
  <c r="B17" i="1" s="1"/>
  <c r="AX16" i="5"/>
  <c r="B16" i="1" s="1"/>
  <c r="BK16" i="5"/>
  <c r="BK15" i="5"/>
  <c r="BF16" i="5"/>
  <c r="BB16" i="5"/>
  <c r="BB15" i="5"/>
  <c r="F15" i="1" s="1"/>
  <c r="BF15" i="5"/>
  <c r="AX15" i="5"/>
  <c r="B15" i="1" s="1"/>
  <c r="AX14" i="5"/>
  <c r="B14" i="1" s="1"/>
  <c r="BF14" i="5"/>
  <c r="BF13" i="5"/>
  <c r="BB14" i="5"/>
  <c r="BB13" i="5"/>
  <c r="AX13" i="5"/>
  <c r="B13" i="1" s="1"/>
  <c r="BM12" i="5"/>
  <c r="BG12" i="5"/>
  <c r="BC12" i="5"/>
  <c r="AY12" i="5"/>
  <c r="BL11" i="5"/>
  <c r="BG11" i="5"/>
  <c r="BC11" i="5"/>
  <c r="AY11" i="5"/>
  <c r="BL10" i="5"/>
  <c r="BF10" i="5"/>
  <c r="J10" i="1" s="1"/>
  <c r="BB10" i="5"/>
  <c r="AX10" i="5"/>
  <c r="B10" i="1" s="1"/>
  <c r="BK9" i="5"/>
  <c r="BE9" i="5"/>
  <c r="BA9" i="5"/>
  <c r="E9" i="1" s="1"/>
  <c r="BE8" i="5"/>
  <c r="BA8" i="5"/>
  <c r="BE7" i="5"/>
  <c r="BA7" i="5"/>
  <c r="BA6" i="5"/>
  <c r="E6" i="1" s="1"/>
  <c r="BB44" i="1"/>
  <c r="F44" i="8" s="1"/>
  <c r="BB44" i="8" s="1"/>
  <c r="AX44" i="1"/>
  <c r="B44" i="8" s="1"/>
  <c r="AX44" i="8" s="1"/>
  <c r="BF41" i="5"/>
  <c r="J41" i="1" s="1"/>
  <c r="BB41" i="5"/>
  <c r="F41" i="1" s="1"/>
  <c r="AX41" i="5"/>
  <c r="B41" i="1" s="1"/>
  <c r="BL37" i="5"/>
  <c r="P37" i="1" s="1"/>
  <c r="BL34" i="5"/>
  <c r="P34" i="1" s="1"/>
  <c r="BG37" i="5"/>
  <c r="K37" i="1" s="1"/>
  <c r="BG34" i="5"/>
  <c r="K34" i="1" s="1"/>
  <c r="BC37" i="5"/>
  <c r="G37" i="1" s="1"/>
  <c r="BC34" i="5"/>
  <c r="G34" i="1" s="1"/>
  <c r="AY37" i="5"/>
  <c r="C37" i="1" s="1"/>
  <c r="AY34" i="5"/>
  <c r="C34" i="1" s="1"/>
  <c r="BL36" i="5"/>
  <c r="P36" i="1" s="1"/>
  <c r="BG36" i="5"/>
  <c r="K36" i="1" s="1"/>
  <c r="BC36" i="5"/>
  <c r="G36" i="1" s="1"/>
  <c r="AY36" i="5"/>
  <c r="C36" i="1" s="1"/>
  <c r="AY33" i="5"/>
  <c r="C33" i="1" s="1"/>
  <c r="BM33" i="5"/>
  <c r="Q33" i="1" s="1"/>
  <c r="BG33" i="5"/>
  <c r="K33" i="1" s="1"/>
  <c r="BC33" i="5"/>
  <c r="G33" i="1" s="1"/>
  <c r="AY31" i="5"/>
  <c r="C31" i="1" s="1"/>
  <c r="BL32" i="5"/>
  <c r="P32" i="1" s="1"/>
  <c r="BL30" i="5"/>
  <c r="P30" i="1" s="1"/>
  <c r="BF32" i="5"/>
  <c r="J32" i="1" s="1"/>
  <c r="BF30" i="5"/>
  <c r="J30" i="1" s="1"/>
  <c r="BB32" i="5"/>
  <c r="F32" i="1" s="1"/>
  <c r="BB30" i="5"/>
  <c r="F30" i="1" s="1"/>
  <c r="AX32" i="5"/>
  <c r="B32" i="1" s="1"/>
  <c r="AX30" i="5"/>
  <c r="B30" i="1" s="1"/>
  <c r="BK29" i="5"/>
  <c r="O29" i="1" s="1"/>
  <c r="BE29" i="5"/>
  <c r="I29" i="1" s="1"/>
  <c r="BA29" i="5"/>
  <c r="E29" i="1" s="1"/>
  <c r="BL28" i="5"/>
  <c r="BG28" i="5"/>
  <c r="BC28" i="5"/>
  <c r="AY28" i="5"/>
  <c r="C28" i="1" s="1"/>
  <c r="AY27" i="5"/>
  <c r="C27" i="1" s="1"/>
  <c r="BL27" i="5"/>
  <c r="BG27" i="5"/>
  <c r="BG26" i="5"/>
  <c r="BC27" i="5"/>
  <c r="BC26" i="5"/>
  <c r="AY26" i="5"/>
  <c r="BL26" i="5"/>
  <c r="BL25" i="5"/>
  <c r="BF26" i="5"/>
  <c r="BF25" i="5"/>
  <c r="BB26" i="5"/>
  <c r="BB25" i="5"/>
  <c r="AX25" i="5"/>
  <c r="B25" i="1" s="1"/>
  <c r="BK25" i="5"/>
  <c r="BK24" i="5"/>
  <c r="BE25" i="5"/>
  <c r="BE24" i="5"/>
  <c r="BA24" i="5"/>
  <c r="E24" i="1" s="1"/>
  <c r="BH24" i="5"/>
  <c r="BH23" i="5"/>
  <c r="BD24" i="5"/>
  <c r="BD23" i="5"/>
  <c r="AZ23" i="5"/>
  <c r="D23" i="1" s="1"/>
  <c r="BM23" i="5"/>
  <c r="BM22" i="5"/>
  <c r="BG23" i="5"/>
  <c r="BC23" i="5"/>
  <c r="AY22" i="5"/>
  <c r="C22" i="1" s="1"/>
  <c r="BL22" i="5"/>
  <c r="BG22" i="5"/>
  <c r="BG21" i="5"/>
  <c r="BC22" i="5"/>
  <c r="BC21" i="5"/>
  <c r="AY21" i="5"/>
  <c r="C21" i="1" s="1"/>
  <c r="BL21" i="5"/>
  <c r="BL20" i="5"/>
  <c r="BF21" i="5"/>
  <c r="BF20" i="5"/>
  <c r="BB21" i="5"/>
  <c r="BB20" i="5"/>
  <c r="AX20" i="5"/>
  <c r="BK20" i="5"/>
  <c r="BK19" i="5"/>
  <c r="BE20" i="5"/>
  <c r="BA19" i="5"/>
  <c r="E19" i="1" s="1"/>
  <c r="BE19" i="5"/>
  <c r="BA18" i="5"/>
  <c r="E18" i="1" s="1"/>
  <c r="BE18" i="5"/>
  <c r="BA17" i="5"/>
  <c r="E17" i="1" s="1"/>
  <c r="BE17" i="5"/>
  <c r="BA16" i="5"/>
  <c r="E16" i="1" s="1"/>
  <c r="BE16" i="5"/>
  <c r="I16" i="1" s="1"/>
  <c r="BA15" i="5"/>
  <c r="E15" i="1" s="1"/>
  <c r="BE15" i="5"/>
  <c r="I15" i="1" s="1"/>
  <c r="BE14" i="5"/>
  <c r="BE13" i="5"/>
  <c r="BA14" i="5"/>
  <c r="E14" i="1" s="1"/>
  <c r="BA13" i="5"/>
  <c r="E13" i="1" s="1"/>
  <c r="BF12" i="5"/>
  <c r="BB12" i="5"/>
  <c r="AX12" i="5"/>
  <c r="BK11" i="5"/>
  <c r="BF11" i="5"/>
  <c r="BB11" i="5"/>
  <c r="AX11" i="5"/>
  <c r="BE10" i="5"/>
  <c r="BA10" i="5"/>
  <c r="E10" i="1" s="1"/>
  <c r="BH9" i="5"/>
  <c r="BD9" i="5"/>
  <c r="AZ9" i="5"/>
  <c r="D9" i="1" s="1"/>
  <c r="BM8" i="5"/>
  <c r="BH8" i="5"/>
  <c r="BD8" i="5"/>
  <c r="BM7" i="5"/>
  <c r="BH7" i="5"/>
  <c r="AZ7" i="5"/>
  <c r="BM6" i="5"/>
  <c r="BH6" i="5"/>
  <c r="BD6" i="5"/>
  <c r="AZ6" i="5"/>
  <c r="D6" i="1" s="1"/>
  <c r="BA44" i="1"/>
  <c r="E44" i="8" s="1"/>
  <c r="BA44" i="8" s="1"/>
  <c r="BA41" i="5"/>
  <c r="E41" i="1" s="1"/>
  <c r="BM39" i="5"/>
  <c r="Q39" i="1" s="1"/>
  <c r="BM35" i="5"/>
  <c r="Q35" i="1" s="1"/>
  <c r="BG35" i="5"/>
  <c r="K35" i="1" s="1"/>
  <c r="BC35" i="5"/>
  <c r="G35" i="1" s="1"/>
  <c r="BK37" i="5"/>
  <c r="O37" i="1" s="1"/>
  <c r="BK34" i="5"/>
  <c r="O34" i="1" s="1"/>
  <c r="BF37" i="5"/>
  <c r="J37" i="1" s="1"/>
  <c r="BF34" i="5"/>
  <c r="J34" i="1" s="1"/>
  <c r="BB37" i="5"/>
  <c r="F37" i="1" s="1"/>
  <c r="BB34" i="5"/>
  <c r="F34" i="1" s="1"/>
  <c r="AX37" i="5"/>
  <c r="B37" i="1" s="1"/>
  <c r="AX34" i="5"/>
  <c r="B34" i="1" s="1"/>
  <c r="BK36" i="5"/>
  <c r="O36" i="1" s="1"/>
  <c r="BF36" i="5"/>
  <c r="J36" i="1" s="1"/>
  <c r="BB36" i="5"/>
  <c r="F36" i="1" s="1"/>
  <c r="AX36" i="5"/>
  <c r="B36" i="1" s="1"/>
  <c r="BK35" i="5"/>
  <c r="O35" i="1" s="1"/>
  <c r="BE35" i="5"/>
  <c r="I35" i="1" s="1"/>
  <c r="BA35" i="5"/>
  <c r="E35" i="1" s="1"/>
  <c r="BL33" i="5"/>
  <c r="P33" i="1" s="1"/>
  <c r="BL31" i="5"/>
  <c r="P31" i="1" s="1"/>
  <c r="BF33" i="5"/>
  <c r="J33" i="1" s="1"/>
  <c r="BF31" i="5"/>
  <c r="J31" i="1" s="1"/>
  <c r="BB33" i="5"/>
  <c r="F33" i="1" s="1"/>
  <c r="BB31" i="5"/>
  <c r="F31" i="1" s="1"/>
  <c r="AX33" i="5"/>
  <c r="B33" i="1" s="1"/>
  <c r="AX31" i="5"/>
  <c r="B31" i="1" s="1"/>
  <c r="BK32" i="5"/>
  <c r="O32" i="1" s="1"/>
  <c r="BK30" i="5"/>
  <c r="O30" i="1" s="1"/>
  <c r="BE32" i="5"/>
  <c r="I32" i="1" s="1"/>
  <c r="BE30" i="5"/>
  <c r="I30" i="1" s="1"/>
  <c r="BA32" i="5"/>
  <c r="E32" i="1" s="1"/>
  <c r="BA30" i="5"/>
  <c r="E30" i="1" s="1"/>
  <c r="BH31" i="5"/>
  <c r="L31" i="1" s="1"/>
  <c r="BH29" i="5"/>
  <c r="L29" i="1" s="1"/>
  <c r="BD31" i="5"/>
  <c r="H31" i="1" s="1"/>
  <c r="BD29" i="5"/>
  <c r="H29" i="1" s="1"/>
  <c r="AZ31" i="5"/>
  <c r="D31" i="1" s="1"/>
  <c r="AZ29" i="5"/>
  <c r="D29" i="1" s="1"/>
  <c r="BK28" i="5"/>
  <c r="BF28" i="5"/>
  <c r="J28" i="1" s="1"/>
  <c r="AX28" i="5"/>
  <c r="B28" i="1" s="1"/>
  <c r="AX27" i="5"/>
  <c r="B27" i="1" s="1"/>
  <c r="BK27" i="5"/>
  <c r="BF27" i="5"/>
  <c r="BB27" i="5"/>
  <c r="AX26" i="5"/>
  <c r="BK26" i="5"/>
  <c r="BA25" i="5"/>
  <c r="E25" i="1" s="1"/>
  <c r="BD25" i="5"/>
  <c r="AZ24" i="5"/>
  <c r="D24" i="1" s="1"/>
  <c r="BM24" i="5"/>
  <c r="BC24" i="5"/>
  <c r="AY23" i="5"/>
  <c r="C23" i="1" s="1"/>
  <c r="BL23" i="5"/>
  <c r="BB23" i="5"/>
  <c r="BK22" i="5"/>
  <c r="BF22" i="5"/>
  <c r="BB22" i="5"/>
  <c r="AX22" i="5"/>
  <c r="B22" i="1" s="1"/>
  <c r="AX21" i="5"/>
  <c r="B21" i="1" s="1"/>
  <c r="BK21" i="5"/>
  <c r="BA20" i="5"/>
  <c r="BD20" i="5"/>
  <c r="AZ19" i="5"/>
  <c r="D19" i="1" s="1"/>
  <c r="BM19" i="5"/>
  <c r="BH19" i="5"/>
  <c r="BD19" i="5"/>
  <c r="AZ18" i="5"/>
  <c r="D18" i="1" s="1"/>
  <c r="BM18" i="5"/>
  <c r="BH18" i="5"/>
  <c r="BD18" i="5"/>
  <c r="AZ17" i="5"/>
  <c r="D17" i="1" s="1"/>
  <c r="BM17" i="5"/>
  <c r="BH17" i="5"/>
  <c r="BD17" i="5"/>
  <c r="AZ16" i="5"/>
  <c r="D16" i="1" s="1"/>
  <c r="BM16" i="5"/>
  <c r="BH16" i="5"/>
  <c r="BD16" i="5"/>
  <c r="BM15" i="5"/>
  <c r="BH15" i="5"/>
  <c r="BD15" i="5"/>
  <c r="H15" i="1" s="1"/>
  <c r="AZ15" i="5"/>
  <c r="D15" i="1" s="1"/>
  <c r="AZ14" i="5"/>
  <c r="D14" i="1" s="1"/>
  <c r="BM14" i="5"/>
  <c r="BM13" i="5"/>
  <c r="BH14" i="5"/>
  <c r="BH13" i="5"/>
  <c r="BD14" i="5"/>
  <c r="BD13" i="5"/>
  <c r="AZ13" i="5"/>
  <c r="D13" i="1" s="1"/>
  <c r="BK12" i="5"/>
  <c r="BE12" i="5"/>
  <c r="BA12" i="5"/>
  <c r="BE11" i="5"/>
  <c r="BA11" i="5"/>
  <c r="BH10" i="5"/>
  <c r="BD10" i="5"/>
  <c r="AZ10" i="5"/>
  <c r="D10" i="1" s="1"/>
  <c r="BM9" i="5"/>
  <c r="BG9" i="5"/>
  <c r="BC9" i="5"/>
  <c r="AY9" i="5"/>
  <c r="C9" i="1" s="1"/>
  <c r="BL8" i="5"/>
  <c r="BG8" i="5"/>
  <c r="BC8" i="5"/>
  <c r="AY8" i="5"/>
  <c r="BL7" i="5"/>
  <c r="BG7" i="5"/>
  <c r="AY7" i="5"/>
  <c r="BL6" i="5"/>
  <c r="BG6" i="5"/>
  <c r="BC6" i="5"/>
  <c r="G6" i="1" s="1"/>
  <c r="AY6" i="5"/>
  <c r="C6" i="1" s="1"/>
  <c r="AZ44" i="1"/>
  <c r="D44" i="8" s="1"/>
  <c r="AZ44" i="8" s="1"/>
  <c r="BH36" i="5"/>
  <c r="L36" i="1" s="1"/>
  <c r="BD36" i="5"/>
  <c r="H36" i="1" s="1"/>
  <c r="AZ41" i="5"/>
  <c r="D41" i="1" s="1"/>
  <c r="AZ36" i="5"/>
  <c r="D36" i="1" s="1"/>
  <c r="BL35" i="5"/>
  <c r="P35" i="1" s="1"/>
  <c r="BF35" i="5"/>
  <c r="J35" i="1" s="1"/>
  <c r="BB35" i="5"/>
  <c r="F35" i="1" s="1"/>
  <c r="AX35" i="5"/>
  <c r="B35" i="1" s="1"/>
  <c r="BE37" i="5"/>
  <c r="I37" i="1" s="1"/>
  <c r="BE34" i="5"/>
  <c r="I34" i="1" s="1"/>
  <c r="BA37" i="5"/>
  <c r="E37" i="1" s="1"/>
  <c r="BA34" i="5"/>
  <c r="E34" i="1" s="1"/>
  <c r="BE36" i="5"/>
  <c r="I36" i="1" s="1"/>
  <c r="BA36" i="5"/>
  <c r="E36" i="1" s="1"/>
  <c r="BA33" i="5"/>
  <c r="E33" i="1" s="1"/>
  <c r="BH35" i="5"/>
  <c r="L35" i="1" s="1"/>
  <c r="BD35" i="5"/>
  <c r="H35" i="1" s="1"/>
  <c r="BD32" i="5"/>
  <c r="H32" i="1" s="1"/>
  <c r="AZ35" i="5"/>
  <c r="D35" i="1" s="1"/>
  <c r="BK33" i="5"/>
  <c r="O33" i="1" s="1"/>
  <c r="BK31" i="5"/>
  <c r="O31" i="1" s="1"/>
  <c r="BE33" i="5"/>
  <c r="I33" i="1" s="1"/>
  <c r="BE31" i="5"/>
  <c r="I31" i="1" s="1"/>
  <c r="BA31" i="5"/>
  <c r="E31" i="1" s="1"/>
  <c r="BH32" i="5"/>
  <c r="L32" i="1" s="1"/>
  <c r="BH30" i="5"/>
  <c r="L30" i="1" s="1"/>
  <c r="BD30" i="5"/>
  <c r="H30" i="1" s="1"/>
  <c r="AZ32" i="5"/>
  <c r="D32" i="1" s="1"/>
  <c r="AZ30" i="5"/>
  <c r="D30" i="1" s="1"/>
  <c r="BM31" i="5"/>
  <c r="Q31" i="1" s="1"/>
  <c r="BM29" i="5"/>
  <c r="Q29" i="1" s="1"/>
  <c r="BG31" i="5"/>
  <c r="K31" i="1" s="1"/>
  <c r="BG29" i="5"/>
  <c r="K29" i="1" s="1"/>
  <c r="BC31" i="5"/>
  <c r="G31" i="1" s="1"/>
  <c r="BC29" i="5"/>
  <c r="G29" i="1" s="1"/>
  <c r="AY29" i="5"/>
  <c r="C29" i="1" s="1"/>
  <c r="BE28" i="5"/>
  <c r="BE27" i="5"/>
  <c r="BA28" i="5"/>
  <c r="E28" i="1" s="1"/>
  <c r="BE26" i="5"/>
  <c r="BA27" i="5"/>
  <c r="E27" i="1" s="1"/>
  <c r="BA26" i="5"/>
  <c r="BH26" i="5"/>
  <c r="BH25" i="5"/>
  <c r="BD26" i="5"/>
  <c r="AZ26" i="5"/>
  <c r="AZ25" i="5"/>
  <c r="D25" i="1" s="1"/>
  <c r="BM25" i="5"/>
  <c r="BG25" i="5"/>
  <c r="BG24" i="5"/>
  <c r="BC25" i="5"/>
  <c r="AY25" i="5"/>
  <c r="C25" i="1" s="1"/>
  <c r="AY24" i="5"/>
  <c r="C24" i="1" s="1"/>
  <c r="BL24" i="5"/>
  <c r="BF24" i="5"/>
  <c r="BF23" i="5"/>
  <c r="BB24" i="5"/>
  <c r="AX24" i="5"/>
  <c r="B24" i="1" s="1"/>
  <c r="AX23" i="5"/>
  <c r="B23" i="1" s="1"/>
  <c r="BK23" i="5"/>
  <c r="BE23" i="5"/>
  <c r="BE22" i="5"/>
  <c r="BA22" i="5"/>
  <c r="E22" i="1" s="1"/>
  <c r="BE21" i="5"/>
  <c r="BA21" i="5"/>
  <c r="E21" i="1" s="1"/>
  <c r="BH21" i="5"/>
  <c r="BH20" i="5"/>
  <c r="BD21" i="5"/>
  <c r="AZ21" i="5"/>
  <c r="D21" i="1" s="1"/>
  <c r="AZ20" i="5"/>
  <c r="BM20" i="5"/>
  <c r="BG20" i="5"/>
  <c r="BG19" i="5"/>
  <c r="BC20" i="5"/>
  <c r="AY20" i="5"/>
  <c r="AY19" i="5"/>
  <c r="C19" i="1" s="1"/>
  <c r="BL19" i="5"/>
  <c r="BG18" i="5"/>
  <c r="BC19" i="5"/>
  <c r="AY18" i="5"/>
  <c r="C18" i="1" s="1"/>
  <c r="BL18" i="5"/>
  <c r="BG17" i="5"/>
  <c r="BC18" i="5"/>
  <c r="AY17" i="5"/>
  <c r="C17" i="1" s="1"/>
  <c r="BL17" i="5"/>
  <c r="BL16" i="5"/>
  <c r="BC17" i="5"/>
  <c r="BG16" i="5"/>
  <c r="BC16" i="5"/>
  <c r="G16" i="1" s="1"/>
  <c r="BC15" i="5"/>
  <c r="G15" i="1" s="1"/>
  <c r="AY16" i="5"/>
  <c r="C16" i="1" s="1"/>
  <c r="BL15" i="5"/>
  <c r="BL14" i="5"/>
  <c r="BG15" i="5"/>
  <c r="BC14" i="5"/>
  <c r="AY15" i="5"/>
  <c r="C15" i="1" s="1"/>
  <c r="BL13" i="5"/>
  <c r="BG14" i="5"/>
  <c r="BG13" i="5"/>
  <c r="BC13" i="5"/>
  <c r="AY14" i="5"/>
  <c r="C14" i="1" s="1"/>
  <c r="AY13" i="5"/>
  <c r="C13" i="1" s="1"/>
  <c r="BH12" i="5"/>
  <c r="AZ12" i="5"/>
  <c r="BM11" i="5"/>
  <c r="BD11" i="5"/>
  <c r="AZ11" i="5"/>
  <c r="BM10" i="5"/>
  <c r="BC10" i="5"/>
  <c r="BL9" i="5"/>
  <c r="BK8" i="5"/>
  <c r="BF8" i="5"/>
  <c r="BB8" i="5"/>
  <c r="AX8" i="5"/>
  <c r="BK7" i="5"/>
  <c r="BF7" i="5"/>
  <c r="AX7" i="5"/>
  <c r="BK6" i="5"/>
  <c r="BF6" i="5"/>
  <c r="BB6" i="5"/>
  <c r="AX6" i="5"/>
  <c r="B6" i="1" s="1"/>
  <c r="H28" i="13"/>
  <c r="H21" i="13"/>
  <c r="H15" i="13"/>
  <c r="H10" i="13"/>
  <c r="H5" i="13"/>
  <c r="H39" i="13"/>
  <c r="H13" i="13"/>
  <c r="H33" i="13"/>
  <c r="H29" i="13"/>
  <c r="H9" i="13"/>
  <c r="H6" i="13"/>
  <c r="H38" i="13"/>
  <c r="H36" i="13"/>
  <c r="H34" i="13"/>
  <c r="H30" i="13"/>
  <c r="H31" i="13"/>
  <c r="H26" i="13"/>
  <c r="H25" i="13"/>
  <c r="H23" i="13"/>
  <c r="H22" i="13"/>
  <c r="H20" i="13"/>
  <c r="H18" i="13"/>
  <c r="H17" i="13"/>
  <c r="H14" i="13"/>
  <c r="H7" i="13"/>
  <c r="DC6" i="8"/>
  <c r="DD6" i="8" s="1"/>
  <c r="H12" i="13"/>
  <c r="H40" i="13"/>
  <c r="H35" i="13"/>
  <c r="H32" i="13"/>
  <c r="H27" i="13"/>
  <c r="H24" i="13"/>
  <c r="H19" i="13"/>
  <c r="H11" i="13"/>
  <c r="H16" i="13"/>
  <c r="H8" i="13"/>
  <c r="B40" i="23"/>
  <c r="B47" i="23" l="1"/>
  <c r="A5" i="23"/>
  <c r="A6" i="23" s="1"/>
  <c r="A7" i="23" s="1"/>
  <c r="A8" i="23" s="1"/>
  <c r="A9" i="23" s="1"/>
  <c r="A10" i="23" l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CW21" i="6"/>
  <c r="A45" i="6" l="1"/>
  <c r="A44" i="6"/>
  <c r="A43" i="6"/>
  <c r="A42" i="6"/>
  <c r="A40" i="6"/>
  <c r="A37" i="6"/>
  <c r="A36" i="6"/>
  <c r="A35" i="6"/>
  <c r="A34" i="6"/>
  <c r="A33" i="6"/>
  <c r="A32" i="6"/>
  <c r="A31" i="6"/>
  <c r="A30" i="6"/>
  <c r="A29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5" i="6"/>
  <c r="CC5" i="6"/>
  <c r="CC45" i="6" s="1"/>
  <c r="CE5" i="6"/>
  <c r="CE45" i="6" s="1"/>
  <c r="CG5" i="6"/>
  <c r="CG45" i="6" s="1"/>
  <c r="B4" i="20" l="1"/>
  <c r="B3" i="17"/>
  <c r="A8" i="1"/>
  <c r="A8" i="8" s="1"/>
  <c r="B7" i="20"/>
  <c r="B6" i="17"/>
  <c r="A12" i="1"/>
  <c r="A12" i="8" s="1"/>
  <c r="B11" i="20"/>
  <c r="B10" i="17"/>
  <c r="A16" i="1"/>
  <c r="A16" i="8" s="1"/>
  <c r="B15" i="20"/>
  <c r="B14" i="17"/>
  <c r="A20" i="1"/>
  <c r="A20" i="8" s="1"/>
  <c r="B19" i="20"/>
  <c r="B18" i="17"/>
  <c r="A24" i="1"/>
  <c r="A24" i="8" s="1"/>
  <c r="B23" i="20"/>
  <c r="B22" i="17"/>
  <c r="A30" i="1"/>
  <c r="A30" i="8" s="1"/>
  <c r="B28" i="17"/>
  <c r="B29" i="20"/>
  <c r="A34" i="1"/>
  <c r="A34" i="8" s="1"/>
  <c r="B32" i="17"/>
  <c r="B33" i="20"/>
  <c r="A9" i="1"/>
  <c r="A9" i="8" s="1"/>
  <c r="B7" i="17"/>
  <c r="B8" i="20"/>
  <c r="A13" i="1"/>
  <c r="A13" i="8" s="1"/>
  <c r="B12" i="20"/>
  <c r="B11" i="17"/>
  <c r="A17" i="1"/>
  <c r="A17" i="8" s="1"/>
  <c r="B15" i="17"/>
  <c r="B16" i="20"/>
  <c r="A21" i="1"/>
  <c r="A21" i="8" s="1"/>
  <c r="B20" i="20"/>
  <c r="B19" i="17"/>
  <c r="A25" i="1"/>
  <c r="A25" i="8" s="1"/>
  <c r="B23" i="17"/>
  <c r="B24" i="20"/>
  <c r="A31" i="1"/>
  <c r="A31" i="8" s="1"/>
  <c r="B30" i="20"/>
  <c r="B29" i="17"/>
  <c r="A35" i="1"/>
  <c r="A35" i="8" s="1"/>
  <c r="B34" i="20"/>
  <c r="B33" i="17"/>
  <c r="A42" i="1"/>
  <c r="A42" i="8" s="1"/>
  <c r="B40" i="17"/>
  <c r="B41" i="20"/>
  <c r="A43" i="1"/>
  <c r="A43" i="8" s="1"/>
  <c r="B42" i="20"/>
  <c r="B41" i="17"/>
  <c r="A10" i="1"/>
  <c r="A10" i="8" s="1"/>
  <c r="B8" i="17"/>
  <c r="B9" i="20"/>
  <c r="A14" i="1"/>
  <c r="A14" i="8" s="1"/>
  <c r="B12" i="17"/>
  <c r="B13" i="20"/>
  <c r="A18" i="1"/>
  <c r="A18" i="8" s="1"/>
  <c r="B16" i="17"/>
  <c r="B17" i="20"/>
  <c r="A22" i="1"/>
  <c r="A22" i="8" s="1"/>
  <c r="B20" i="17"/>
  <c r="B21" i="20"/>
  <c r="A26" i="1"/>
  <c r="A26" i="8" s="1"/>
  <c r="B24" i="17"/>
  <c r="B25" i="20"/>
  <c r="A32" i="1"/>
  <c r="A32" i="8" s="1"/>
  <c r="B31" i="20"/>
  <c r="B30" i="17"/>
  <c r="A36" i="1"/>
  <c r="A36" i="8" s="1"/>
  <c r="B35" i="20"/>
  <c r="B34" i="17"/>
  <c r="A7" i="1"/>
  <c r="A7" i="8" s="1"/>
  <c r="B6" i="20"/>
  <c r="B5" i="17"/>
  <c r="A11" i="1"/>
  <c r="A11" i="8" s="1"/>
  <c r="B10" i="20"/>
  <c r="B9" i="17"/>
  <c r="A15" i="1"/>
  <c r="A15" i="8" s="1"/>
  <c r="B14" i="20"/>
  <c r="B13" i="17"/>
  <c r="A19" i="1"/>
  <c r="A19" i="8" s="1"/>
  <c r="B18" i="20"/>
  <c r="B17" i="17"/>
  <c r="A23" i="1"/>
  <c r="A23" i="8" s="1"/>
  <c r="B22" i="20"/>
  <c r="B21" i="17"/>
  <c r="A29" i="1"/>
  <c r="A29" i="8" s="1"/>
  <c r="B27" i="17"/>
  <c r="B28" i="20"/>
  <c r="A33" i="1"/>
  <c r="A33" i="8" s="1"/>
  <c r="B32" i="20"/>
  <c r="B31" i="17"/>
  <c r="A37" i="1"/>
  <c r="A37" i="8" s="1"/>
  <c r="B35" i="17"/>
  <c r="B36" i="20"/>
  <c r="A44" i="1"/>
  <c r="A44" i="8" s="1"/>
  <c r="B43" i="20"/>
  <c r="B42" i="17"/>
  <c r="A40" i="1"/>
  <c r="A40" i="8" s="1"/>
  <c r="B39" i="20"/>
  <c r="B38" i="17"/>
  <c r="B44" i="20"/>
  <c r="B43" i="17"/>
  <c r="A4" i="13"/>
  <c r="A5" i="5"/>
  <c r="A8" i="13"/>
  <c r="A12" i="13"/>
  <c r="A16" i="13"/>
  <c r="A20" i="13"/>
  <c r="A24" i="13"/>
  <c r="A28" i="13"/>
  <c r="A32" i="13"/>
  <c r="A38" i="13"/>
  <c r="A9" i="13"/>
  <c r="A13" i="13"/>
  <c r="A17" i="13"/>
  <c r="A21" i="13"/>
  <c r="A25" i="13"/>
  <c r="A29" i="13"/>
  <c r="A33" i="13"/>
  <c r="A39" i="13"/>
  <c r="A10" i="13"/>
  <c r="A14" i="13"/>
  <c r="A18" i="13"/>
  <c r="A22" i="13"/>
  <c r="A26" i="13"/>
  <c r="A30" i="13"/>
  <c r="A34" i="13"/>
  <c r="A40" i="13"/>
  <c r="A6" i="13"/>
  <c r="A7" i="13"/>
  <c r="A11" i="13"/>
  <c r="A15" i="13"/>
  <c r="A19" i="13"/>
  <c r="A23" i="13"/>
  <c r="A27" i="13"/>
  <c r="A31" i="13"/>
  <c r="A37" i="13"/>
  <c r="A41" i="13"/>
  <c r="A45" i="5"/>
  <c r="B4" i="23"/>
  <c r="CR7" i="6"/>
  <c r="B46" i="23"/>
  <c r="B14" i="23"/>
  <c r="B18" i="23"/>
  <c r="B30" i="23"/>
  <c r="B43" i="23"/>
  <c r="B7" i="23"/>
  <c r="B11" i="23"/>
  <c r="B15" i="23"/>
  <c r="B19" i="23"/>
  <c r="B23" i="23"/>
  <c r="B27" i="23"/>
  <c r="B31" i="23"/>
  <c r="B35" i="23"/>
  <c r="B39" i="23"/>
  <c r="B44" i="23"/>
  <c r="B10" i="23"/>
  <c r="B26" i="23"/>
  <c r="B38" i="23"/>
  <c r="B8" i="23"/>
  <c r="B12" i="23"/>
  <c r="B16" i="23"/>
  <c r="B20" i="23"/>
  <c r="B24" i="23"/>
  <c r="B28" i="23"/>
  <c r="B32" i="23"/>
  <c r="B36" i="23"/>
  <c r="B41" i="23"/>
  <c r="B45" i="23"/>
  <c r="B6" i="23"/>
  <c r="B22" i="23"/>
  <c r="B34" i="23"/>
  <c r="B5" i="23"/>
  <c r="B9" i="23"/>
  <c r="B13" i="23"/>
  <c r="B17" i="23"/>
  <c r="B21" i="23"/>
  <c r="B25" i="23"/>
  <c r="B29" i="23"/>
  <c r="B33" i="23"/>
  <c r="B37" i="23"/>
  <c r="B42" i="23"/>
  <c r="CF5" i="6"/>
  <c r="CF45" i="6" s="1"/>
  <c r="H4" i="13" l="1"/>
  <c r="H41" i="13" s="1"/>
  <c r="CR45" i="5"/>
  <c r="A45" i="1"/>
  <c r="A45" i="8" s="1"/>
  <c r="CT45" i="8" s="1"/>
  <c r="CS44" i="1" l="1"/>
  <c r="CT44" i="8"/>
  <c r="CS45" i="1"/>
  <c r="BO21" i="5" l="1"/>
  <c r="BP21" i="5"/>
  <c r="BQ21" i="5"/>
  <c r="BR21" i="5"/>
  <c r="BS21" i="5"/>
  <c r="BT21" i="5"/>
  <c r="BU21" i="5"/>
  <c r="BV21" i="5"/>
  <c r="BW21" i="5"/>
  <c r="BX21" i="5"/>
  <c r="BY21" i="5"/>
  <c r="BZ21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H41" i="5" l="1"/>
  <c r="CI41" i="5" s="1"/>
  <c r="CH40" i="5"/>
  <c r="CI40" i="5" s="1"/>
  <c r="CH39" i="5"/>
  <c r="CI39" i="5" s="1"/>
  <c r="CH38" i="5"/>
  <c r="CI38" i="5" s="1"/>
  <c r="CH37" i="5"/>
  <c r="CI37" i="5" s="1"/>
  <c r="CH36" i="5"/>
  <c r="CI36" i="5" s="1"/>
  <c r="CH35" i="5"/>
  <c r="CI35" i="5" s="1"/>
  <c r="CH34" i="5"/>
  <c r="CI34" i="5" s="1"/>
  <c r="CH33" i="5"/>
  <c r="CI33" i="5" s="1"/>
  <c r="CH32" i="5"/>
  <c r="CI32" i="5" s="1"/>
  <c r="CH31" i="5"/>
  <c r="CI31" i="5" s="1"/>
  <c r="CH30" i="5"/>
  <c r="CI30" i="5" s="1"/>
  <c r="CH29" i="5"/>
  <c r="CI29" i="5" s="1"/>
  <c r="CH28" i="5"/>
  <c r="CI28" i="5" s="1"/>
  <c r="CH27" i="5"/>
  <c r="CI27" i="5" s="1"/>
  <c r="CH26" i="5"/>
  <c r="CI26" i="5" s="1"/>
  <c r="CH25" i="5"/>
  <c r="CI25" i="5" s="1"/>
  <c r="CH24" i="5"/>
  <c r="CI24" i="5" s="1"/>
  <c r="CH23" i="5"/>
  <c r="CI23" i="5" s="1"/>
  <c r="CH22" i="5"/>
  <c r="CI22" i="5" s="1"/>
  <c r="CH21" i="5"/>
  <c r="CI21" i="5" s="1"/>
  <c r="DB38" i="8"/>
  <c r="CR44" i="6" l="1"/>
  <c r="CZ44" i="6"/>
  <c r="DB44" i="6"/>
  <c r="CW44" i="6"/>
  <c r="CU44" i="6"/>
  <c r="CZ11" i="5" l="1"/>
  <c r="BR6" i="5"/>
  <c r="BR7" i="5"/>
  <c r="BR8" i="5"/>
  <c r="BR9" i="5"/>
  <c r="BR10" i="5"/>
  <c r="BR11" i="5"/>
  <c r="BR12" i="5"/>
  <c r="BR13" i="5"/>
  <c r="BR14" i="5"/>
  <c r="BR15" i="5"/>
  <c r="BR16" i="5"/>
  <c r="BR17" i="5"/>
  <c r="BR18" i="5"/>
  <c r="BR19" i="5"/>
  <c r="BR20" i="5"/>
  <c r="BR5" i="5"/>
  <c r="BR45" i="5" l="1"/>
  <c r="D5" i="14"/>
  <c r="D6" i="14"/>
  <c r="D7" i="14"/>
  <c r="D8" i="14"/>
  <c r="D9" i="14"/>
  <c r="D10" i="14"/>
  <c r="D11" i="14"/>
  <c r="F11" i="14"/>
  <c r="D12" i="14"/>
  <c r="D13" i="14"/>
  <c r="D14" i="14"/>
  <c r="F14" i="14"/>
  <c r="D15" i="14"/>
  <c r="F15" i="14"/>
  <c r="D16" i="14"/>
  <c r="D17" i="14"/>
  <c r="D18" i="14"/>
  <c r="D19" i="14"/>
  <c r="D20" i="14"/>
  <c r="D21" i="14"/>
  <c r="D22" i="14"/>
  <c r="F22" i="14"/>
  <c r="D23" i="14"/>
  <c r="D24" i="14"/>
  <c r="D25" i="14"/>
  <c r="D26" i="14"/>
  <c r="D27" i="14"/>
  <c r="D28" i="14"/>
  <c r="F28" i="14"/>
  <c r="D29" i="14"/>
  <c r="D30" i="14"/>
  <c r="D31" i="14"/>
  <c r="D32" i="14"/>
  <c r="D33" i="14"/>
  <c r="D34" i="14"/>
  <c r="D35" i="14"/>
  <c r="D36" i="14"/>
  <c r="F36" i="14"/>
  <c r="D37" i="14"/>
  <c r="D38" i="14"/>
  <c r="D39" i="14"/>
  <c r="D40" i="14"/>
  <c r="D41" i="14"/>
  <c r="D42" i="14"/>
  <c r="D43" i="14"/>
  <c r="D44" i="14"/>
  <c r="F4" i="14"/>
  <c r="A6" i="14"/>
  <c r="A8" i="14"/>
  <c r="A9" i="14"/>
  <c r="A10" i="14"/>
  <c r="A13" i="14"/>
  <c r="A15" i="14"/>
  <c r="A16" i="14"/>
  <c r="A17" i="14"/>
  <c r="A18" i="14"/>
  <c r="A19" i="14"/>
  <c r="A20" i="14"/>
  <c r="A21" i="14"/>
  <c r="A22" i="14"/>
  <c r="A24" i="14"/>
  <c r="A26" i="14"/>
  <c r="A27" i="14"/>
  <c r="A28" i="14"/>
  <c r="A29" i="14"/>
  <c r="A30" i="14"/>
  <c r="A31" i="14"/>
  <c r="A32" i="14"/>
  <c r="A33" i="14"/>
  <c r="A35" i="14"/>
  <c r="A38" i="14"/>
  <c r="A39" i="14"/>
  <c r="A40" i="14"/>
  <c r="A42" i="14"/>
  <c r="A43" i="14"/>
  <c r="A45" i="14"/>
  <c r="A46" i="14"/>
  <c r="A47" i="14"/>
  <c r="F8" i="14"/>
  <c r="F12" i="14"/>
  <c r="F16" i="14"/>
  <c r="G16" i="14"/>
  <c r="F17" i="14"/>
  <c r="F18" i="14"/>
  <c r="E19" i="14"/>
  <c r="F26" i="14"/>
  <c r="G27" i="14"/>
  <c r="F29" i="14"/>
  <c r="F31" i="14"/>
  <c r="E32" i="14"/>
  <c r="G32" i="14"/>
  <c r="E33" i="14"/>
  <c r="F33" i="14"/>
  <c r="G35" i="14"/>
  <c r="E37" i="14"/>
  <c r="G38" i="14"/>
  <c r="E39" i="14"/>
  <c r="F39" i="14"/>
  <c r="G40" i="14"/>
  <c r="F42" i="14"/>
  <c r="F44" i="14"/>
  <c r="G39" i="14" l="1"/>
  <c r="G44" i="14"/>
  <c r="E40" i="14"/>
  <c r="E36" i="14"/>
  <c r="F25" i="14"/>
  <c r="G23" i="14"/>
  <c r="G22" i="14"/>
  <c r="G21" i="14"/>
  <c r="G19" i="14"/>
  <c r="E10" i="14"/>
  <c r="G6" i="14"/>
  <c r="G28" i="14"/>
  <c r="E25" i="14"/>
  <c r="E22" i="14"/>
  <c r="G14" i="14"/>
  <c r="E9" i="14"/>
  <c r="E7" i="14"/>
  <c r="F6" i="14"/>
  <c r="E29" i="14"/>
  <c r="G12" i="14"/>
  <c r="G11" i="14"/>
  <c r="G10" i="14"/>
  <c r="E6" i="14"/>
  <c r="E42" i="14"/>
  <c r="G37" i="14"/>
  <c r="E31" i="14"/>
  <c r="F40" i="14"/>
  <c r="E34" i="14"/>
  <c r="E28" i="14"/>
  <c r="E26" i="14"/>
  <c r="G25" i="14"/>
  <c r="E18" i="14"/>
  <c r="E17" i="14"/>
  <c r="E15" i="14"/>
  <c r="E11" i="14"/>
  <c r="F10" i="14"/>
  <c r="G8" i="14"/>
  <c r="E5" i="14"/>
  <c r="G15" i="14"/>
  <c r="E44" i="14"/>
  <c r="G43" i="14"/>
  <c r="F43" i="14"/>
  <c r="E43" i="14"/>
  <c r="G42" i="14"/>
  <c r="G41" i="14"/>
  <c r="F41" i="14"/>
  <c r="E41" i="14"/>
  <c r="E38" i="14"/>
  <c r="F38" i="14"/>
  <c r="F37" i="14"/>
  <c r="G36" i="14"/>
  <c r="F35" i="14"/>
  <c r="E35" i="14"/>
  <c r="G34" i="14"/>
  <c r="F34" i="14"/>
  <c r="G33" i="14"/>
  <c r="G31" i="14"/>
  <c r="F32" i="14"/>
  <c r="G30" i="14"/>
  <c r="F30" i="14"/>
  <c r="E30" i="14"/>
  <c r="G29" i="14"/>
  <c r="E27" i="14"/>
  <c r="F27" i="14"/>
  <c r="G26" i="14"/>
  <c r="G24" i="14"/>
  <c r="F24" i="14"/>
  <c r="E24" i="14"/>
  <c r="F23" i="14"/>
  <c r="E23" i="14"/>
  <c r="F21" i="14"/>
  <c r="E21" i="14"/>
  <c r="E20" i="14"/>
  <c r="G20" i="14"/>
  <c r="F20" i="14"/>
  <c r="F19" i="14"/>
  <c r="G18" i="14"/>
  <c r="E16" i="14"/>
  <c r="G17" i="14"/>
  <c r="E14" i="14"/>
  <c r="G13" i="14"/>
  <c r="F13" i="14"/>
  <c r="E13" i="14"/>
  <c r="E12" i="14"/>
  <c r="G9" i="14"/>
  <c r="F9" i="14"/>
  <c r="E8" i="14"/>
  <c r="G7" i="14"/>
  <c r="F7" i="14"/>
  <c r="G5" i="14"/>
  <c r="F5" i="14"/>
  <c r="CR40" i="6" l="1"/>
  <c r="CZ40" i="6" l="1"/>
  <c r="CW40" i="6"/>
  <c r="CT40" i="6"/>
  <c r="DB40" i="6" s="1"/>
  <c r="CU40" i="6"/>
  <c r="CV38" i="8"/>
  <c r="CW38" i="8"/>
  <c r="CY37" i="8"/>
  <c r="CY38" i="8"/>
  <c r="DB37" i="8"/>
  <c r="CV37" i="8"/>
  <c r="CW37" i="8"/>
  <c r="BR5" i="8"/>
  <c r="CS40" i="1" l="1"/>
  <c r="CS22" i="1"/>
  <c r="CS18" i="1"/>
  <c r="CS36" i="1"/>
  <c r="CS31" i="1"/>
  <c r="CS27" i="1"/>
  <c r="CS21" i="1"/>
  <c r="CS17" i="1"/>
  <c r="CS10" i="1"/>
  <c r="CS34" i="1"/>
  <c r="CS30" i="1"/>
  <c r="CS25" i="1"/>
  <c r="CS20" i="1"/>
  <c r="CS16" i="1"/>
  <c r="CS9" i="1"/>
  <c r="CT41" i="8"/>
  <c r="CS41" i="1"/>
  <c r="CS33" i="1"/>
  <c r="CS29" i="1"/>
  <c r="CS14" i="1"/>
  <c r="DC37" i="8"/>
  <c r="DD37" i="8" s="1"/>
  <c r="DC38" i="8"/>
  <c r="DD38" i="8" s="1"/>
  <c r="CS39" i="1" l="1"/>
  <c r="CS23" i="1"/>
  <c r="CS28" i="1"/>
  <c r="CS7" i="1"/>
  <c r="CS11" i="1"/>
  <c r="CS32" i="1"/>
  <c r="CS19" i="1"/>
  <c r="CU33" i="1"/>
  <c r="CV33" i="1"/>
  <c r="CY33" i="1"/>
  <c r="DB33" i="1"/>
  <c r="CU34" i="1"/>
  <c r="CV34" i="1"/>
  <c r="CY34" i="1"/>
  <c r="DB34" i="1"/>
  <c r="CY20" i="1" l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5" i="1"/>
  <c r="BR5" i="1"/>
  <c r="BO6" i="1" l="1"/>
  <c r="BP6" i="1"/>
  <c r="BQ6" i="1"/>
  <c r="BS6" i="1"/>
  <c r="BT6" i="1"/>
  <c r="BU6" i="1"/>
  <c r="BV6" i="1"/>
  <c r="BW6" i="1"/>
  <c r="BX6" i="1"/>
  <c r="BY6" i="1"/>
  <c r="BZ6" i="1"/>
  <c r="BO7" i="1"/>
  <c r="CH7" i="1" s="1"/>
  <c r="CI7" i="1" s="1"/>
  <c r="BP7" i="1"/>
  <c r="BQ7" i="1"/>
  <c r="BS7" i="1"/>
  <c r="BT7" i="1"/>
  <c r="BU7" i="1"/>
  <c r="BV7" i="1"/>
  <c r="BW7" i="1"/>
  <c r="BX7" i="1"/>
  <c r="BY7" i="1"/>
  <c r="BZ7" i="1"/>
  <c r="BO8" i="1"/>
  <c r="BP8" i="1"/>
  <c r="BQ8" i="1"/>
  <c r="BS8" i="1"/>
  <c r="BT8" i="1"/>
  <c r="BU8" i="1"/>
  <c r="BV8" i="1"/>
  <c r="BW8" i="1"/>
  <c r="BX8" i="1"/>
  <c r="BY8" i="1"/>
  <c r="BZ8" i="1"/>
  <c r="BO9" i="1"/>
  <c r="BP9" i="1"/>
  <c r="BQ9" i="1"/>
  <c r="BS9" i="1"/>
  <c r="BT9" i="1"/>
  <c r="BU9" i="1"/>
  <c r="BV9" i="1"/>
  <c r="BW9" i="1"/>
  <c r="BX9" i="1"/>
  <c r="BY9" i="1"/>
  <c r="BZ9" i="1"/>
  <c r="BO10" i="1"/>
  <c r="BP10" i="1"/>
  <c r="BQ10" i="1"/>
  <c r="BS10" i="1"/>
  <c r="BT10" i="1"/>
  <c r="BU10" i="1"/>
  <c r="BV10" i="1"/>
  <c r="BW10" i="1"/>
  <c r="BX10" i="1"/>
  <c r="BY10" i="1"/>
  <c r="BZ10" i="1"/>
  <c r="BO11" i="1"/>
  <c r="BP11" i="1"/>
  <c r="BQ11" i="1"/>
  <c r="BS11" i="1"/>
  <c r="BT11" i="1"/>
  <c r="BU11" i="1"/>
  <c r="BV11" i="1"/>
  <c r="BW11" i="1"/>
  <c r="BX11" i="1"/>
  <c r="BY11" i="1"/>
  <c r="BZ11" i="1"/>
  <c r="BO12" i="1"/>
  <c r="BP12" i="1"/>
  <c r="BQ12" i="1"/>
  <c r="BS12" i="1"/>
  <c r="BT12" i="1"/>
  <c r="BU12" i="1"/>
  <c r="BV12" i="1"/>
  <c r="BW12" i="1"/>
  <c r="BX12" i="1"/>
  <c r="BY12" i="1"/>
  <c r="BZ12" i="1"/>
  <c r="BO13" i="1"/>
  <c r="BP13" i="1"/>
  <c r="BQ13" i="1"/>
  <c r="BS13" i="1"/>
  <c r="BT13" i="1"/>
  <c r="BU13" i="1"/>
  <c r="BV13" i="1"/>
  <c r="BW13" i="1"/>
  <c r="BX13" i="1"/>
  <c r="BY13" i="1"/>
  <c r="BZ13" i="1"/>
  <c r="BO14" i="1"/>
  <c r="BP14" i="1"/>
  <c r="BQ14" i="1"/>
  <c r="BS14" i="1"/>
  <c r="BT14" i="1"/>
  <c r="BU14" i="1"/>
  <c r="BV14" i="1"/>
  <c r="BW14" i="1"/>
  <c r="BX14" i="1"/>
  <c r="BY14" i="1"/>
  <c r="BZ14" i="1"/>
  <c r="BO15" i="1"/>
  <c r="CH15" i="1" s="1"/>
  <c r="CI15" i="1" s="1"/>
  <c r="BP15" i="1"/>
  <c r="BQ15" i="1"/>
  <c r="BS15" i="1"/>
  <c r="BT15" i="1"/>
  <c r="BU15" i="1"/>
  <c r="BV15" i="1"/>
  <c r="BW15" i="1"/>
  <c r="BX15" i="1"/>
  <c r="BY15" i="1"/>
  <c r="BZ15" i="1"/>
  <c r="BO16" i="1"/>
  <c r="BP16" i="1"/>
  <c r="BQ16" i="1"/>
  <c r="BS16" i="1"/>
  <c r="BT16" i="1"/>
  <c r="BU16" i="1"/>
  <c r="BV16" i="1"/>
  <c r="BW16" i="1"/>
  <c r="BX16" i="1"/>
  <c r="BY16" i="1"/>
  <c r="BZ16" i="1"/>
  <c r="BO17" i="1"/>
  <c r="BP17" i="1"/>
  <c r="BQ17" i="1"/>
  <c r="BS17" i="1"/>
  <c r="BT17" i="1"/>
  <c r="BU17" i="1"/>
  <c r="BV17" i="1"/>
  <c r="BW17" i="1"/>
  <c r="BX17" i="1"/>
  <c r="BY17" i="1"/>
  <c r="BZ17" i="1"/>
  <c r="BO18" i="1"/>
  <c r="BP18" i="1"/>
  <c r="BQ18" i="1"/>
  <c r="BS18" i="1"/>
  <c r="BT18" i="1"/>
  <c r="BU18" i="1"/>
  <c r="BV18" i="1"/>
  <c r="BW18" i="1"/>
  <c r="BX18" i="1"/>
  <c r="BY18" i="1"/>
  <c r="BZ18" i="1"/>
  <c r="BO19" i="1"/>
  <c r="BP19" i="1"/>
  <c r="BQ19" i="1"/>
  <c r="BS19" i="1"/>
  <c r="BT19" i="1"/>
  <c r="BU19" i="1"/>
  <c r="BV19" i="1"/>
  <c r="BW19" i="1"/>
  <c r="BX19" i="1"/>
  <c r="BY19" i="1"/>
  <c r="BZ19" i="1"/>
  <c r="BO20" i="1"/>
  <c r="BP20" i="1"/>
  <c r="BQ20" i="1"/>
  <c r="BS20" i="1"/>
  <c r="BT20" i="1"/>
  <c r="BU20" i="1"/>
  <c r="BV20" i="1"/>
  <c r="BW20" i="1"/>
  <c r="BX20" i="1"/>
  <c r="BY20" i="1"/>
  <c r="BZ20" i="1"/>
  <c r="BO21" i="1"/>
  <c r="BP21" i="1"/>
  <c r="BQ21" i="1"/>
  <c r="BS21" i="1"/>
  <c r="BT21" i="1"/>
  <c r="BU21" i="1"/>
  <c r="BV21" i="1"/>
  <c r="BW21" i="1"/>
  <c r="BX21" i="1"/>
  <c r="BY21" i="1"/>
  <c r="BZ21" i="1"/>
  <c r="BO22" i="1"/>
  <c r="BP22" i="1"/>
  <c r="BQ22" i="1"/>
  <c r="BS22" i="1"/>
  <c r="BT22" i="1"/>
  <c r="BU22" i="1"/>
  <c r="BV22" i="1"/>
  <c r="BW22" i="1"/>
  <c r="BX22" i="1"/>
  <c r="BY22" i="1"/>
  <c r="BZ22" i="1"/>
  <c r="BO23" i="1"/>
  <c r="CH23" i="1" s="1"/>
  <c r="CI23" i="1" s="1"/>
  <c r="BP23" i="1"/>
  <c r="BQ23" i="1"/>
  <c r="BS23" i="1"/>
  <c r="BT23" i="1"/>
  <c r="BU23" i="1"/>
  <c r="BV23" i="1"/>
  <c r="BW23" i="1"/>
  <c r="BX23" i="1"/>
  <c r="BY23" i="1"/>
  <c r="BZ23" i="1"/>
  <c r="BO24" i="1"/>
  <c r="BP24" i="1"/>
  <c r="BQ24" i="1"/>
  <c r="BS24" i="1"/>
  <c r="BT24" i="1"/>
  <c r="BU24" i="1"/>
  <c r="BV24" i="1"/>
  <c r="BW24" i="1"/>
  <c r="BX24" i="1"/>
  <c r="BY24" i="1"/>
  <c r="BZ24" i="1"/>
  <c r="BO25" i="1"/>
  <c r="BP25" i="1"/>
  <c r="BQ25" i="1"/>
  <c r="BS25" i="1"/>
  <c r="BT25" i="1"/>
  <c r="BU25" i="1"/>
  <c r="BV25" i="1"/>
  <c r="BW25" i="1"/>
  <c r="BX25" i="1"/>
  <c r="BY25" i="1"/>
  <c r="BZ25" i="1"/>
  <c r="BO26" i="1"/>
  <c r="BP26" i="1"/>
  <c r="BQ26" i="1"/>
  <c r="BS26" i="1"/>
  <c r="BT26" i="1"/>
  <c r="BU26" i="1"/>
  <c r="BV26" i="1"/>
  <c r="BW26" i="1"/>
  <c r="BX26" i="1"/>
  <c r="BY26" i="1"/>
  <c r="BZ26" i="1"/>
  <c r="BO27" i="1"/>
  <c r="CH27" i="1" s="1"/>
  <c r="CI27" i="1" s="1"/>
  <c r="BP27" i="1"/>
  <c r="BQ27" i="1"/>
  <c r="BS27" i="1"/>
  <c r="BT27" i="1"/>
  <c r="BU27" i="1"/>
  <c r="BV27" i="1"/>
  <c r="BW27" i="1"/>
  <c r="BX27" i="1"/>
  <c r="BY27" i="1"/>
  <c r="BZ27" i="1"/>
  <c r="BO28" i="1"/>
  <c r="BP28" i="1"/>
  <c r="BQ28" i="1"/>
  <c r="BS28" i="1"/>
  <c r="BT28" i="1"/>
  <c r="BU28" i="1"/>
  <c r="BV28" i="1"/>
  <c r="BW28" i="1"/>
  <c r="BX28" i="1"/>
  <c r="BY28" i="1"/>
  <c r="BZ28" i="1"/>
  <c r="BO29" i="1"/>
  <c r="BP29" i="1"/>
  <c r="BQ29" i="1"/>
  <c r="BS29" i="1"/>
  <c r="BT29" i="1"/>
  <c r="BU29" i="1"/>
  <c r="BV29" i="1"/>
  <c r="BW29" i="1"/>
  <c r="BX29" i="1"/>
  <c r="BY29" i="1"/>
  <c r="BZ29" i="1"/>
  <c r="BO30" i="1"/>
  <c r="BP30" i="1"/>
  <c r="BQ30" i="1"/>
  <c r="BS30" i="1"/>
  <c r="BT30" i="1"/>
  <c r="BU30" i="1"/>
  <c r="BV30" i="1"/>
  <c r="BW30" i="1"/>
  <c r="BX30" i="1"/>
  <c r="BY30" i="1"/>
  <c r="BZ30" i="1"/>
  <c r="BO31" i="1"/>
  <c r="CH31" i="1" s="1"/>
  <c r="CI31" i="1" s="1"/>
  <c r="BP31" i="1"/>
  <c r="BQ31" i="1"/>
  <c r="BS31" i="1"/>
  <c r="BT31" i="1"/>
  <c r="BU31" i="1"/>
  <c r="BV31" i="1"/>
  <c r="BW31" i="1"/>
  <c r="BX31" i="1"/>
  <c r="BY31" i="1"/>
  <c r="BZ31" i="1"/>
  <c r="BO32" i="1"/>
  <c r="BP32" i="1"/>
  <c r="BQ32" i="1"/>
  <c r="BS32" i="1"/>
  <c r="BT32" i="1"/>
  <c r="BU32" i="1"/>
  <c r="BV32" i="1"/>
  <c r="BW32" i="1"/>
  <c r="BX32" i="1"/>
  <c r="BY32" i="1"/>
  <c r="BZ32" i="1"/>
  <c r="BO33" i="1"/>
  <c r="BP33" i="1"/>
  <c r="BQ33" i="1"/>
  <c r="BS33" i="1"/>
  <c r="BT33" i="1"/>
  <c r="BU33" i="1"/>
  <c r="BV33" i="1"/>
  <c r="BW33" i="1"/>
  <c r="BX33" i="1"/>
  <c r="BY33" i="1"/>
  <c r="BZ33" i="1"/>
  <c r="BO34" i="1"/>
  <c r="BP34" i="1"/>
  <c r="BQ34" i="1"/>
  <c r="BS34" i="1"/>
  <c r="BT34" i="1"/>
  <c r="BU34" i="1"/>
  <c r="BV34" i="1"/>
  <c r="BW34" i="1"/>
  <c r="BX34" i="1"/>
  <c r="BY34" i="1"/>
  <c r="BZ34" i="1"/>
  <c r="BO35" i="1"/>
  <c r="BP35" i="1"/>
  <c r="BQ35" i="1"/>
  <c r="BS35" i="1"/>
  <c r="BT35" i="1"/>
  <c r="BU35" i="1"/>
  <c r="BV35" i="1"/>
  <c r="BW35" i="1"/>
  <c r="BX35" i="1"/>
  <c r="BY35" i="1"/>
  <c r="BZ35" i="1"/>
  <c r="BO36" i="1"/>
  <c r="BP36" i="1"/>
  <c r="BQ36" i="1"/>
  <c r="BS36" i="1"/>
  <c r="BT36" i="1"/>
  <c r="BU36" i="1"/>
  <c r="BV36" i="1"/>
  <c r="BW36" i="1"/>
  <c r="BX36" i="1"/>
  <c r="BY36" i="1"/>
  <c r="BZ36" i="1"/>
  <c r="BO37" i="1"/>
  <c r="BP37" i="1"/>
  <c r="BQ37" i="1"/>
  <c r="BS37" i="1"/>
  <c r="BT37" i="1"/>
  <c r="BU37" i="1"/>
  <c r="BV37" i="1"/>
  <c r="BW37" i="1"/>
  <c r="BX37" i="1"/>
  <c r="BY37" i="1"/>
  <c r="BZ37" i="1"/>
  <c r="BO38" i="1"/>
  <c r="BP38" i="1"/>
  <c r="BQ38" i="1"/>
  <c r="BS38" i="1"/>
  <c r="BT38" i="1"/>
  <c r="BU38" i="1"/>
  <c r="BV38" i="1"/>
  <c r="BW38" i="1"/>
  <c r="BX38" i="1"/>
  <c r="BY38" i="1"/>
  <c r="BZ38" i="1"/>
  <c r="BO39" i="1"/>
  <c r="CH39" i="1" s="1"/>
  <c r="CI39" i="1" s="1"/>
  <c r="BP39" i="1"/>
  <c r="BQ39" i="1"/>
  <c r="BS39" i="1"/>
  <c r="BT39" i="1"/>
  <c r="BU39" i="1"/>
  <c r="BV39" i="1"/>
  <c r="BW39" i="1"/>
  <c r="BX39" i="1"/>
  <c r="BY39" i="1"/>
  <c r="BZ39" i="1"/>
  <c r="BO40" i="1"/>
  <c r="BP40" i="1"/>
  <c r="BQ40" i="1"/>
  <c r="BS40" i="1"/>
  <c r="BT40" i="1"/>
  <c r="BU40" i="1"/>
  <c r="BV40" i="1"/>
  <c r="BW40" i="1"/>
  <c r="BX40" i="1"/>
  <c r="BY40" i="1"/>
  <c r="BZ40" i="1"/>
  <c r="BO41" i="1"/>
  <c r="BP41" i="1"/>
  <c r="BQ41" i="1"/>
  <c r="BS41" i="1"/>
  <c r="BT41" i="1"/>
  <c r="BU41" i="1"/>
  <c r="BV41" i="1"/>
  <c r="BW41" i="1"/>
  <c r="BX41" i="1"/>
  <c r="BY41" i="1"/>
  <c r="BZ41" i="1"/>
  <c r="BO45" i="1"/>
  <c r="BP45" i="1"/>
  <c r="BQ45" i="1"/>
  <c r="BS45" i="1"/>
  <c r="BT45" i="1"/>
  <c r="BU45" i="1"/>
  <c r="BV45" i="1"/>
  <c r="BW45" i="1"/>
  <c r="BX45" i="1"/>
  <c r="BY45" i="1"/>
  <c r="BZ45" i="1"/>
  <c r="CH35" i="1" l="1"/>
  <c r="CI35" i="1" s="1"/>
  <c r="CH19" i="1"/>
  <c r="CI19" i="1" s="1"/>
  <c r="CH11" i="1"/>
  <c r="CI11" i="1" s="1"/>
  <c r="CH36" i="1"/>
  <c r="CI36" i="1" s="1"/>
  <c r="CH28" i="1"/>
  <c r="CI28" i="1" s="1"/>
  <c r="CH24" i="1"/>
  <c r="CI24" i="1" s="1"/>
  <c r="CH20" i="1"/>
  <c r="CI20" i="1" s="1"/>
  <c r="CH16" i="1"/>
  <c r="CI16" i="1" s="1"/>
  <c r="CH41" i="1"/>
  <c r="CI41" i="1" s="1"/>
  <c r="CH37" i="1"/>
  <c r="CI37" i="1" s="1"/>
  <c r="CH33" i="1"/>
  <c r="CI33" i="1" s="1"/>
  <c r="DD33" i="1" s="1"/>
  <c r="DE33" i="1" s="1"/>
  <c r="CH29" i="1"/>
  <c r="CI29" i="1" s="1"/>
  <c r="CH25" i="1"/>
  <c r="CI25" i="1" s="1"/>
  <c r="CH21" i="1"/>
  <c r="CI21" i="1" s="1"/>
  <c r="CH17" i="1"/>
  <c r="CI17" i="1" s="1"/>
  <c r="CH13" i="1"/>
  <c r="CI13" i="1" s="1"/>
  <c r="CH9" i="1"/>
  <c r="CI9" i="1" s="1"/>
  <c r="CH40" i="1"/>
  <c r="CI40" i="1" s="1"/>
  <c r="CH32" i="1"/>
  <c r="CI32" i="1" s="1"/>
  <c r="CH12" i="1"/>
  <c r="CI12" i="1" s="1"/>
  <c r="CH8" i="1"/>
  <c r="CI8" i="1" s="1"/>
  <c r="CH45" i="1"/>
  <c r="CI45" i="1" s="1"/>
  <c r="CH38" i="1"/>
  <c r="CI38" i="1" s="1"/>
  <c r="CH34" i="1"/>
  <c r="CI34" i="1" s="1"/>
  <c r="CH30" i="1"/>
  <c r="CI30" i="1" s="1"/>
  <c r="CH26" i="1"/>
  <c r="CI26" i="1" s="1"/>
  <c r="CH22" i="1"/>
  <c r="CI22" i="1" s="1"/>
  <c r="CH18" i="1"/>
  <c r="CI18" i="1" s="1"/>
  <c r="CH14" i="1"/>
  <c r="CI14" i="1" s="1"/>
  <c r="CH10" i="1"/>
  <c r="CI10" i="1" s="1"/>
  <c r="CH6" i="1"/>
  <c r="CI6" i="1" s="1"/>
  <c r="DD34" i="1"/>
  <c r="DE34" i="1" s="1"/>
  <c r="CU33" i="5" l="1"/>
  <c r="CZ30" i="5" l="1"/>
  <c r="CZ31" i="5"/>
  <c r="CZ32" i="5"/>
  <c r="CZ33" i="5"/>
  <c r="CZ34" i="5"/>
  <c r="CZ35" i="5"/>
  <c r="CZ36" i="5"/>
  <c r="CZ37" i="5"/>
  <c r="CZ38" i="5"/>
  <c r="CZ39" i="5"/>
  <c r="CZ40" i="5"/>
  <c r="CZ41" i="5"/>
  <c r="CZ45" i="5"/>
  <c r="A4" i="1" l="1"/>
  <c r="BO5" i="1"/>
  <c r="BP5" i="1"/>
  <c r="BQ5" i="1"/>
  <c r="BS5" i="1"/>
  <c r="BT5" i="1"/>
  <c r="BU5" i="1"/>
  <c r="BV5" i="1"/>
  <c r="BW5" i="1"/>
  <c r="BX5" i="1"/>
  <c r="BY5" i="1"/>
  <c r="BZ5" i="1"/>
  <c r="CC5" i="1"/>
  <c r="CE5" i="1"/>
  <c r="CG5" i="1"/>
  <c r="CT5" i="1"/>
  <c r="CU5" i="1"/>
  <c r="CV5" i="1"/>
  <c r="CY5" i="1"/>
  <c r="DB5" i="1"/>
  <c r="CU6" i="1"/>
  <c r="CV6" i="1"/>
  <c r="CY6" i="1"/>
  <c r="DB6" i="1"/>
  <c r="CU7" i="1"/>
  <c r="CV7" i="1"/>
  <c r="CY7" i="1"/>
  <c r="DB7" i="1"/>
  <c r="CU8" i="1"/>
  <c r="CV8" i="1"/>
  <c r="CY8" i="1"/>
  <c r="DB8" i="1"/>
  <c r="CU9" i="1"/>
  <c r="CV9" i="1"/>
  <c r="CY9" i="1"/>
  <c r="DB9" i="1"/>
  <c r="CL10" i="1"/>
  <c r="CM10" i="1"/>
  <c r="CO10" i="1"/>
  <c r="CU10" i="1"/>
  <c r="CV10" i="1"/>
  <c r="CY10" i="1"/>
  <c r="DB10" i="1"/>
  <c r="CU11" i="1"/>
  <c r="CV11" i="1"/>
  <c r="CY11" i="1"/>
  <c r="DB11" i="1"/>
  <c r="CM12" i="1"/>
  <c r="CO12" i="1"/>
  <c r="CU12" i="1"/>
  <c r="CV12" i="1"/>
  <c r="CY12" i="1"/>
  <c r="DB12" i="1"/>
  <c r="CU13" i="1"/>
  <c r="CV13" i="1"/>
  <c r="CY13" i="1"/>
  <c r="DB13" i="1"/>
  <c r="CU14" i="1"/>
  <c r="CV14" i="1"/>
  <c r="CY14" i="1"/>
  <c r="DB14" i="1"/>
  <c r="CU15" i="1"/>
  <c r="CV15" i="1"/>
  <c r="CY15" i="1"/>
  <c r="DB15" i="1"/>
  <c r="CU16" i="1"/>
  <c r="CV16" i="1"/>
  <c r="CY16" i="1"/>
  <c r="DB16" i="1"/>
  <c r="CU17" i="1"/>
  <c r="CV17" i="1"/>
  <c r="CY17" i="1"/>
  <c r="DB17" i="1"/>
  <c r="CU18" i="1"/>
  <c r="CV18" i="1"/>
  <c r="CY18" i="1"/>
  <c r="DB18" i="1"/>
  <c r="CU19" i="1"/>
  <c r="CV19" i="1"/>
  <c r="CY19" i="1"/>
  <c r="DB19" i="1"/>
  <c r="CU20" i="1"/>
  <c r="CV20" i="1"/>
  <c r="DB20" i="1"/>
  <c r="CM21" i="1"/>
  <c r="CO21" i="1"/>
  <c r="CU21" i="1"/>
  <c r="CV21" i="1"/>
  <c r="CY21" i="1"/>
  <c r="DB21" i="1"/>
  <c r="CM22" i="1"/>
  <c r="CO22" i="1"/>
  <c r="CU22" i="1"/>
  <c r="CV22" i="1"/>
  <c r="CY22" i="1"/>
  <c r="DB22" i="1"/>
  <c r="CU23" i="1"/>
  <c r="CV23" i="1"/>
  <c r="CY23" i="1"/>
  <c r="DB23" i="1"/>
  <c r="CU24" i="1"/>
  <c r="CV24" i="1"/>
  <c r="CY24" i="1"/>
  <c r="DB24" i="1"/>
  <c r="CL25" i="1"/>
  <c r="CM25" i="1"/>
  <c r="CO25" i="1"/>
  <c r="CU25" i="1"/>
  <c r="CV25" i="1"/>
  <c r="CY25" i="1"/>
  <c r="DB25" i="1"/>
  <c r="CU26" i="1"/>
  <c r="CV26" i="1"/>
  <c r="CY26" i="1"/>
  <c r="DB26" i="1"/>
  <c r="CU27" i="1"/>
  <c r="CV27" i="1"/>
  <c r="CY27" i="1"/>
  <c r="DB27" i="1"/>
  <c r="CU28" i="1"/>
  <c r="CV28" i="1"/>
  <c r="CY28" i="1"/>
  <c r="DB28" i="1"/>
  <c r="CU29" i="1"/>
  <c r="CV29" i="1"/>
  <c r="CY29" i="1"/>
  <c r="DB29" i="1"/>
  <c r="CU30" i="1"/>
  <c r="CV30" i="1"/>
  <c r="CY30" i="1"/>
  <c r="DB30" i="1"/>
  <c r="CM31" i="1"/>
  <c r="CO31" i="1"/>
  <c r="CU31" i="1"/>
  <c r="CV31" i="1"/>
  <c r="CY31" i="1"/>
  <c r="DB31" i="1"/>
  <c r="CU32" i="1"/>
  <c r="CV32" i="1"/>
  <c r="CY32" i="1"/>
  <c r="DB32" i="1"/>
  <c r="CK35" i="1"/>
  <c r="CU35" i="1"/>
  <c r="CV35" i="1"/>
  <c r="CY35" i="1"/>
  <c r="DB35" i="1"/>
  <c r="CL36" i="1"/>
  <c r="CU36" i="1"/>
  <c r="CV36" i="1"/>
  <c r="CY36" i="1"/>
  <c r="DB36" i="1"/>
  <c r="CU37" i="1"/>
  <c r="CV37" i="1"/>
  <c r="CY37" i="1"/>
  <c r="DB37" i="1"/>
  <c r="CU38" i="1"/>
  <c r="CV38" i="1"/>
  <c r="CY38" i="1"/>
  <c r="DB38" i="1"/>
  <c r="CU39" i="1"/>
  <c r="CV39" i="1"/>
  <c r="CY39" i="1"/>
  <c r="DB39" i="1"/>
  <c r="CM40" i="1"/>
  <c r="CO40" i="1"/>
  <c r="CU40" i="1"/>
  <c r="CV40" i="1"/>
  <c r="CY40" i="1"/>
  <c r="DB40" i="1"/>
  <c r="CL41" i="1"/>
  <c r="CM41" i="1"/>
  <c r="CO41" i="1"/>
  <c r="CU41" i="1"/>
  <c r="CV41" i="1"/>
  <c r="CY41" i="1"/>
  <c r="DB41" i="1"/>
  <c r="CL45" i="1"/>
  <c r="CU45" i="1"/>
  <c r="CV45" i="1"/>
  <c r="CY45" i="1"/>
  <c r="DB45" i="1"/>
  <c r="CT5" i="6"/>
  <c r="DB5" i="6" s="1"/>
  <c r="CU5" i="6"/>
  <c r="CW5" i="6"/>
  <c r="CZ5" i="6"/>
  <c r="CL7" i="6"/>
  <c r="CM7" i="6"/>
  <c r="CO7" i="6"/>
  <c r="CT7" i="6"/>
  <c r="DB7" i="6" s="1"/>
  <c r="CU7" i="6"/>
  <c r="CW7" i="6"/>
  <c r="CZ7" i="6"/>
  <c r="CR8" i="6"/>
  <c r="CT8" i="6"/>
  <c r="DB8" i="6" s="1"/>
  <c r="CU8" i="6"/>
  <c r="CW8" i="6"/>
  <c r="CZ8" i="6"/>
  <c r="CT9" i="6"/>
  <c r="DB9" i="6" s="1"/>
  <c r="CU9" i="6"/>
  <c r="CW9" i="6"/>
  <c r="CZ9" i="6"/>
  <c r="CR10" i="6"/>
  <c r="CT10" i="6"/>
  <c r="DB10" i="6" s="1"/>
  <c r="CU10" i="6"/>
  <c r="CW10" i="6"/>
  <c r="CZ10" i="6"/>
  <c r="CR11" i="6"/>
  <c r="CT11" i="6"/>
  <c r="DB11" i="6" s="1"/>
  <c r="CU11" i="6"/>
  <c r="CW11" i="6"/>
  <c r="CZ11" i="6"/>
  <c r="CR12" i="6"/>
  <c r="CT12" i="6"/>
  <c r="DB12" i="6" s="1"/>
  <c r="CU12" i="6"/>
  <c r="CW12" i="6"/>
  <c r="CZ12" i="6"/>
  <c r="CT13" i="6"/>
  <c r="DB13" i="6" s="1"/>
  <c r="CU13" i="6"/>
  <c r="CW13" i="6"/>
  <c r="CZ13" i="6"/>
  <c r="CR14" i="6"/>
  <c r="CT14" i="6"/>
  <c r="DB14" i="6" s="1"/>
  <c r="CU14" i="6"/>
  <c r="CW14" i="6"/>
  <c r="CZ14" i="6"/>
  <c r="CT15" i="6"/>
  <c r="DB15" i="6" s="1"/>
  <c r="CU15" i="6"/>
  <c r="CW15" i="6"/>
  <c r="CZ15" i="6"/>
  <c r="CL16" i="6"/>
  <c r="CM16" i="6"/>
  <c r="CO16" i="6"/>
  <c r="CR16" i="6"/>
  <c r="CT16" i="6"/>
  <c r="DB16" i="6" s="1"/>
  <c r="CU16" i="6"/>
  <c r="CW16" i="6"/>
  <c r="CZ16" i="6"/>
  <c r="CR17" i="6"/>
  <c r="CT17" i="6"/>
  <c r="DB17" i="6" s="1"/>
  <c r="CU17" i="6"/>
  <c r="CW17" i="6"/>
  <c r="CZ17" i="6"/>
  <c r="CR18" i="6"/>
  <c r="CT18" i="6"/>
  <c r="DB18" i="6" s="1"/>
  <c r="CU18" i="6"/>
  <c r="CW18" i="6"/>
  <c r="CZ18" i="6"/>
  <c r="CR19" i="6"/>
  <c r="CT19" i="6"/>
  <c r="DB19" i="6" s="1"/>
  <c r="CU19" i="6"/>
  <c r="CW19" i="6"/>
  <c r="CZ19" i="6"/>
  <c r="CL20" i="6"/>
  <c r="CM20" i="6"/>
  <c r="CO20" i="6"/>
  <c r="CR20" i="6"/>
  <c r="CT20" i="6"/>
  <c r="DB20" i="6" s="1"/>
  <c r="CU20" i="6"/>
  <c r="CW20" i="6"/>
  <c r="CZ20" i="6"/>
  <c r="CL21" i="6"/>
  <c r="CM21" i="6"/>
  <c r="CO21" i="6"/>
  <c r="CR21" i="6"/>
  <c r="CT21" i="6"/>
  <c r="DB21" i="6" s="1"/>
  <c r="CU21" i="6"/>
  <c r="CZ21" i="6"/>
  <c r="CR22" i="6"/>
  <c r="CT22" i="6"/>
  <c r="CU22" i="6"/>
  <c r="CW22" i="6"/>
  <c r="CZ22" i="6"/>
  <c r="DB22" i="6"/>
  <c r="CR23" i="6"/>
  <c r="CT23" i="6"/>
  <c r="DB23" i="6" s="1"/>
  <c r="CU23" i="6"/>
  <c r="CW23" i="6"/>
  <c r="CZ23" i="6"/>
  <c r="CT24" i="6"/>
  <c r="DB24" i="6" s="1"/>
  <c r="CU24" i="6"/>
  <c r="CW24" i="6"/>
  <c r="CZ24" i="6"/>
  <c r="CR25" i="6"/>
  <c r="CT25" i="6"/>
  <c r="CU25" i="6"/>
  <c r="CW25" i="6"/>
  <c r="CZ25" i="6"/>
  <c r="DB25" i="6"/>
  <c r="CR24" i="6"/>
  <c r="CL26" i="6"/>
  <c r="CM26" i="6"/>
  <c r="CO26" i="6"/>
  <c r="CR26" i="6"/>
  <c r="CT26" i="6"/>
  <c r="DB26" i="6" s="1"/>
  <c r="CU26" i="6"/>
  <c r="CW26" i="6"/>
  <c r="CZ26" i="6"/>
  <c r="CR29" i="6"/>
  <c r="CT29" i="6"/>
  <c r="DB29" i="6" s="1"/>
  <c r="CU29" i="6"/>
  <c r="CW29" i="6"/>
  <c r="CZ29" i="6"/>
  <c r="CR30" i="6"/>
  <c r="CT30" i="6"/>
  <c r="DB30" i="6" s="1"/>
  <c r="CU30" i="6"/>
  <c r="CW30" i="6"/>
  <c r="CZ30" i="6"/>
  <c r="CR31" i="6"/>
  <c r="CT31" i="6"/>
  <c r="DB31" i="6" s="1"/>
  <c r="CU31" i="6"/>
  <c r="CW31" i="6"/>
  <c r="CZ31" i="6"/>
  <c r="CR32" i="6"/>
  <c r="CT32" i="6"/>
  <c r="DB32" i="6" s="1"/>
  <c r="CU32" i="6"/>
  <c r="CW32" i="6"/>
  <c r="CZ32" i="6"/>
  <c r="CR33" i="6"/>
  <c r="CT33" i="6"/>
  <c r="DB33" i="6" s="1"/>
  <c r="CU33" i="6"/>
  <c r="CW33" i="6"/>
  <c r="CZ33" i="6"/>
  <c r="CT34" i="6"/>
  <c r="DB34" i="6" s="1"/>
  <c r="CU34" i="6"/>
  <c r="CW34" i="6"/>
  <c r="CZ34" i="6"/>
  <c r="CR35" i="6"/>
  <c r="CT35" i="6"/>
  <c r="DB35" i="6" s="1"/>
  <c r="CU35" i="6"/>
  <c r="CW35" i="6"/>
  <c r="CZ35" i="6"/>
  <c r="CT36" i="6"/>
  <c r="DB36" i="6" s="1"/>
  <c r="CU36" i="6"/>
  <c r="CW36" i="6"/>
  <c r="CZ36" i="6"/>
  <c r="CR37" i="6"/>
  <c r="CT37" i="6"/>
  <c r="DB37" i="6" s="1"/>
  <c r="CU37" i="6"/>
  <c r="CW37" i="6"/>
  <c r="CZ37" i="6"/>
  <c r="CR42" i="6"/>
  <c r="CT42" i="6"/>
  <c r="DB42" i="6" s="1"/>
  <c r="CU42" i="6"/>
  <c r="CW42" i="6"/>
  <c r="CZ42" i="6"/>
  <c r="AX5" i="6"/>
  <c r="AX45" i="6" s="1"/>
  <c r="AY5" i="6"/>
  <c r="AY45" i="6" s="1"/>
  <c r="AZ5" i="6"/>
  <c r="AZ45" i="6" s="1"/>
  <c r="BA5" i="6"/>
  <c r="BA45" i="6" s="1"/>
  <c r="BB5" i="6"/>
  <c r="BB45" i="6" s="1"/>
  <c r="BC5" i="6"/>
  <c r="BC45" i="6" s="1"/>
  <c r="BD5" i="6"/>
  <c r="BD45" i="6" s="1"/>
  <c r="BE5" i="6"/>
  <c r="BE45" i="6" s="1"/>
  <c r="BF5" i="6"/>
  <c r="BF45" i="6" s="1"/>
  <c r="BG5" i="6"/>
  <c r="BG45" i="6" s="1"/>
  <c r="BH5" i="6"/>
  <c r="BH45" i="6" s="1"/>
  <c r="BK5" i="6"/>
  <c r="BK45" i="6" s="1"/>
  <c r="BL5" i="6"/>
  <c r="BL45" i="6" s="1"/>
  <c r="BM5" i="6"/>
  <c r="BM45" i="6" s="1"/>
  <c r="BO5" i="6"/>
  <c r="BO45" i="6" s="1"/>
  <c r="BP5" i="6"/>
  <c r="BP45" i="6" s="1"/>
  <c r="BQ5" i="6"/>
  <c r="BQ45" i="6" s="1"/>
  <c r="BR5" i="6"/>
  <c r="BR45" i="6" s="1"/>
  <c r="BS5" i="6"/>
  <c r="BS45" i="6" s="1"/>
  <c r="BT5" i="6"/>
  <c r="BT45" i="6" s="1"/>
  <c r="BU5" i="6"/>
  <c r="BU45" i="6" s="1"/>
  <c r="BV5" i="6"/>
  <c r="BV45" i="6" s="1"/>
  <c r="BX5" i="6"/>
  <c r="BX45" i="6" s="1"/>
  <c r="BZ5" i="6"/>
  <c r="BZ45" i="6" s="1"/>
  <c r="CT43" i="6"/>
  <c r="DB43" i="6" s="1"/>
  <c r="CU43" i="6"/>
  <c r="CW43" i="6"/>
  <c r="CZ43" i="6"/>
  <c r="A7" i="14" l="1"/>
  <c r="CR9" i="6"/>
  <c r="A4" i="14"/>
  <c r="CR5" i="6"/>
  <c r="A14" i="14"/>
  <c r="A12" i="14"/>
  <c r="CR13" i="6"/>
  <c r="CR15" i="6"/>
  <c r="A11" i="14"/>
  <c r="A23" i="14"/>
  <c r="CN10" i="1"/>
  <c r="CP10" i="1" s="1"/>
  <c r="CN20" i="6"/>
  <c r="CP20" i="6" s="1"/>
  <c r="CR34" i="6"/>
  <c r="A44" i="14"/>
  <c r="A25" i="14"/>
  <c r="A37" i="14"/>
  <c r="A5" i="14"/>
  <c r="A36" i="14"/>
  <c r="A34" i="14"/>
  <c r="A41" i="14"/>
  <c r="G4" i="14"/>
  <c r="E4" i="14"/>
  <c r="CN26" i="6"/>
  <c r="CR43" i="6"/>
  <c r="CT33" i="8"/>
  <c r="CT29" i="8"/>
  <c r="CN41" i="1"/>
  <c r="CP41" i="1" s="1"/>
  <c r="CN21" i="6"/>
  <c r="CP21" i="6" s="1"/>
  <c r="CT19" i="8"/>
  <c r="CN16" i="6"/>
  <c r="CP16" i="6" s="1"/>
  <c r="CT28" i="8"/>
  <c r="CT17" i="8"/>
  <c r="CT40" i="8"/>
  <c r="CT31" i="8"/>
  <c r="CT20" i="8"/>
  <c r="CT16" i="8"/>
  <c r="CT39" i="8"/>
  <c r="CT30" i="8"/>
  <c r="CT32" i="8"/>
  <c r="CT21" i="8"/>
  <c r="CT10" i="8"/>
  <c r="CT27" i="8"/>
  <c r="CT22" i="8"/>
  <c r="CT18" i="8"/>
  <c r="CT11" i="8"/>
  <c r="DD10" i="1"/>
  <c r="DE10" i="1" s="1"/>
  <c r="DD8" i="1"/>
  <c r="DE8" i="1" s="1"/>
  <c r="DD14" i="1"/>
  <c r="DE14" i="1" s="1"/>
  <c r="CN25" i="1"/>
  <c r="CP25" i="1" s="1"/>
  <c r="DD15" i="1"/>
  <c r="DE15" i="1" s="1"/>
  <c r="DD9" i="1"/>
  <c r="DE9" i="1" s="1"/>
  <c r="DD17" i="1"/>
  <c r="DE17" i="1" s="1"/>
  <c r="DD16" i="1"/>
  <c r="DE16" i="1" s="1"/>
  <c r="DD24" i="1"/>
  <c r="DE24" i="1" s="1"/>
  <c r="DD18" i="1"/>
  <c r="DE18" i="1" s="1"/>
  <c r="DD12" i="1"/>
  <c r="DE12" i="1" s="1"/>
  <c r="DD22" i="1"/>
  <c r="DE22" i="1" s="1"/>
  <c r="DD19" i="1"/>
  <c r="DE19" i="1" s="1"/>
  <c r="CF5" i="1"/>
  <c r="CH5" i="1"/>
  <c r="DD36" i="1"/>
  <c r="DE36" i="1" s="1"/>
  <c r="DD30" i="1"/>
  <c r="DE30" i="1" s="1"/>
  <c r="DD40" i="1"/>
  <c r="DE40" i="1" s="1"/>
  <c r="DD39" i="1"/>
  <c r="DE39" i="1" s="1"/>
  <c r="DD38" i="1"/>
  <c r="DE38" i="1" s="1"/>
  <c r="DD28" i="1"/>
  <c r="DE28" i="1" s="1"/>
  <c r="DD11" i="1"/>
  <c r="DE11" i="1" s="1"/>
  <c r="DD29" i="1"/>
  <c r="DE29" i="1" s="1"/>
  <c r="CR36" i="6"/>
  <c r="CP26" i="6"/>
  <c r="CN7" i="6"/>
  <c r="CP7" i="6" s="1"/>
  <c r="CU11" i="5"/>
  <c r="CW11" i="5"/>
  <c r="CV47" i="1" l="1"/>
  <c r="CI5" i="1"/>
  <c r="DD7" i="1"/>
  <c r="DE7" i="1" s="1"/>
  <c r="DD32" i="1"/>
  <c r="DE32" i="1" s="1"/>
  <c r="DD6" i="1"/>
  <c r="DE6" i="1" s="1"/>
  <c r="DD26" i="1"/>
  <c r="DE26" i="1" s="1"/>
  <c r="DD45" i="1"/>
  <c r="DE45" i="1" s="1"/>
  <c r="DD23" i="1"/>
  <c r="DE23" i="1" s="1"/>
  <c r="DD25" i="1"/>
  <c r="DE25" i="1" s="1"/>
  <c r="DD37" i="1"/>
  <c r="DE37" i="1" s="1"/>
  <c r="DD31" i="1"/>
  <c r="DE31" i="1" s="1"/>
  <c r="DD41" i="1"/>
  <c r="DE41" i="1" s="1"/>
  <c r="DD27" i="1"/>
  <c r="DE27" i="1" s="1"/>
  <c r="DD35" i="1"/>
  <c r="DE35" i="1" s="1"/>
  <c r="DD21" i="1"/>
  <c r="DE21" i="1" s="1"/>
  <c r="DD20" i="1"/>
  <c r="DE20" i="1" s="1"/>
  <c r="CM4" i="1"/>
  <c r="DD13" i="1"/>
  <c r="DE13" i="1" s="1"/>
  <c r="CT22" i="5"/>
  <c r="DA22" i="5" s="1"/>
  <c r="CU22" i="5"/>
  <c r="CZ21" i="5"/>
  <c r="CZ22" i="5"/>
  <c r="CW21" i="5"/>
  <c r="CW22" i="5"/>
  <c r="CT21" i="5"/>
  <c r="DA21" i="5" s="1"/>
  <c r="CU21" i="5"/>
  <c r="CS26" i="1" l="1"/>
  <c r="CS6" i="1"/>
  <c r="CT13" i="8"/>
  <c r="CS13" i="1"/>
  <c r="CT35" i="8"/>
  <c r="CS35" i="1"/>
  <c r="CT38" i="8"/>
  <c r="CS38" i="1"/>
  <c r="CT24" i="8"/>
  <c r="CS24" i="1"/>
  <c r="CS8" i="1"/>
  <c r="CT12" i="8"/>
  <c r="CS12" i="1"/>
  <c r="CS37" i="1"/>
  <c r="CT15" i="8"/>
  <c r="CS15" i="1"/>
  <c r="CT34" i="8"/>
  <c r="CT36" i="8"/>
  <c r="CT6" i="8"/>
  <c r="CT25" i="8"/>
  <c r="CT23" i="8"/>
  <c r="CT9" i="8"/>
  <c r="DD5" i="1"/>
  <c r="CT37" i="8"/>
  <c r="CT26" i="8"/>
  <c r="DB21" i="5"/>
  <c r="CT14" i="8" l="1"/>
  <c r="DE5" i="1"/>
  <c r="DC21" i="5"/>
  <c r="DC22" i="5"/>
  <c r="DB22" i="5"/>
  <c r="D45" i="14" l="1"/>
  <c r="F45" i="14" l="1"/>
  <c r="F46" i="14" s="1"/>
  <c r="DC33" i="8" l="1"/>
  <c r="DB33" i="8"/>
  <c r="CY33" i="8"/>
  <c r="CV33" i="8"/>
  <c r="CW33" i="8"/>
  <c r="CW34" i="5"/>
  <c r="CT34" i="5"/>
  <c r="DA34" i="5" s="1"/>
  <c r="CU34" i="5"/>
  <c r="DD33" i="8" l="1"/>
  <c r="DC34" i="5" l="1"/>
  <c r="DB34" i="5"/>
  <c r="DB9" i="8" l="1"/>
  <c r="DB10" i="8"/>
  <c r="DB11" i="8"/>
  <c r="CC6" i="24" l="1"/>
  <c r="CD6" i="24"/>
  <c r="CE6" i="24"/>
  <c r="CG6" i="24"/>
  <c r="CC7" i="24"/>
  <c r="CD7" i="24"/>
  <c r="CE7" i="24"/>
  <c r="CG7" i="24"/>
  <c r="CC8" i="24"/>
  <c r="CD8" i="24"/>
  <c r="CE8" i="24"/>
  <c r="CG8" i="24"/>
  <c r="CC9" i="24"/>
  <c r="CD9" i="24"/>
  <c r="CE9" i="24"/>
  <c r="CG9" i="24"/>
  <c r="CC10" i="24"/>
  <c r="CD10" i="24"/>
  <c r="CE10" i="24"/>
  <c r="CG10" i="24"/>
  <c r="CC11" i="24"/>
  <c r="CD11" i="24"/>
  <c r="CE11" i="24"/>
  <c r="CG11" i="24"/>
  <c r="CC12" i="24"/>
  <c r="CD12" i="24"/>
  <c r="CE12" i="24"/>
  <c r="CG12" i="24"/>
  <c r="CC13" i="24"/>
  <c r="CD13" i="24"/>
  <c r="CE13" i="24"/>
  <c r="CG13" i="24"/>
  <c r="CC14" i="24"/>
  <c r="CD14" i="24"/>
  <c r="CE14" i="24"/>
  <c r="CG14" i="24"/>
  <c r="CC15" i="24"/>
  <c r="CD15" i="24"/>
  <c r="CE15" i="24"/>
  <c r="CG15" i="24"/>
  <c r="CC16" i="24"/>
  <c r="CD16" i="24"/>
  <c r="CE16" i="24"/>
  <c r="CG16" i="24"/>
  <c r="CC17" i="24"/>
  <c r="CD17" i="24"/>
  <c r="CE17" i="24"/>
  <c r="CG17" i="24"/>
  <c r="CC18" i="24"/>
  <c r="CD18" i="24"/>
  <c r="CE18" i="24"/>
  <c r="CG18" i="24"/>
  <c r="CC19" i="24"/>
  <c r="CD19" i="24"/>
  <c r="CE19" i="24"/>
  <c r="CG19" i="24"/>
  <c r="CC20" i="24"/>
  <c r="CD20" i="24"/>
  <c r="CE20" i="24"/>
  <c r="CG20" i="24"/>
  <c r="CC21" i="24"/>
  <c r="CD21" i="24"/>
  <c r="CE21" i="24"/>
  <c r="CG21" i="24"/>
  <c r="CH21" i="24"/>
  <c r="CC22" i="24"/>
  <c r="CD22" i="24"/>
  <c r="CE22" i="24"/>
  <c r="CG22" i="24"/>
  <c r="CC23" i="24"/>
  <c r="CD23" i="24"/>
  <c r="CE23" i="24"/>
  <c r="CG23" i="24"/>
  <c r="CC24" i="24"/>
  <c r="CD24" i="24"/>
  <c r="CE24" i="24"/>
  <c r="CG24" i="24"/>
  <c r="CC25" i="24"/>
  <c r="CD25" i="24"/>
  <c r="CE25" i="24"/>
  <c r="CG25" i="24"/>
  <c r="CC26" i="24"/>
  <c r="CD26" i="24"/>
  <c r="CE26" i="24"/>
  <c r="CG26" i="24"/>
  <c r="CC27" i="24"/>
  <c r="CD27" i="24"/>
  <c r="CE27" i="24"/>
  <c r="CG27" i="24"/>
  <c r="CC28" i="24"/>
  <c r="CD28" i="24"/>
  <c r="CE28" i="24"/>
  <c r="CG28" i="24"/>
  <c r="CC29" i="24"/>
  <c r="CD29" i="24"/>
  <c r="CE29" i="24"/>
  <c r="CG29" i="24"/>
  <c r="CC30" i="24"/>
  <c r="CD30" i="24"/>
  <c r="CE30" i="24"/>
  <c r="CG30" i="24"/>
  <c r="CC31" i="24"/>
  <c r="CD31" i="24"/>
  <c r="CE31" i="24"/>
  <c r="CG31" i="24"/>
  <c r="CH31" i="24"/>
  <c r="CC32" i="24"/>
  <c r="CD32" i="24"/>
  <c r="CE32" i="24"/>
  <c r="CG32" i="24"/>
  <c r="CC33" i="24"/>
  <c r="CD33" i="24"/>
  <c r="CE33" i="24"/>
  <c r="CG33" i="24"/>
  <c r="CC34" i="24"/>
  <c r="CD34" i="24"/>
  <c r="CE34" i="24"/>
  <c r="CG34" i="24"/>
  <c r="CC35" i="24"/>
  <c r="CD35" i="24"/>
  <c r="CE35" i="24"/>
  <c r="CG35" i="24"/>
  <c r="CC36" i="24"/>
  <c r="CD36" i="24"/>
  <c r="CE36" i="24"/>
  <c r="CG36" i="24"/>
  <c r="CC37" i="24"/>
  <c r="CD37" i="24"/>
  <c r="CE37" i="24"/>
  <c r="CG37" i="24"/>
  <c r="CC38" i="24"/>
  <c r="CD38" i="24"/>
  <c r="CE38" i="24"/>
  <c r="CG38" i="24"/>
  <c r="CC39" i="24"/>
  <c r="CD39" i="24"/>
  <c r="CE39" i="24"/>
  <c r="CG39" i="24"/>
  <c r="CC40" i="24"/>
  <c r="CD40" i="24"/>
  <c r="CE40" i="24"/>
  <c r="CG40" i="24"/>
  <c r="CC41" i="24"/>
  <c r="CD41" i="24"/>
  <c r="CE41" i="24"/>
  <c r="CG41" i="24"/>
  <c r="CC42" i="24"/>
  <c r="CD42" i="24"/>
  <c r="CE42" i="24"/>
  <c r="CG42" i="24"/>
  <c r="CC43" i="24"/>
  <c r="CD43" i="24"/>
  <c r="CE43" i="24"/>
  <c r="CG43" i="24"/>
  <c r="CC44" i="24"/>
  <c r="CD44" i="24"/>
  <c r="CE44" i="24"/>
  <c r="CG44" i="24"/>
  <c r="CC45" i="24"/>
  <c r="CD45" i="24"/>
  <c r="CE45" i="24"/>
  <c r="CG45" i="24"/>
  <c r="CC46" i="24"/>
  <c r="CD46" i="24"/>
  <c r="CE46" i="24"/>
  <c r="CG46" i="24"/>
  <c r="CD5" i="24"/>
  <c r="CF22" i="24" l="1"/>
  <c r="CF42" i="24"/>
  <c r="CF10" i="24"/>
  <c r="CF37" i="24"/>
  <c r="CF26" i="24"/>
  <c r="CF30" i="24"/>
  <c r="CF14" i="24"/>
  <c r="CF46" i="24"/>
  <c r="CF44" i="24"/>
  <c r="CF31" i="24"/>
  <c r="CI31" i="24" s="1"/>
  <c r="CF28" i="24"/>
  <c r="CF27" i="24"/>
  <c r="CF24" i="24"/>
  <c r="CF18" i="24"/>
  <c r="CF15" i="24"/>
  <c r="CF12" i="24"/>
  <c r="CF38" i="24"/>
  <c r="CF34" i="24"/>
  <c r="CF21" i="24"/>
  <c r="CF6" i="24"/>
  <c r="CF43" i="24"/>
  <c r="CF40" i="24"/>
  <c r="CF11" i="24"/>
  <c r="CF8" i="24"/>
  <c r="CF45" i="24"/>
  <c r="CF39" i="24"/>
  <c r="CF36" i="24"/>
  <c r="CF33" i="24"/>
  <c r="CF29" i="24"/>
  <c r="CF23" i="24"/>
  <c r="CF20" i="24"/>
  <c r="CF17" i="24"/>
  <c r="CF7" i="24"/>
  <c r="CF41" i="24"/>
  <c r="CF35" i="24"/>
  <c r="CF32" i="24"/>
  <c r="CF25" i="24"/>
  <c r="CF19" i="24"/>
  <c r="CF16" i="24"/>
  <c r="CF13" i="24"/>
  <c r="CI21" i="24"/>
  <c r="CF9" i="24"/>
  <c r="CV7" i="24" l="1"/>
  <c r="CV8" i="24"/>
  <c r="CV9" i="24"/>
  <c r="CV10" i="24"/>
  <c r="CG5" i="24"/>
  <c r="CW8" i="24"/>
  <c r="CY8" i="24"/>
  <c r="DB8" i="24"/>
  <c r="CW9" i="24"/>
  <c r="CY9" i="24"/>
  <c r="DB9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H9" i="24" l="1"/>
  <c r="CI9" i="24" s="1"/>
  <c r="DC9" i="24" s="1"/>
  <c r="DD9" i="24" s="1"/>
  <c r="CH8" i="24"/>
  <c r="CI8" i="24" s="1"/>
  <c r="DC8" i="24" l="1"/>
  <c r="DD8" i="24" s="1"/>
  <c r="CV9" i="8"/>
  <c r="CW9" i="8"/>
  <c r="CY9" i="8"/>
  <c r="CV10" i="8"/>
  <c r="CW10" i="8"/>
  <c r="CY10" i="8"/>
  <c r="CV11" i="8"/>
  <c r="CW11" i="8"/>
  <c r="CY11" i="8"/>
  <c r="CV12" i="8"/>
  <c r="CW12" i="8"/>
  <c r="CY12" i="8"/>
  <c r="DB12" i="8"/>
  <c r="CV13" i="8"/>
  <c r="CW13" i="8"/>
  <c r="CY13" i="8"/>
  <c r="DB13" i="8"/>
  <c r="CV14" i="8"/>
  <c r="CW14" i="8"/>
  <c r="CY14" i="8"/>
  <c r="DB14" i="8"/>
  <c r="CV15" i="8"/>
  <c r="CW15" i="8"/>
  <c r="CY15" i="8"/>
  <c r="DB15" i="8"/>
  <c r="CV16" i="8"/>
  <c r="CW16" i="8"/>
  <c r="CY16" i="8"/>
  <c r="DB16" i="8"/>
  <c r="CV17" i="8"/>
  <c r="CW17" i="8"/>
  <c r="CY17" i="8"/>
  <c r="DB17" i="8"/>
  <c r="CV18" i="8"/>
  <c r="CW18" i="8"/>
  <c r="CY18" i="8"/>
  <c r="DB18" i="8"/>
  <c r="CV19" i="8"/>
  <c r="CW19" i="8"/>
  <c r="CY19" i="8"/>
  <c r="DB19" i="8"/>
  <c r="CV20" i="8"/>
  <c r="CW20" i="8"/>
  <c r="CY20" i="8"/>
  <c r="DB20" i="8"/>
  <c r="CV21" i="8"/>
  <c r="CW21" i="8"/>
  <c r="CY21" i="8"/>
  <c r="DB21" i="8"/>
  <c r="CV22" i="8"/>
  <c r="CW22" i="8"/>
  <c r="CY22" i="8"/>
  <c r="DB22" i="8"/>
  <c r="CV23" i="8"/>
  <c r="CW23" i="8"/>
  <c r="CY23" i="8"/>
  <c r="DB23" i="8"/>
  <c r="CV24" i="8"/>
  <c r="CW24" i="8"/>
  <c r="CY24" i="8"/>
  <c r="DB24" i="8"/>
  <c r="CV25" i="8"/>
  <c r="CW25" i="8"/>
  <c r="CY25" i="8"/>
  <c r="DB25" i="8"/>
  <c r="CV26" i="8"/>
  <c r="CW26" i="8"/>
  <c r="CY26" i="8"/>
  <c r="DB26" i="8"/>
  <c r="CV27" i="8"/>
  <c r="CW27" i="8"/>
  <c r="CY27" i="8"/>
  <c r="DB27" i="8"/>
  <c r="CV28" i="8"/>
  <c r="CW28" i="8"/>
  <c r="CY28" i="8"/>
  <c r="DB28" i="8"/>
  <c r="CV29" i="8"/>
  <c r="CW29" i="8"/>
  <c r="CY29" i="8"/>
  <c r="DB29" i="8"/>
  <c r="CV30" i="8"/>
  <c r="CW30" i="8"/>
  <c r="CY30" i="8"/>
  <c r="DB30" i="8"/>
  <c r="CV31" i="8"/>
  <c r="CW31" i="8"/>
  <c r="CY31" i="8"/>
  <c r="DB31" i="8"/>
  <c r="CV32" i="8"/>
  <c r="CW32" i="8"/>
  <c r="CY32" i="8"/>
  <c r="DB32" i="8"/>
  <c r="CV34" i="8"/>
  <c r="CW34" i="8"/>
  <c r="CY34" i="8"/>
  <c r="DB34" i="8"/>
  <c r="CV35" i="8"/>
  <c r="CW35" i="8"/>
  <c r="CY35" i="8"/>
  <c r="DB35" i="8"/>
  <c r="CV36" i="8"/>
  <c r="CW36" i="8"/>
  <c r="CY36" i="8"/>
  <c r="DB36" i="8"/>
  <c r="CV39" i="8"/>
  <c r="CW39" i="8"/>
  <c r="CY39" i="8"/>
  <c r="DB39" i="8"/>
  <c r="CV40" i="8"/>
  <c r="CW40" i="8"/>
  <c r="CY40" i="8"/>
  <c r="DB40" i="8"/>
  <c r="CG5" i="8"/>
  <c r="BO7" i="5" l="1"/>
  <c r="BP7" i="5"/>
  <c r="BQ7" i="5"/>
  <c r="BS7" i="5"/>
  <c r="BT7" i="5"/>
  <c r="BU7" i="5"/>
  <c r="BV7" i="5"/>
  <c r="BW7" i="5"/>
  <c r="BX7" i="5"/>
  <c r="BY7" i="5"/>
  <c r="BZ7" i="5"/>
  <c r="CT7" i="5"/>
  <c r="DA7" i="5" s="1"/>
  <c r="CU7" i="5"/>
  <c r="CW7" i="5"/>
  <c r="CZ7" i="5"/>
  <c r="CH7" i="5" l="1"/>
  <c r="CI7" i="5" s="1"/>
  <c r="DC7" i="5" s="1"/>
  <c r="DB7" i="5" l="1"/>
  <c r="CR45" i="6" l="1"/>
  <c r="A30" i="24" l="1"/>
  <c r="A16" i="24"/>
  <c r="A45" i="24"/>
  <c r="A38" i="24"/>
  <c r="A33" i="24"/>
  <c r="A23" i="24"/>
  <c r="A19" i="24"/>
  <c r="A15" i="24"/>
  <c r="A11" i="24"/>
  <c r="CT8" i="8"/>
  <c r="A7" i="24"/>
  <c r="CT7" i="24" s="1"/>
  <c r="A24" i="24"/>
  <c r="A43" i="24"/>
  <c r="A32" i="24"/>
  <c r="A22" i="24"/>
  <c r="A18" i="24"/>
  <c r="A14" i="24"/>
  <c r="A10" i="24"/>
  <c r="A34" i="24"/>
  <c r="A20" i="24"/>
  <c r="A12" i="24"/>
  <c r="A35" i="24"/>
  <c r="A31" i="24"/>
  <c r="A25" i="24"/>
  <c r="A21" i="24"/>
  <c r="A17" i="24"/>
  <c r="A13" i="24"/>
  <c r="A9" i="24"/>
  <c r="AZ7" i="1" l="1"/>
  <c r="D7" i="8" s="1"/>
  <c r="AZ7" i="8" s="1"/>
  <c r="BC7" i="1"/>
  <c r="AY7" i="1"/>
  <c r="C7" i="8" s="1"/>
  <c r="AY7" i="8" s="1"/>
  <c r="BB7" i="1"/>
  <c r="AX7" i="1"/>
  <c r="B7" i="8" s="1"/>
  <c r="AX7" i="8" s="1"/>
  <c r="BE7" i="1"/>
  <c r="A36" i="24"/>
  <c r="A8" i="24"/>
  <c r="CT8" i="24" s="1"/>
  <c r="CT48" i="24"/>
  <c r="DA47" i="24"/>
  <c r="CZ47" i="24"/>
  <c r="CX47" i="24"/>
  <c r="CY47" i="24" s="1"/>
  <c r="CU47" i="24"/>
  <c r="CB47" i="24"/>
  <c r="CA47" i="24"/>
  <c r="BN47" i="24"/>
  <c r="BN50" i="24" s="1"/>
  <c r="AW47" i="24"/>
  <c r="AV47" i="24"/>
  <c r="AU47" i="24"/>
  <c r="AT47" i="24"/>
  <c r="AS47" i="24"/>
  <c r="AR47" i="24"/>
  <c r="AQ47" i="24"/>
  <c r="AP47" i="24"/>
  <c r="AO47" i="24"/>
  <c r="AN47" i="24"/>
  <c r="AM47" i="24"/>
  <c r="CP24" i="24" s="1"/>
  <c r="AL47" i="24"/>
  <c r="AK47" i="24"/>
  <c r="AJ47" i="24"/>
  <c r="AI47" i="24"/>
  <c r="AH47" i="24"/>
  <c r="AG47" i="24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DB46" i="24"/>
  <c r="CY46" i="24"/>
  <c r="CW46" i="24"/>
  <c r="CV46" i="24"/>
  <c r="CU46" i="24"/>
  <c r="BZ46" i="24"/>
  <c r="BY46" i="24"/>
  <c r="BX46" i="24"/>
  <c r="BW46" i="24"/>
  <c r="BV46" i="24"/>
  <c r="BU46" i="24"/>
  <c r="BT46" i="24"/>
  <c r="BS46" i="24"/>
  <c r="BR46" i="24"/>
  <c r="BQ46" i="24"/>
  <c r="BP46" i="24"/>
  <c r="BO46" i="24"/>
  <c r="CH46" i="24" s="1"/>
  <c r="CI46" i="24" s="1"/>
  <c r="DB45" i="24"/>
  <c r="CY45" i="24"/>
  <c r="CW45" i="24"/>
  <c r="CV45" i="24"/>
  <c r="CU45" i="24"/>
  <c r="CP45" i="24"/>
  <c r="CN45" i="24"/>
  <c r="CM45" i="24"/>
  <c r="CO45" i="24" s="1"/>
  <c r="CQ45" i="24" s="1"/>
  <c r="BZ45" i="24"/>
  <c r="BY45" i="24"/>
  <c r="BX45" i="24"/>
  <c r="BW45" i="24"/>
  <c r="BV45" i="24"/>
  <c r="BU45" i="24"/>
  <c r="BT45" i="24"/>
  <c r="BS45" i="24"/>
  <c r="BR45" i="24"/>
  <c r="BQ45" i="24"/>
  <c r="BP45" i="24"/>
  <c r="BO45" i="24"/>
  <c r="CH45" i="24" s="1"/>
  <c r="CI45" i="24" s="1"/>
  <c r="DB44" i="24"/>
  <c r="CY44" i="24"/>
  <c r="CW44" i="24"/>
  <c r="CV44" i="24"/>
  <c r="CU44" i="24"/>
  <c r="CP44" i="24"/>
  <c r="BZ44" i="24"/>
  <c r="BY44" i="24"/>
  <c r="BX44" i="24"/>
  <c r="BW44" i="24"/>
  <c r="BV44" i="24"/>
  <c r="BU44" i="24"/>
  <c r="BT44" i="24"/>
  <c r="BS44" i="24"/>
  <c r="BR44" i="24"/>
  <c r="BQ44" i="24"/>
  <c r="BP44" i="24"/>
  <c r="BO44" i="24"/>
  <c r="DB43" i="24"/>
  <c r="CY43" i="24"/>
  <c r="CW43" i="24"/>
  <c r="CV43" i="24"/>
  <c r="CU43" i="24"/>
  <c r="CP43" i="24"/>
  <c r="BZ43" i="24"/>
  <c r="BY43" i="24"/>
  <c r="BX43" i="24"/>
  <c r="BW43" i="24"/>
  <c r="BV43" i="24"/>
  <c r="BU43" i="24"/>
  <c r="BT43" i="24"/>
  <c r="BS43" i="24"/>
  <c r="BR43" i="24"/>
  <c r="BQ43" i="24"/>
  <c r="BP43" i="24"/>
  <c r="BO43" i="24"/>
  <c r="CH43" i="24" s="1"/>
  <c r="CI43" i="24" s="1"/>
  <c r="DB42" i="24"/>
  <c r="CY42" i="24"/>
  <c r="CW42" i="24"/>
  <c r="CV42" i="24"/>
  <c r="CU42" i="24"/>
  <c r="CP42" i="24"/>
  <c r="CN42" i="24"/>
  <c r="BZ42" i="24"/>
  <c r="BY42" i="24"/>
  <c r="BX42" i="24"/>
  <c r="BW42" i="24"/>
  <c r="BV42" i="24"/>
  <c r="BU42" i="24"/>
  <c r="BT42" i="24"/>
  <c r="BS42" i="24"/>
  <c r="BR42" i="24"/>
  <c r="BQ42" i="24"/>
  <c r="BP42" i="24"/>
  <c r="BO42" i="24"/>
  <c r="DB41" i="24"/>
  <c r="CY41" i="24"/>
  <c r="CW41" i="24"/>
  <c r="CV41" i="24"/>
  <c r="CU41" i="24"/>
  <c r="BZ41" i="24"/>
  <c r="BY41" i="24"/>
  <c r="BX41" i="24"/>
  <c r="BW41" i="24"/>
  <c r="BV41" i="24"/>
  <c r="BU41" i="24"/>
  <c r="BT41" i="24"/>
  <c r="BS41" i="24"/>
  <c r="BR41" i="24"/>
  <c r="BQ41" i="24"/>
  <c r="BP41" i="24"/>
  <c r="BO41" i="24"/>
  <c r="CH41" i="24" s="1"/>
  <c r="CI41" i="24" s="1"/>
  <c r="DB40" i="24"/>
  <c r="CY40" i="24"/>
  <c r="CW40" i="24"/>
  <c r="CV40" i="24"/>
  <c r="CU40" i="24"/>
  <c r="CP40" i="24"/>
  <c r="CN40" i="24"/>
  <c r="CM40" i="24"/>
  <c r="CO40" i="24" s="1"/>
  <c r="CQ40" i="24" s="1"/>
  <c r="BZ40" i="24"/>
  <c r="BY40" i="24"/>
  <c r="BX40" i="24"/>
  <c r="BW40" i="24"/>
  <c r="BV40" i="24"/>
  <c r="BU40" i="24"/>
  <c r="BT40" i="24"/>
  <c r="BS40" i="24"/>
  <c r="BR40" i="24"/>
  <c r="BQ40" i="24"/>
  <c r="BP40" i="24"/>
  <c r="BO40" i="24"/>
  <c r="CH40" i="24" s="1"/>
  <c r="CI40" i="24" s="1"/>
  <c r="DB39" i="24"/>
  <c r="CY39" i="24"/>
  <c r="CW39" i="24"/>
  <c r="CV39" i="24"/>
  <c r="CU39" i="24"/>
  <c r="BZ39" i="24"/>
  <c r="BY39" i="24"/>
  <c r="BX39" i="24"/>
  <c r="BW39" i="24"/>
  <c r="BV39" i="24"/>
  <c r="BU39" i="24"/>
  <c r="BT39" i="24"/>
  <c r="BS39" i="24"/>
  <c r="BR39" i="24"/>
  <c r="BQ39" i="24"/>
  <c r="BP39" i="24"/>
  <c r="BO39" i="24"/>
  <c r="DB38" i="24"/>
  <c r="CY38" i="24"/>
  <c r="CW38" i="24"/>
  <c r="CV38" i="24"/>
  <c r="CU38" i="24"/>
  <c r="BZ38" i="24"/>
  <c r="BY38" i="24"/>
  <c r="BX38" i="24"/>
  <c r="BW38" i="24"/>
  <c r="BV38" i="24"/>
  <c r="BU38" i="24"/>
  <c r="BT38" i="24"/>
  <c r="BS38" i="24"/>
  <c r="BR38" i="24"/>
  <c r="BQ38" i="24"/>
  <c r="BP38" i="24"/>
  <c r="BO38" i="24"/>
  <c r="DB37" i="24"/>
  <c r="CY37" i="24"/>
  <c r="CW37" i="24"/>
  <c r="CV37" i="24"/>
  <c r="CU37" i="24"/>
  <c r="BZ37" i="24"/>
  <c r="BY37" i="24"/>
  <c r="BX37" i="24"/>
  <c r="BW37" i="24"/>
  <c r="BV37" i="24"/>
  <c r="BU37" i="24"/>
  <c r="BT37" i="24"/>
  <c r="BS37" i="24"/>
  <c r="BR37" i="24"/>
  <c r="BQ37" i="24"/>
  <c r="BP37" i="24"/>
  <c r="BO37" i="24"/>
  <c r="DB36" i="24"/>
  <c r="CY36" i="24"/>
  <c r="CW36" i="24"/>
  <c r="CV36" i="24"/>
  <c r="CU36" i="24"/>
  <c r="CP36" i="24"/>
  <c r="BZ36" i="24"/>
  <c r="BY36" i="24"/>
  <c r="BX36" i="24"/>
  <c r="BW36" i="24"/>
  <c r="BV36" i="24"/>
  <c r="BU36" i="24"/>
  <c r="BT36" i="24"/>
  <c r="BS36" i="24"/>
  <c r="BR36" i="24"/>
  <c r="BQ36" i="24"/>
  <c r="BP36" i="24"/>
  <c r="BO36" i="24"/>
  <c r="DB35" i="24"/>
  <c r="CY35" i="24"/>
  <c r="CW35" i="24"/>
  <c r="CV35" i="24"/>
  <c r="CU35" i="24"/>
  <c r="CP35" i="24"/>
  <c r="CN35" i="24"/>
  <c r="BZ35" i="24"/>
  <c r="BY35" i="24"/>
  <c r="BX35" i="24"/>
  <c r="BW35" i="24"/>
  <c r="BV35" i="24"/>
  <c r="BU35" i="24"/>
  <c r="BT35" i="24"/>
  <c r="BS35" i="24"/>
  <c r="BR35" i="24"/>
  <c r="BQ35" i="24"/>
  <c r="BP35" i="24"/>
  <c r="BO35" i="24"/>
  <c r="CH35" i="24" s="1"/>
  <c r="CI35" i="24" s="1"/>
  <c r="DB34" i="24"/>
  <c r="CY34" i="24"/>
  <c r="CW34" i="24"/>
  <c r="CV34" i="24"/>
  <c r="CU34" i="24"/>
  <c r="BZ34" i="24"/>
  <c r="BY34" i="24"/>
  <c r="BX34" i="24"/>
  <c r="BW34" i="24"/>
  <c r="BV34" i="24"/>
  <c r="BU34" i="24"/>
  <c r="BT34" i="24"/>
  <c r="BS34" i="24"/>
  <c r="BR34" i="24"/>
  <c r="BQ34" i="24"/>
  <c r="BP34" i="24"/>
  <c r="BO34" i="24"/>
  <c r="DB33" i="24"/>
  <c r="CY33" i="24"/>
  <c r="CW33" i="24"/>
  <c r="CV33" i="24"/>
  <c r="BZ33" i="24"/>
  <c r="BY33" i="24"/>
  <c r="BX33" i="24"/>
  <c r="BW33" i="24"/>
  <c r="BV33" i="24"/>
  <c r="BU33" i="24"/>
  <c r="BT33" i="24"/>
  <c r="BS33" i="24"/>
  <c r="BR33" i="24"/>
  <c r="BQ33" i="24"/>
  <c r="BP33" i="24"/>
  <c r="BO33" i="24"/>
  <c r="DB32" i="24"/>
  <c r="CY32" i="24"/>
  <c r="CW32" i="24"/>
  <c r="CV32" i="24"/>
  <c r="CU32" i="24"/>
  <c r="BZ32" i="24"/>
  <c r="BY32" i="24"/>
  <c r="BX32" i="24"/>
  <c r="BW32" i="24"/>
  <c r="BV32" i="24"/>
  <c r="BU32" i="24"/>
  <c r="BT32" i="24"/>
  <c r="BS32" i="24"/>
  <c r="BR32" i="24"/>
  <c r="BQ32" i="24"/>
  <c r="BP32" i="24"/>
  <c r="BO32" i="24"/>
  <c r="DB31" i="24"/>
  <c r="CY31" i="24"/>
  <c r="CW31" i="24"/>
  <c r="CV31" i="24"/>
  <c r="BZ31" i="24"/>
  <c r="DB30" i="24"/>
  <c r="CY30" i="24"/>
  <c r="CW30" i="24"/>
  <c r="CV30" i="24"/>
  <c r="BZ30" i="24"/>
  <c r="BY30" i="24"/>
  <c r="BX30" i="24"/>
  <c r="BW30" i="24"/>
  <c r="BV30" i="24"/>
  <c r="BU30" i="24"/>
  <c r="BT30" i="24"/>
  <c r="BS30" i="24"/>
  <c r="BR30" i="24"/>
  <c r="BQ30" i="24"/>
  <c r="BP30" i="24"/>
  <c r="BO30" i="24"/>
  <c r="DB29" i="24"/>
  <c r="CY29" i="24"/>
  <c r="CW29" i="24"/>
  <c r="CV29" i="24"/>
  <c r="CU29" i="24"/>
  <c r="BZ29" i="24"/>
  <c r="BY29" i="24"/>
  <c r="BX29" i="24"/>
  <c r="BW29" i="24"/>
  <c r="BV29" i="24"/>
  <c r="BU29" i="24"/>
  <c r="BT29" i="24"/>
  <c r="BS29" i="24"/>
  <c r="BR29" i="24"/>
  <c r="BQ29" i="24"/>
  <c r="BP29" i="24"/>
  <c r="BO29" i="24"/>
  <c r="CH29" i="24" s="1"/>
  <c r="CI29" i="24" s="1"/>
  <c r="DB28" i="24"/>
  <c r="CY28" i="24"/>
  <c r="CW28" i="24"/>
  <c r="CV28" i="24"/>
  <c r="CU28" i="24"/>
  <c r="BZ28" i="24"/>
  <c r="BY28" i="24"/>
  <c r="BX28" i="24"/>
  <c r="BW28" i="24"/>
  <c r="BV28" i="24"/>
  <c r="BU28" i="24"/>
  <c r="BT28" i="24"/>
  <c r="BS28" i="24"/>
  <c r="BR28" i="24"/>
  <c r="BQ28" i="24"/>
  <c r="BP28" i="24"/>
  <c r="BO28" i="24"/>
  <c r="DB27" i="24"/>
  <c r="CY27" i="24"/>
  <c r="CW27" i="24"/>
  <c r="CV27" i="24"/>
  <c r="CU27" i="24"/>
  <c r="CP27" i="24"/>
  <c r="CN27" i="24"/>
  <c r="BZ27" i="24"/>
  <c r="BY27" i="24"/>
  <c r="BX27" i="24"/>
  <c r="BW27" i="24"/>
  <c r="BV27" i="24"/>
  <c r="BU27" i="24"/>
  <c r="BT27" i="24"/>
  <c r="BS27" i="24"/>
  <c r="BR27" i="24"/>
  <c r="BQ27" i="24"/>
  <c r="BP27" i="24"/>
  <c r="BO27" i="24"/>
  <c r="CH27" i="24" s="1"/>
  <c r="CI27" i="24" s="1"/>
  <c r="DB26" i="24"/>
  <c r="CY26" i="24"/>
  <c r="CW26" i="24"/>
  <c r="CV26" i="24"/>
  <c r="CU26" i="24"/>
  <c r="BZ26" i="24"/>
  <c r="BY26" i="24"/>
  <c r="BX26" i="24"/>
  <c r="BW26" i="24"/>
  <c r="BV26" i="24"/>
  <c r="BU26" i="24"/>
  <c r="BT26" i="24"/>
  <c r="BS26" i="24"/>
  <c r="BR26" i="24"/>
  <c r="BQ26" i="24"/>
  <c r="BP26" i="24"/>
  <c r="BO26" i="24"/>
  <c r="DB25" i="24"/>
  <c r="CY25" i="24"/>
  <c r="CW25" i="24"/>
  <c r="CV25" i="24"/>
  <c r="CU25" i="24"/>
  <c r="BZ25" i="24"/>
  <c r="BY25" i="24"/>
  <c r="BX25" i="24"/>
  <c r="BW25" i="24"/>
  <c r="BV25" i="24"/>
  <c r="BU25" i="24"/>
  <c r="BT25" i="24"/>
  <c r="BS25" i="24"/>
  <c r="BR25" i="24"/>
  <c r="BQ25" i="24"/>
  <c r="BP25" i="24"/>
  <c r="BO25" i="24"/>
  <c r="DB24" i="24"/>
  <c r="CY24" i="24"/>
  <c r="CW24" i="24"/>
  <c r="CV24" i="24"/>
  <c r="CU24" i="24"/>
  <c r="CN24" i="24"/>
  <c r="BZ24" i="24"/>
  <c r="BY24" i="24"/>
  <c r="BX24" i="24"/>
  <c r="BW24" i="24"/>
  <c r="BV24" i="24"/>
  <c r="BU24" i="24"/>
  <c r="BT24" i="24"/>
  <c r="BS24" i="24"/>
  <c r="BR24" i="24"/>
  <c r="BQ24" i="24"/>
  <c r="BP24" i="24"/>
  <c r="BO24" i="24"/>
  <c r="CH24" i="24" s="1"/>
  <c r="CI24" i="24" s="1"/>
  <c r="DB23" i="24"/>
  <c r="CY23" i="24"/>
  <c r="CW23" i="24"/>
  <c r="CV23" i="24"/>
  <c r="CU23" i="24"/>
  <c r="BZ23" i="24"/>
  <c r="BY23" i="24"/>
  <c r="BX23" i="24"/>
  <c r="BW23" i="24"/>
  <c r="BV23" i="24"/>
  <c r="BU23" i="24"/>
  <c r="BT23" i="24"/>
  <c r="BS23" i="24"/>
  <c r="BR23" i="24"/>
  <c r="BQ23" i="24"/>
  <c r="BP23" i="24"/>
  <c r="BO23" i="24"/>
  <c r="DB22" i="24"/>
  <c r="CY22" i="24"/>
  <c r="CW22" i="24"/>
  <c r="CV22" i="24"/>
  <c r="CU22" i="24"/>
  <c r="BZ22" i="24"/>
  <c r="BY22" i="24"/>
  <c r="BX22" i="24"/>
  <c r="BW22" i="24"/>
  <c r="BV22" i="24"/>
  <c r="BU22" i="24"/>
  <c r="BT22" i="24"/>
  <c r="BS22" i="24"/>
  <c r="BR22" i="24"/>
  <c r="BQ22" i="24"/>
  <c r="BP22" i="24"/>
  <c r="BO22" i="24"/>
  <c r="DB21" i="24"/>
  <c r="CY21" i="24"/>
  <c r="CW21" i="24"/>
  <c r="CV21" i="24"/>
  <c r="BZ21" i="24"/>
  <c r="DB20" i="24"/>
  <c r="CY20" i="24"/>
  <c r="CW20" i="24"/>
  <c r="CV20" i="24"/>
  <c r="BZ20" i="24"/>
  <c r="BY20" i="24"/>
  <c r="BX20" i="24"/>
  <c r="BW20" i="24"/>
  <c r="BV20" i="24"/>
  <c r="BU20" i="24"/>
  <c r="BT20" i="24"/>
  <c r="BS20" i="24"/>
  <c r="BR20" i="24"/>
  <c r="BQ20" i="24"/>
  <c r="BP20" i="24"/>
  <c r="BO20" i="24"/>
  <c r="DB19" i="24"/>
  <c r="CY19" i="24"/>
  <c r="CW19" i="24"/>
  <c r="CV19" i="24"/>
  <c r="CU19" i="24"/>
  <c r="BZ19" i="24"/>
  <c r="BY19" i="24"/>
  <c r="BX19" i="24"/>
  <c r="BW19" i="24"/>
  <c r="BV19" i="24"/>
  <c r="BU19" i="24"/>
  <c r="BT19" i="24"/>
  <c r="BS19" i="24"/>
  <c r="BR19" i="24"/>
  <c r="BQ19" i="24"/>
  <c r="BP19" i="24"/>
  <c r="BO19" i="24"/>
  <c r="CH19" i="24" s="1"/>
  <c r="CI19" i="24" s="1"/>
  <c r="DB18" i="24"/>
  <c r="CY18" i="24"/>
  <c r="CW18" i="24"/>
  <c r="CV18" i="24"/>
  <c r="CU18" i="24"/>
  <c r="BZ18" i="24"/>
  <c r="BY18" i="24"/>
  <c r="BX18" i="24"/>
  <c r="BW18" i="24"/>
  <c r="BV18" i="24"/>
  <c r="BU18" i="24"/>
  <c r="BT18" i="24"/>
  <c r="BS18" i="24"/>
  <c r="BR18" i="24"/>
  <c r="BQ18" i="24"/>
  <c r="BP18" i="24"/>
  <c r="BO18" i="24"/>
  <c r="DB17" i="24"/>
  <c r="CY17" i="24"/>
  <c r="CW17" i="24"/>
  <c r="CV17" i="24"/>
  <c r="BZ17" i="24"/>
  <c r="BY17" i="24"/>
  <c r="BX17" i="24"/>
  <c r="BW17" i="24"/>
  <c r="BV17" i="24"/>
  <c r="BU17" i="24"/>
  <c r="BT17" i="24"/>
  <c r="BS17" i="24"/>
  <c r="BR17" i="24"/>
  <c r="BQ17" i="24"/>
  <c r="BP17" i="24"/>
  <c r="BO17" i="24"/>
  <c r="DB16" i="24"/>
  <c r="CY16" i="24"/>
  <c r="CW16" i="24"/>
  <c r="CV16" i="24"/>
  <c r="CU16" i="24"/>
  <c r="BZ16" i="24"/>
  <c r="BY16" i="24"/>
  <c r="BX16" i="24"/>
  <c r="BW16" i="24"/>
  <c r="BV16" i="24"/>
  <c r="BU16" i="24"/>
  <c r="BT16" i="24"/>
  <c r="BS16" i="24"/>
  <c r="BR16" i="24"/>
  <c r="BQ16" i="24"/>
  <c r="BP16" i="24"/>
  <c r="BO16" i="24"/>
  <c r="DB15" i="24"/>
  <c r="CY15" i="24"/>
  <c r="CW15" i="24"/>
  <c r="CV15" i="24"/>
  <c r="CU15" i="24"/>
  <c r="BZ15" i="24"/>
  <c r="BY15" i="24"/>
  <c r="BX15" i="24"/>
  <c r="BW15" i="24"/>
  <c r="BV15" i="24"/>
  <c r="BU15" i="24"/>
  <c r="BT15" i="24"/>
  <c r="BS15" i="24"/>
  <c r="BR15" i="24"/>
  <c r="BQ15" i="24"/>
  <c r="BP15" i="24"/>
  <c r="BO15" i="24"/>
  <c r="DB14" i="24"/>
  <c r="CY14" i="24"/>
  <c r="CW14" i="24"/>
  <c r="CV14" i="24"/>
  <c r="CU14" i="24"/>
  <c r="BZ14" i="24"/>
  <c r="BY14" i="24"/>
  <c r="BX14" i="24"/>
  <c r="BW14" i="24"/>
  <c r="BV14" i="24"/>
  <c r="BU14" i="24"/>
  <c r="BT14" i="24"/>
  <c r="BS14" i="24"/>
  <c r="BR14" i="24"/>
  <c r="BQ14" i="24"/>
  <c r="BP14" i="24"/>
  <c r="BO14" i="24"/>
  <c r="CH14" i="24" s="1"/>
  <c r="CI14" i="24" s="1"/>
  <c r="DB13" i="24"/>
  <c r="CY13" i="24"/>
  <c r="CW13" i="24"/>
  <c r="CV13" i="24"/>
  <c r="CU13" i="24"/>
  <c r="CP13" i="24"/>
  <c r="CN13" i="24"/>
  <c r="CM13" i="24"/>
  <c r="CO13" i="24" s="1"/>
  <c r="BZ13" i="24"/>
  <c r="BY13" i="24"/>
  <c r="BX13" i="24"/>
  <c r="BW13" i="24"/>
  <c r="BV13" i="24"/>
  <c r="BU13" i="24"/>
  <c r="BT13" i="24"/>
  <c r="BS13" i="24"/>
  <c r="BR13" i="24"/>
  <c r="BQ13" i="24"/>
  <c r="BP13" i="24"/>
  <c r="BO13" i="24"/>
  <c r="CH13" i="24" s="1"/>
  <c r="CI13" i="24" s="1"/>
  <c r="DB12" i="24"/>
  <c r="CY12" i="24"/>
  <c r="CW12" i="24"/>
  <c r="CV12" i="24"/>
  <c r="CU12" i="24"/>
  <c r="CP12" i="24"/>
  <c r="CN12" i="24"/>
  <c r="CM12" i="24"/>
  <c r="CO12" i="24" s="1"/>
  <c r="CQ12" i="24" s="1"/>
  <c r="BZ12" i="24"/>
  <c r="BY12" i="24"/>
  <c r="BX12" i="24"/>
  <c r="BW12" i="24"/>
  <c r="BV12" i="24"/>
  <c r="BU12" i="24"/>
  <c r="BT12" i="24"/>
  <c r="BS12" i="24"/>
  <c r="BR12" i="24"/>
  <c r="BQ12" i="24"/>
  <c r="BP12" i="24"/>
  <c r="BO12" i="24"/>
  <c r="CH12" i="24" s="1"/>
  <c r="CI12" i="24" s="1"/>
  <c r="DB11" i="24"/>
  <c r="CY11" i="24"/>
  <c r="CW11" i="24"/>
  <c r="CV11" i="24"/>
  <c r="CU11" i="24"/>
  <c r="BZ11" i="24"/>
  <c r="BY11" i="24"/>
  <c r="BX11" i="24"/>
  <c r="BW11" i="24"/>
  <c r="BV11" i="24"/>
  <c r="BU11" i="24"/>
  <c r="BT11" i="24"/>
  <c r="BS11" i="24"/>
  <c r="BR11" i="24"/>
  <c r="BQ11" i="24"/>
  <c r="BP11" i="24"/>
  <c r="BO11" i="24"/>
  <c r="DB10" i="24"/>
  <c r="CY10" i="24"/>
  <c r="CW10" i="24"/>
  <c r="CU10" i="24"/>
  <c r="BZ10" i="24"/>
  <c r="BY10" i="24"/>
  <c r="BX10" i="24"/>
  <c r="BW10" i="24"/>
  <c r="BV10" i="24"/>
  <c r="BU10" i="24"/>
  <c r="BT10" i="24"/>
  <c r="BS10" i="24"/>
  <c r="BR10" i="24"/>
  <c r="BQ10" i="24"/>
  <c r="BP10" i="24"/>
  <c r="BO10" i="24"/>
  <c r="CU9" i="24"/>
  <c r="DB7" i="24"/>
  <c r="CY7" i="24"/>
  <c r="CW7" i="24"/>
  <c r="CU7" i="24"/>
  <c r="BZ7" i="24"/>
  <c r="BY7" i="24"/>
  <c r="BX7" i="24"/>
  <c r="BW7" i="24"/>
  <c r="BV7" i="24"/>
  <c r="BU7" i="24"/>
  <c r="BT7" i="24"/>
  <c r="BS7" i="24"/>
  <c r="BR7" i="24"/>
  <c r="BQ7" i="24"/>
  <c r="BP7" i="24"/>
  <c r="BO7" i="24"/>
  <c r="DB6" i="24"/>
  <c r="CY6" i="24"/>
  <c r="CW6" i="24"/>
  <c r="CV6" i="24"/>
  <c r="CU6" i="24"/>
  <c r="BZ6" i="24"/>
  <c r="BY6" i="24"/>
  <c r="BX6" i="24"/>
  <c r="BW6" i="24"/>
  <c r="BV6" i="24"/>
  <c r="BU6" i="24"/>
  <c r="BT6" i="24"/>
  <c r="BS6" i="24"/>
  <c r="BR6" i="24"/>
  <c r="BQ6" i="24"/>
  <c r="BP6" i="24"/>
  <c r="BO6" i="24"/>
  <c r="DB5" i="24"/>
  <c r="CY5" i="24"/>
  <c r="CW5" i="24"/>
  <c r="CV5" i="24"/>
  <c r="CU5" i="24"/>
  <c r="CQ5" i="24"/>
  <c r="CP5" i="24"/>
  <c r="CO5" i="24"/>
  <c r="CN5" i="24"/>
  <c r="CM5" i="24"/>
  <c r="CL5" i="24"/>
  <c r="CE5" i="24"/>
  <c r="CC5" i="24"/>
  <c r="BZ5" i="24"/>
  <c r="BY5" i="24"/>
  <c r="BX5" i="24"/>
  <c r="BW5" i="24"/>
  <c r="BV5" i="24"/>
  <c r="BU5" i="24"/>
  <c r="BT5" i="24"/>
  <c r="BS5" i="24"/>
  <c r="BR5" i="24"/>
  <c r="BQ5" i="24"/>
  <c r="BP5" i="24"/>
  <c r="BO5" i="24"/>
  <c r="CL3" i="24"/>
  <c r="CU3" i="24" s="1"/>
  <c r="CL2" i="24"/>
  <c r="CU2" i="24" s="1"/>
  <c r="CL1" i="24"/>
  <c r="CT1" i="24" s="1"/>
  <c r="I7" i="8" l="1"/>
  <c r="BE7" i="8" s="1"/>
  <c r="F7" i="8"/>
  <c r="BB7" i="8" s="1"/>
  <c r="G7" i="8"/>
  <c r="BC7" i="8" s="1"/>
  <c r="CH10" i="24"/>
  <c r="CI10" i="24" s="1"/>
  <c r="CH11" i="24"/>
  <c r="CI11" i="24" s="1"/>
  <c r="CH17" i="24"/>
  <c r="CI17" i="24" s="1"/>
  <c r="CH18" i="24"/>
  <c r="CI18" i="24" s="1"/>
  <c r="CH23" i="24"/>
  <c r="CI23" i="24" s="1"/>
  <c r="CH26" i="24"/>
  <c r="CI26" i="24" s="1"/>
  <c r="CH28" i="24"/>
  <c r="CI28" i="24" s="1"/>
  <c r="DC28" i="24" s="1"/>
  <c r="DD28" i="24" s="1"/>
  <c r="CH33" i="24"/>
  <c r="CI33" i="24" s="1"/>
  <c r="CH34" i="24"/>
  <c r="CI34" i="24" s="1"/>
  <c r="CH36" i="24"/>
  <c r="CI36" i="24" s="1"/>
  <c r="CH39" i="24"/>
  <c r="CI39" i="24" s="1"/>
  <c r="CH6" i="24"/>
  <c r="CI6" i="24" s="1"/>
  <c r="CH15" i="24"/>
  <c r="CI15" i="24" s="1"/>
  <c r="DC15" i="24" s="1"/>
  <c r="DD15" i="24" s="1"/>
  <c r="CH20" i="24"/>
  <c r="CI20" i="24" s="1"/>
  <c r="CH30" i="24"/>
  <c r="CI30" i="24" s="1"/>
  <c r="CH37" i="24"/>
  <c r="CI37" i="24" s="1"/>
  <c r="CH42" i="24"/>
  <c r="CI42" i="24" s="1"/>
  <c r="DC42" i="24" s="1"/>
  <c r="DD42" i="24" s="1"/>
  <c r="CH7" i="24"/>
  <c r="CI7" i="24" s="1"/>
  <c r="CH16" i="24"/>
  <c r="CI16" i="24" s="1"/>
  <c r="DC16" i="24" s="1"/>
  <c r="DD16" i="24" s="1"/>
  <c r="CH22" i="24"/>
  <c r="CI22" i="24" s="1"/>
  <c r="CH25" i="24"/>
  <c r="CI25" i="24" s="1"/>
  <c r="DC25" i="24" s="1"/>
  <c r="DD25" i="24" s="1"/>
  <c r="CH32" i="24"/>
  <c r="CI32" i="24" s="1"/>
  <c r="CH38" i="24"/>
  <c r="CI38" i="24" s="1"/>
  <c r="DC38" i="24" s="1"/>
  <c r="DD38" i="24" s="1"/>
  <c r="CH44" i="24"/>
  <c r="CI44" i="24" s="1"/>
  <c r="BA7" i="1"/>
  <c r="E7" i="8" s="1"/>
  <c r="BA7" i="8" s="1"/>
  <c r="BF7" i="1"/>
  <c r="J7" i="8" s="1"/>
  <c r="BF7" i="8" s="1"/>
  <c r="BD7" i="1"/>
  <c r="H7" i="8" s="1"/>
  <c r="BD7" i="8" s="1"/>
  <c r="BK7" i="1"/>
  <c r="O7" i="8" s="1"/>
  <c r="BK7" i="8" s="1"/>
  <c r="BI7" i="1"/>
  <c r="M7" i="8" s="1"/>
  <c r="BI7" i="8" s="1"/>
  <c r="BG7" i="1"/>
  <c r="K7" i="8" s="1"/>
  <c r="BG7" i="8" s="1"/>
  <c r="BM7" i="1"/>
  <c r="Q7" i="8" s="1"/>
  <c r="BM7" i="8" s="1"/>
  <c r="BL7" i="1"/>
  <c r="P7" i="8" s="1"/>
  <c r="BL7" i="8" s="1"/>
  <c r="BH7" i="1"/>
  <c r="L7" i="8" s="1"/>
  <c r="BH7" i="8" s="1"/>
  <c r="DC14" i="24"/>
  <c r="DD14" i="24" s="1"/>
  <c r="DC19" i="24"/>
  <c r="DD19" i="24" s="1"/>
  <c r="DC46" i="24"/>
  <c r="DD46" i="24" s="1"/>
  <c r="DC43" i="24"/>
  <c r="DD43" i="24" s="1"/>
  <c r="DC31" i="24"/>
  <c r="DD31" i="24" s="1"/>
  <c r="DC21" i="24"/>
  <c r="DD21" i="24" s="1"/>
  <c r="DC45" i="24"/>
  <c r="DD45" i="24" s="1"/>
  <c r="DC29" i="24"/>
  <c r="DD29" i="24" s="1"/>
  <c r="DC27" i="24"/>
  <c r="DD27" i="24" s="1"/>
  <c r="DC20" i="24"/>
  <c r="DD20" i="24" s="1"/>
  <c r="DC11" i="24"/>
  <c r="DD11" i="24" s="1"/>
  <c r="DC7" i="24"/>
  <c r="DD7" i="24" s="1"/>
  <c r="DC41" i="24"/>
  <c r="DD41" i="24" s="1"/>
  <c r="DC26" i="24"/>
  <c r="DD26" i="24" s="1"/>
  <c r="DC18" i="24"/>
  <c r="DD18" i="24" s="1"/>
  <c r="DC20" i="8"/>
  <c r="DD20" i="8" s="1"/>
  <c r="DC28" i="8"/>
  <c r="DD28" i="8" s="1"/>
  <c r="H6" i="14"/>
  <c r="H34" i="14"/>
  <c r="H30" i="14"/>
  <c r="H22" i="14"/>
  <c r="H10" i="14"/>
  <c r="H40" i="14"/>
  <c r="H36" i="14"/>
  <c r="H33" i="14"/>
  <c r="H28" i="14"/>
  <c r="H21" i="14"/>
  <c r="H20" i="14"/>
  <c r="H17" i="14"/>
  <c r="H13" i="14"/>
  <c r="H12" i="14"/>
  <c r="H8" i="14"/>
  <c r="H5" i="14"/>
  <c r="H24" i="14"/>
  <c r="H44" i="14"/>
  <c r="H39" i="14"/>
  <c r="H11" i="14"/>
  <c r="H27" i="14"/>
  <c r="H23" i="14"/>
  <c r="H18" i="14"/>
  <c r="H14" i="14"/>
  <c r="H35" i="14"/>
  <c r="H29" i="14"/>
  <c r="H42" i="14"/>
  <c r="H37" i="14"/>
  <c r="H31" i="14"/>
  <c r="H25" i="14"/>
  <c r="H19" i="14"/>
  <c r="H15" i="14"/>
  <c r="H9" i="14"/>
  <c r="H41" i="14"/>
  <c r="H7" i="14"/>
  <c r="H43" i="14"/>
  <c r="H38" i="14"/>
  <c r="H32" i="14"/>
  <c r="H26" i="14"/>
  <c r="H16" i="14"/>
  <c r="DC17" i="24"/>
  <c r="DD17" i="24" s="1"/>
  <c r="DC23" i="24"/>
  <c r="DD23" i="24" s="1"/>
  <c r="DC44" i="24"/>
  <c r="DD44" i="24" s="1"/>
  <c r="DC12" i="24"/>
  <c r="DD12" i="24" s="1"/>
  <c r="DC40" i="24"/>
  <c r="DD40" i="24" s="1"/>
  <c r="DC24" i="24"/>
  <c r="DD24" i="24" s="1"/>
  <c r="BW47" i="24"/>
  <c r="BO47" i="24"/>
  <c r="BS47" i="24"/>
  <c r="CH5" i="24"/>
  <c r="BT47" i="24"/>
  <c r="CC47" i="24"/>
  <c r="CF5" i="24"/>
  <c r="BP47" i="24"/>
  <c r="CD47" i="24"/>
  <c r="CE47" i="24"/>
  <c r="CW47" i="24"/>
  <c r="DC10" i="24"/>
  <c r="DD10" i="24" s="1"/>
  <c r="BX47" i="24"/>
  <c r="CG47" i="24"/>
  <c r="CQ13" i="24"/>
  <c r="BQ47" i="24"/>
  <c r="BU47" i="24"/>
  <c r="BY47" i="24"/>
  <c r="DB47" i="24"/>
  <c r="DC30" i="24"/>
  <c r="DD30" i="24" s="1"/>
  <c r="BR47" i="24"/>
  <c r="BV47" i="24"/>
  <c r="BZ47" i="24"/>
  <c r="CV47" i="24"/>
  <c r="CI5" i="24" l="1"/>
  <c r="DC13" i="24"/>
  <c r="DD13" i="24" s="1"/>
  <c r="DC39" i="24"/>
  <c r="DD39" i="24" s="1"/>
  <c r="DC34" i="24"/>
  <c r="DD34" i="24" s="1"/>
  <c r="DC36" i="24"/>
  <c r="DD36" i="24" s="1"/>
  <c r="DC22" i="24"/>
  <c r="DD22" i="24" s="1"/>
  <c r="DC33" i="24"/>
  <c r="DD33" i="24" s="1"/>
  <c r="DC32" i="24"/>
  <c r="DD32" i="24" s="1"/>
  <c r="DC6" i="24"/>
  <c r="DD6" i="24" s="1"/>
  <c r="DC37" i="24"/>
  <c r="DD37" i="24" s="1"/>
  <c r="DC5" i="24"/>
  <c r="DC35" i="24"/>
  <c r="DD35" i="24" s="1"/>
  <c r="CV49" i="24"/>
  <c r="CN4" i="24"/>
  <c r="CF47" i="24"/>
  <c r="CH47" i="24"/>
  <c r="DC47" i="24" l="1"/>
  <c r="DD5" i="24"/>
  <c r="DD47" i="24" s="1"/>
  <c r="CI47" i="24"/>
  <c r="CI48" i="24" s="1"/>
  <c r="CT29" i="5" l="1"/>
  <c r="DA29" i="5" s="1"/>
  <c r="CU29" i="5"/>
  <c r="CW29" i="5"/>
  <c r="CZ29" i="5"/>
  <c r="DC29" i="5" l="1"/>
  <c r="DB29" i="5" l="1"/>
  <c r="CT10" i="24"/>
  <c r="CT14" i="24"/>
  <c r="CT18" i="24"/>
  <c r="CT22" i="24"/>
  <c r="CT32" i="24"/>
  <c r="CT36" i="24"/>
  <c r="CT43" i="24"/>
  <c r="BX6" i="5"/>
  <c r="BX8" i="5"/>
  <c r="BX9" i="5"/>
  <c r="BX10" i="5"/>
  <c r="BX11" i="5"/>
  <c r="BX12" i="5"/>
  <c r="BX13" i="5"/>
  <c r="BX14" i="5"/>
  <c r="BX15" i="5"/>
  <c r="BX16" i="5"/>
  <c r="BX17" i="5"/>
  <c r="BX18" i="5"/>
  <c r="BX19" i="5"/>
  <c r="BX20" i="5"/>
  <c r="BX5" i="5"/>
  <c r="BX45" i="5" l="1"/>
  <c r="A47" i="24"/>
  <c r="CT47" i="24" s="1"/>
  <c r="CT38" i="24"/>
  <c r="CT23" i="24"/>
  <c r="CT19" i="24"/>
  <c r="CT15" i="24"/>
  <c r="CT11" i="24"/>
  <c r="CT35" i="24"/>
  <c r="CT25" i="24"/>
  <c r="CT21" i="24"/>
  <c r="CT17" i="24"/>
  <c r="CT13" i="24"/>
  <c r="CT9" i="24"/>
  <c r="CT45" i="24"/>
  <c r="CT33" i="24"/>
  <c r="CT34" i="24"/>
  <c r="CT30" i="24"/>
  <c r="CT24" i="24"/>
  <c r="CT20" i="24"/>
  <c r="CT16" i="24"/>
  <c r="CT12" i="24"/>
  <c r="CT31" i="5"/>
  <c r="DA31" i="5" s="1"/>
  <c r="CU31" i="5"/>
  <c r="CW31" i="5"/>
  <c r="AX29" i="1"/>
  <c r="B29" i="8" s="1"/>
  <c r="AX29" i="8" s="1"/>
  <c r="AY29" i="1"/>
  <c r="C29" i="8" s="1"/>
  <c r="AY29" i="8" s="1"/>
  <c r="AZ29" i="1"/>
  <c r="D29" i="8" s="1"/>
  <c r="AZ29" i="8" s="1"/>
  <c r="BB29" i="1"/>
  <c r="BC29" i="1"/>
  <c r="BE29" i="1"/>
  <c r="I29" i="8" l="1"/>
  <c r="BE29" i="8" s="1"/>
  <c r="G29" i="8"/>
  <c r="BC29" i="8" s="1"/>
  <c r="F29" i="8"/>
  <c r="BB29" i="8" s="1"/>
  <c r="DC31" i="5"/>
  <c r="BA29" i="1"/>
  <c r="E29" i="8" s="1"/>
  <c r="BA29" i="8" s="1"/>
  <c r="BH29" i="1"/>
  <c r="L29" i="8" s="1"/>
  <c r="BH29" i="8" s="1"/>
  <c r="BM29" i="1"/>
  <c r="Q29" i="8" s="1"/>
  <c r="BM29" i="8" s="1"/>
  <c r="BG29" i="1"/>
  <c r="K29" i="8" s="1"/>
  <c r="BG29" i="8" s="1"/>
  <c r="BK29" i="1"/>
  <c r="O29" i="8" s="1"/>
  <c r="BK29" i="8" s="1"/>
  <c r="BD29" i="1"/>
  <c r="H29" i="8" s="1"/>
  <c r="BD29" i="8" s="1"/>
  <c r="BL29" i="1"/>
  <c r="P29" i="8" s="1"/>
  <c r="BL29" i="8" s="1"/>
  <c r="BF29" i="1"/>
  <c r="J29" i="8" s="1"/>
  <c r="BF29" i="8" s="1"/>
  <c r="BI29" i="1"/>
  <c r="M29" i="8" s="1"/>
  <c r="BI29" i="8" s="1"/>
  <c r="DC30" i="8"/>
  <c r="DD30" i="8" s="1"/>
  <c r="CT31" i="24"/>
  <c r="DB31" i="5" l="1"/>
  <c r="BY6" i="5" l="1"/>
  <c r="BY8" i="5"/>
  <c r="BY9" i="5"/>
  <c r="BY10" i="5"/>
  <c r="BY11" i="5"/>
  <c r="BY12" i="5"/>
  <c r="BY13" i="5"/>
  <c r="BY14" i="5"/>
  <c r="BY15" i="5"/>
  <c r="BY16" i="5"/>
  <c r="BY17" i="5"/>
  <c r="BY18" i="5"/>
  <c r="BY19" i="5"/>
  <c r="BY20" i="5"/>
  <c r="BY5" i="5"/>
  <c r="BY45" i="5" l="1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8" i="18"/>
  <c r="B29" i="18"/>
  <c r="B30" i="18"/>
  <c r="B31" i="18"/>
  <c r="B32" i="18"/>
  <c r="B33" i="18"/>
  <c r="B35" i="18"/>
  <c r="B38" i="18"/>
  <c r="B39" i="18"/>
  <c r="B40" i="18"/>
  <c r="B42" i="18"/>
  <c r="B44" i="18"/>
  <c r="B45" i="18"/>
  <c r="B46" i="18"/>
  <c r="B47" i="18"/>
  <c r="B48" i="18"/>
  <c r="CW19" i="5"/>
  <c r="CZ19" i="5"/>
  <c r="BO19" i="5"/>
  <c r="BP19" i="5"/>
  <c r="BQ19" i="5"/>
  <c r="BS19" i="5"/>
  <c r="BT19" i="5"/>
  <c r="BU19" i="5"/>
  <c r="BV19" i="5"/>
  <c r="BW19" i="5"/>
  <c r="BZ19" i="5"/>
  <c r="CT19" i="5"/>
  <c r="DA19" i="5" s="1"/>
  <c r="CU19" i="5"/>
  <c r="CH19" i="5" l="1"/>
  <c r="CI19" i="5" s="1"/>
  <c r="DC19" i="5" s="1"/>
  <c r="DB19" i="5" l="1"/>
  <c r="BB19" i="1" l="1"/>
  <c r="BE19" i="1"/>
  <c r="BC19" i="1"/>
  <c r="AZ19" i="1"/>
  <c r="D19" i="8" s="1"/>
  <c r="AZ19" i="8" s="1"/>
  <c r="AX19" i="1"/>
  <c r="B19" i="8" s="1"/>
  <c r="AX19" i="8" s="1"/>
  <c r="AY19" i="1"/>
  <c r="C19" i="8" s="1"/>
  <c r="AY19" i="8" s="1"/>
  <c r="I19" i="8" l="1"/>
  <c r="BE19" i="8" s="1"/>
  <c r="G19" i="8"/>
  <c r="BC19" i="8" s="1"/>
  <c r="F19" i="8"/>
  <c r="BB19" i="8" s="1"/>
  <c r="BA19" i="1"/>
  <c r="E19" i="8" s="1"/>
  <c r="BA19" i="8" s="1"/>
  <c r="BG19" i="1"/>
  <c r="K19" i="8" s="1"/>
  <c r="BG19" i="8" s="1"/>
  <c r="BK19" i="1"/>
  <c r="O19" i="8" s="1"/>
  <c r="BK19" i="8" s="1"/>
  <c r="BF19" i="1"/>
  <c r="J19" i="8" s="1"/>
  <c r="BF19" i="8" s="1"/>
  <c r="BM19" i="1"/>
  <c r="Q19" i="8" s="1"/>
  <c r="BM19" i="8" s="1"/>
  <c r="BL19" i="1"/>
  <c r="P19" i="8" s="1"/>
  <c r="BL19" i="8" s="1"/>
  <c r="BI19" i="1"/>
  <c r="M19" i="8" s="1"/>
  <c r="BI19" i="8" s="1"/>
  <c r="BD19" i="1"/>
  <c r="H19" i="8" s="1"/>
  <c r="BD19" i="8" s="1"/>
  <c r="BH19" i="1"/>
  <c r="L19" i="8" s="1"/>
  <c r="BH19" i="8" s="1"/>
  <c r="DC16" i="8" l="1"/>
  <c r="DD16" i="8" s="1"/>
  <c r="DC27" i="8"/>
  <c r="DD27" i="8" s="1"/>
  <c r="D4" i="14" l="1"/>
  <c r="D46" i="14" s="1"/>
  <c r="CT15" i="5" l="1"/>
  <c r="DA15" i="5" s="1"/>
  <c r="CU15" i="5"/>
  <c r="CW15" i="5"/>
  <c r="CZ15" i="5"/>
  <c r="CT16" i="5"/>
  <c r="DA16" i="5" s="1"/>
  <c r="CU16" i="5"/>
  <c r="CW16" i="5"/>
  <c r="CZ16" i="5"/>
  <c r="CT17" i="5"/>
  <c r="DA17" i="5" s="1"/>
  <c r="CU17" i="5"/>
  <c r="CW17" i="5"/>
  <c r="CZ17" i="5"/>
  <c r="CT18" i="5"/>
  <c r="DA18" i="5" s="1"/>
  <c r="CU18" i="5"/>
  <c r="CW18" i="5"/>
  <c r="CZ18" i="5"/>
  <c r="CT20" i="5"/>
  <c r="DA20" i="5" s="1"/>
  <c r="CU20" i="5"/>
  <c r="CW20" i="5"/>
  <c r="CZ20" i="5"/>
  <c r="CT23" i="5"/>
  <c r="DA23" i="5" s="1"/>
  <c r="CU23" i="5"/>
  <c r="CW23" i="5"/>
  <c r="CZ23" i="5"/>
  <c r="CT24" i="5"/>
  <c r="DA24" i="5" s="1"/>
  <c r="CU24" i="5"/>
  <c r="CW24" i="5"/>
  <c r="CZ24" i="5"/>
  <c r="CT25" i="5"/>
  <c r="DA25" i="5" s="1"/>
  <c r="CU25" i="5"/>
  <c r="CW25" i="5"/>
  <c r="CZ25" i="5"/>
  <c r="CT26" i="5"/>
  <c r="DA26" i="5" s="1"/>
  <c r="CU26" i="5"/>
  <c r="CW26" i="5"/>
  <c r="CZ26" i="5"/>
  <c r="CT27" i="5"/>
  <c r="DA27" i="5" s="1"/>
  <c r="CU27" i="5"/>
  <c r="CW27" i="5"/>
  <c r="CZ27" i="5"/>
  <c r="CT28" i="5"/>
  <c r="DA28" i="5" s="1"/>
  <c r="CU28" i="5"/>
  <c r="CW28" i="5"/>
  <c r="CZ28" i="5"/>
  <c r="DB28" i="5"/>
  <c r="CT30" i="5"/>
  <c r="DA30" i="5" s="1"/>
  <c r="CU30" i="5"/>
  <c r="CW30" i="5"/>
  <c r="CT32" i="5"/>
  <c r="DA32" i="5" s="1"/>
  <c r="CU32" i="5"/>
  <c r="CW32" i="5"/>
  <c r="CT33" i="5"/>
  <c r="DA33" i="5" s="1"/>
  <c r="CW33" i="5"/>
  <c r="CT35" i="5"/>
  <c r="DA35" i="5" s="1"/>
  <c r="CU35" i="5"/>
  <c r="CW35" i="5"/>
  <c r="CT36" i="5"/>
  <c r="DA36" i="5" s="1"/>
  <c r="CU36" i="5"/>
  <c r="CW36" i="5"/>
  <c r="CT37" i="5"/>
  <c r="DA37" i="5" s="1"/>
  <c r="CU37" i="5"/>
  <c r="CW37" i="5"/>
  <c r="DC37" i="5" s="1"/>
  <c r="CT38" i="5"/>
  <c r="DA38" i="5" s="1"/>
  <c r="CU38" i="5"/>
  <c r="CW38" i="5"/>
  <c r="CT39" i="5"/>
  <c r="DA39" i="5" s="1"/>
  <c r="CU39" i="5"/>
  <c r="CW39" i="5"/>
  <c r="CT40" i="5"/>
  <c r="DA40" i="5" s="1"/>
  <c r="CU40" i="5"/>
  <c r="CW40" i="5"/>
  <c r="CT41" i="5"/>
  <c r="DA41" i="5" s="1"/>
  <c r="CU41" i="5"/>
  <c r="CW41" i="5"/>
  <c r="CT45" i="5"/>
  <c r="DA45" i="5" s="1"/>
  <c r="CU45" i="5"/>
  <c r="CW45" i="5"/>
  <c r="BO15" i="5"/>
  <c r="BP15" i="5"/>
  <c r="BQ15" i="5"/>
  <c r="BS15" i="5"/>
  <c r="BT15" i="5"/>
  <c r="BU15" i="5"/>
  <c r="BV15" i="5"/>
  <c r="BW15" i="5"/>
  <c r="BZ15" i="5"/>
  <c r="BO16" i="5"/>
  <c r="BP16" i="5"/>
  <c r="BQ16" i="5"/>
  <c r="BS16" i="5"/>
  <c r="BT16" i="5"/>
  <c r="BU16" i="5"/>
  <c r="BV16" i="5"/>
  <c r="BW16" i="5"/>
  <c r="BZ16" i="5"/>
  <c r="BO18" i="5"/>
  <c r="CH18" i="5" s="1"/>
  <c r="CI18" i="5" s="1"/>
  <c r="BP18" i="5"/>
  <c r="BQ18" i="5"/>
  <c r="BS18" i="5"/>
  <c r="BT18" i="5"/>
  <c r="BU18" i="5"/>
  <c r="BV18" i="5"/>
  <c r="BW18" i="5"/>
  <c r="BZ18" i="5"/>
  <c r="B4" i="18"/>
  <c r="CH16" i="5" l="1"/>
  <c r="CI16" i="5" s="1"/>
  <c r="CH15" i="5"/>
  <c r="CI15" i="5" s="1"/>
  <c r="DC15" i="5" s="1"/>
  <c r="DC18" i="5"/>
  <c r="DC19" i="8"/>
  <c r="DD19" i="8" s="1"/>
  <c r="DC16" i="5"/>
  <c r="DC28" i="5"/>
  <c r="BB28" i="1"/>
  <c r="BB15" i="1"/>
  <c r="BC18" i="1"/>
  <c r="BC15" i="1"/>
  <c r="BE28" i="1"/>
  <c r="BB18" i="1"/>
  <c r="BC28" i="1"/>
  <c r="BE18" i="1"/>
  <c r="AZ28" i="1"/>
  <c r="D28" i="8" s="1"/>
  <c r="AZ28" i="8" s="1"/>
  <c r="AY28" i="1"/>
  <c r="C28" i="8" s="1"/>
  <c r="AY28" i="8" s="1"/>
  <c r="AX28" i="1"/>
  <c r="B28" i="8" s="1"/>
  <c r="AX28" i="8" s="1"/>
  <c r="AZ18" i="1"/>
  <c r="D18" i="8" s="1"/>
  <c r="AZ18" i="8" s="1"/>
  <c r="AY18" i="1"/>
  <c r="C18" i="8" s="1"/>
  <c r="AY18" i="8" s="1"/>
  <c r="AX18" i="1"/>
  <c r="B18" i="8" s="1"/>
  <c r="AX18" i="8" s="1"/>
  <c r="BE15" i="1"/>
  <c r="AZ15" i="1"/>
  <c r="D15" i="8" s="1"/>
  <c r="AZ15" i="8" s="1"/>
  <c r="AY15" i="1"/>
  <c r="C15" i="8" s="1"/>
  <c r="AY15" i="8" s="1"/>
  <c r="AX15" i="1"/>
  <c r="B15" i="8" s="1"/>
  <c r="AX15" i="8" s="1"/>
  <c r="I15" i="8" l="1"/>
  <c r="BE15" i="8" s="1"/>
  <c r="G28" i="8"/>
  <c r="BC28" i="8" s="1"/>
  <c r="I28" i="8"/>
  <c r="BE28" i="8" s="1"/>
  <c r="G18" i="8"/>
  <c r="BC18" i="8" s="1"/>
  <c r="F28" i="8"/>
  <c r="BB28" i="8" s="1"/>
  <c r="I18" i="8"/>
  <c r="BE18" i="8" s="1"/>
  <c r="F18" i="8"/>
  <c r="BB18" i="8" s="1"/>
  <c r="G15" i="8"/>
  <c r="BC15" i="8" s="1"/>
  <c r="F15" i="8"/>
  <c r="BB15" i="8" s="1"/>
  <c r="BA15" i="1"/>
  <c r="E15" i="8" s="1"/>
  <c r="BA15" i="8" s="1"/>
  <c r="BA28" i="1"/>
  <c r="E28" i="8" s="1"/>
  <c r="BA28" i="8" s="1"/>
  <c r="BA18" i="1"/>
  <c r="E18" i="8" s="1"/>
  <c r="BA18" i="8" s="1"/>
  <c r="BD28" i="1"/>
  <c r="H28" i="8" s="1"/>
  <c r="BD28" i="8" s="1"/>
  <c r="BG18" i="1"/>
  <c r="K18" i="8" s="1"/>
  <c r="BG18" i="8" s="1"/>
  <c r="BD18" i="1"/>
  <c r="H18" i="8" s="1"/>
  <c r="BD18" i="8" s="1"/>
  <c r="BD15" i="1"/>
  <c r="H15" i="8" s="1"/>
  <c r="BD15" i="8" s="1"/>
  <c r="BH28" i="1"/>
  <c r="L28" i="8" s="1"/>
  <c r="BH28" i="8" s="1"/>
  <c r="BI15" i="1"/>
  <c r="M15" i="8" s="1"/>
  <c r="BI15" i="8" s="1"/>
  <c r="BH15" i="1"/>
  <c r="L15" i="8" s="1"/>
  <c r="BH15" i="8" s="1"/>
  <c r="BL28" i="1"/>
  <c r="P28" i="8" s="1"/>
  <c r="BL28" i="8" s="1"/>
  <c r="BG28" i="1"/>
  <c r="K28" i="8" s="1"/>
  <c r="BG28" i="8" s="1"/>
  <c r="BF28" i="1"/>
  <c r="J28" i="8" s="1"/>
  <c r="BF28" i="8" s="1"/>
  <c r="BK28" i="1"/>
  <c r="O28" i="8" s="1"/>
  <c r="BK28" i="8" s="1"/>
  <c r="BM15" i="1"/>
  <c r="Q15" i="8" s="1"/>
  <c r="BM15" i="8" s="1"/>
  <c r="BM18" i="1"/>
  <c r="Q18" i="8" s="1"/>
  <c r="BM18" i="8" s="1"/>
  <c r="BG15" i="1"/>
  <c r="K15" i="8" s="1"/>
  <c r="BG15" i="8" s="1"/>
  <c r="BL18" i="1"/>
  <c r="P18" i="8" s="1"/>
  <c r="BL18" i="8" s="1"/>
  <c r="BM28" i="1"/>
  <c r="Q28" i="8" s="1"/>
  <c r="BM28" i="8" s="1"/>
  <c r="BK18" i="1"/>
  <c r="O18" i="8" s="1"/>
  <c r="BK18" i="8" s="1"/>
  <c r="BK15" i="1"/>
  <c r="O15" i="8" s="1"/>
  <c r="BK15" i="8" s="1"/>
  <c r="BI18" i="1"/>
  <c r="M18" i="8" s="1"/>
  <c r="BI18" i="8" s="1"/>
  <c r="BL15" i="1"/>
  <c r="P15" i="8" s="1"/>
  <c r="BL15" i="8" s="1"/>
  <c r="BH18" i="1"/>
  <c r="L18" i="8" s="1"/>
  <c r="BH18" i="8" s="1"/>
  <c r="BF18" i="1"/>
  <c r="J18" i="8" s="1"/>
  <c r="BF18" i="8" s="1"/>
  <c r="BI28" i="1"/>
  <c r="M28" i="8" s="1"/>
  <c r="BI28" i="8" s="1"/>
  <c r="BF15" i="1"/>
  <c r="J15" i="8" s="1"/>
  <c r="BF15" i="8" s="1"/>
  <c r="DB15" i="5"/>
  <c r="DB16" i="5"/>
  <c r="DB18" i="5"/>
  <c r="L20" i="24" l="1"/>
  <c r="BH20" i="24" s="1"/>
  <c r="P20" i="24"/>
  <c r="BL20" i="24" s="1"/>
  <c r="M20" i="24"/>
  <c r="BI20" i="24" s="1"/>
  <c r="F20" i="24"/>
  <c r="BB20" i="24" s="1"/>
  <c r="O20" i="24"/>
  <c r="BK20" i="24" s="1"/>
  <c r="I20" i="24"/>
  <c r="BE20" i="24" s="1"/>
  <c r="H20" i="24"/>
  <c r="BD20" i="24" s="1"/>
  <c r="K20" i="24"/>
  <c r="BG20" i="24" s="1"/>
  <c r="J20" i="24"/>
  <c r="BF20" i="24" s="1"/>
  <c r="Q20" i="24"/>
  <c r="BM20" i="24" s="1"/>
  <c r="G20" i="24"/>
  <c r="BC20" i="24" s="1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B29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B32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B35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B36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B37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B38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B40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B41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B42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B43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A40" i="15"/>
  <c r="A42" i="15"/>
  <c r="A44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7" i="15"/>
  <c r="A28" i="15"/>
  <c r="A29" i="15"/>
  <c r="A30" i="15"/>
  <c r="A31" i="15"/>
  <c r="A32" i="15"/>
  <c r="A33" i="15"/>
  <c r="A35" i="15"/>
  <c r="A38" i="15"/>
  <c r="A39" i="15"/>
  <c r="A4" i="15"/>
  <c r="A4" i="17" l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" i="20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BD34" i="1" l="1"/>
  <c r="H34" i="8" s="1"/>
  <c r="BD34" i="8" s="1"/>
  <c r="BD31" i="1"/>
  <c r="H31" i="8" s="1"/>
  <c r="BD31" i="8" s="1"/>
  <c r="BD21" i="1" l="1"/>
  <c r="H21" i="8" s="1"/>
  <c r="BD21" i="8" s="1"/>
  <c r="BD22" i="1"/>
  <c r="H22" i="8" s="1"/>
  <c r="BD22" i="8" s="1"/>
  <c r="BD20" i="1"/>
  <c r="H20" i="8" s="1"/>
  <c r="BD20" i="8" s="1"/>
  <c r="BD16" i="1"/>
  <c r="H16" i="8" s="1"/>
  <c r="BD16" i="8" s="1"/>
  <c r="H17" i="24" l="1"/>
  <c r="BD17" i="24" s="1"/>
  <c r="H21" i="24"/>
  <c r="BD21" i="24" s="1"/>
  <c r="CY7" i="8" l="1"/>
  <c r="CY8" i="8"/>
  <c r="CW6" i="5"/>
  <c r="CZ6" i="5"/>
  <c r="CW8" i="5"/>
  <c r="CZ8" i="5"/>
  <c r="CW9" i="5"/>
  <c r="CZ9" i="5"/>
  <c r="CW10" i="5"/>
  <c r="CZ10" i="5"/>
  <c r="CW12" i="5"/>
  <c r="CZ12" i="5"/>
  <c r="CW13" i="5"/>
  <c r="CZ13" i="5"/>
  <c r="CW14" i="5"/>
  <c r="CZ14" i="5"/>
  <c r="A42" i="24" l="1"/>
  <c r="CT42" i="24" s="1"/>
  <c r="A29" i="24"/>
  <c r="CT29" i="24" s="1"/>
  <c r="A41" i="24"/>
  <c r="CT41" i="24" s="1"/>
  <c r="B43" i="18"/>
  <c r="B34" i="18"/>
  <c r="B41" i="18"/>
  <c r="B27" i="18"/>
  <c r="B37" i="18"/>
  <c r="B26" i="18"/>
  <c r="B36" i="18"/>
  <c r="B5" i="18"/>
  <c r="A36" i="15"/>
  <c r="A5" i="15"/>
  <c r="A43" i="15"/>
  <c r="A34" i="15"/>
  <c r="A41" i="15"/>
  <c r="A26" i="15"/>
  <c r="A37" i="15"/>
  <c r="A25" i="15"/>
  <c r="A26" i="24" l="1"/>
  <c r="CT26" i="24" s="1"/>
  <c r="A27" i="24"/>
  <c r="CT27" i="24" s="1"/>
  <c r="A6" i="24"/>
  <c r="CT6" i="24" s="1"/>
  <c r="CT7" i="8"/>
  <c r="A39" i="24"/>
  <c r="CT39" i="24" s="1"/>
  <c r="A44" i="24"/>
  <c r="CT44" i="24" s="1"/>
  <c r="A28" i="24"/>
  <c r="CT28" i="24" s="1"/>
  <c r="A46" i="24"/>
  <c r="CT46" i="24" s="1"/>
  <c r="A37" i="24"/>
  <c r="CT37" i="24" s="1"/>
  <c r="A40" i="24"/>
  <c r="CT40" i="24" s="1"/>
  <c r="G45" i="14" l="1"/>
  <c r="G46" i="14" s="1"/>
  <c r="E45" i="14"/>
  <c r="E46" i="14" s="1"/>
  <c r="H46" i="14" l="1"/>
  <c r="CR46" i="6" l="1"/>
  <c r="BZ17" i="5"/>
  <c r="BZ20" i="5"/>
  <c r="AX31" i="1" l="1"/>
  <c r="B31" i="8" s="1"/>
  <c r="AX31" i="8" s="1"/>
  <c r="AY31" i="1"/>
  <c r="C31" i="8" s="1"/>
  <c r="AY31" i="8" s="1"/>
  <c r="AZ31" i="1"/>
  <c r="D31" i="8" s="1"/>
  <c r="AZ31" i="8" s="1"/>
  <c r="BB31" i="1"/>
  <c r="BC31" i="1"/>
  <c r="BE31" i="1"/>
  <c r="AX34" i="1"/>
  <c r="B34" i="8" s="1"/>
  <c r="AX34" i="8" s="1"/>
  <c r="AY34" i="1"/>
  <c r="C34" i="8" s="1"/>
  <c r="AY34" i="8" s="1"/>
  <c r="AZ34" i="1"/>
  <c r="D34" i="8" s="1"/>
  <c r="AZ34" i="8" s="1"/>
  <c r="BB34" i="1"/>
  <c r="BC34" i="1"/>
  <c r="BE34" i="1"/>
  <c r="G34" i="8" l="1"/>
  <c r="BC34" i="8" s="1"/>
  <c r="G31" i="8"/>
  <c r="BC31" i="8" s="1"/>
  <c r="I34" i="8"/>
  <c r="BE34" i="8" s="1"/>
  <c r="F34" i="8"/>
  <c r="BB34" i="8" s="1"/>
  <c r="I31" i="8"/>
  <c r="BE31" i="8" s="1"/>
  <c r="F31" i="8"/>
  <c r="BB31" i="8" s="1"/>
  <c r="BA34" i="1"/>
  <c r="E34" i="8" s="1"/>
  <c r="BA34" i="8" s="1"/>
  <c r="BA31" i="1"/>
  <c r="E31" i="8" s="1"/>
  <c r="BA31" i="8" s="1"/>
  <c r="BD40" i="1"/>
  <c r="H40" i="8" s="1"/>
  <c r="BD40" i="8" s="1"/>
  <c r="BK31" i="1"/>
  <c r="O31" i="8" s="1"/>
  <c r="BK31" i="8" s="1"/>
  <c r="BG31" i="1"/>
  <c r="K31" i="8" s="1"/>
  <c r="BG31" i="8" s="1"/>
  <c r="BD24" i="1"/>
  <c r="H24" i="8" s="1"/>
  <c r="BD24" i="8" s="1"/>
  <c r="BD9" i="1"/>
  <c r="H9" i="8" s="1"/>
  <c r="BD9" i="8" s="1"/>
  <c r="BD39" i="1"/>
  <c r="H39" i="8" s="1"/>
  <c r="BD39" i="8" s="1"/>
  <c r="BD33" i="1"/>
  <c r="H33" i="8" s="1"/>
  <c r="BD33" i="8" s="1"/>
  <c r="BF31" i="1"/>
  <c r="J31" i="8" s="1"/>
  <c r="BF31" i="8" s="1"/>
  <c r="BD8" i="1"/>
  <c r="H8" i="8" s="1"/>
  <c r="BD8" i="8" s="1"/>
  <c r="BD38" i="1"/>
  <c r="H38" i="8" s="1"/>
  <c r="BD38" i="8" s="1"/>
  <c r="BL34" i="1"/>
  <c r="P34" i="8" s="1"/>
  <c r="BL34" i="8" s="1"/>
  <c r="BH34" i="1"/>
  <c r="L34" i="8" s="1"/>
  <c r="BH34" i="8" s="1"/>
  <c r="BD35" i="1"/>
  <c r="H35" i="8" s="1"/>
  <c r="BD35" i="8" s="1"/>
  <c r="BM31" i="1"/>
  <c r="Q31" i="8" s="1"/>
  <c r="BM31" i="8" s="1"/>
  <c r="BI31" i="1"/>
  <c r="M31" i="8" s="1"/>
  <c r="BI31" i="8" s="1"/>
  <c r="BM30" i="1"/>
  <c r="Q30" i="8" s="1"/>
  <c r="BM30" i="8" s="1"/>
  <c r="BD17" i="1"/>
  <c r="H17" i="8" s="1"/>
  <c r="BD17" i="8" s="1"/>
  <c r="BD11" i="1"/>
  <c r="H11" i="8" s="1"/>
  <c r="BD11" i="8" s="1"/>
  <c r="BD36" i="1"/>
  <c r="H36" i="8" s="1"/>
  <c r="BD36" i="8" s="1"/>
  <c r="BF34" i="1"/>
  <c r="J34" i="8" s="1"/>
  <c r="BF34" i="8" s="1"/>
  <c r="BD27" i="1"/>
  <c r="H27" i="8" s="1"/>
  <c r="BD27" i="8" s="1"/>
  <c r="BD13" i="1"/>
  <c r="H13" i="8" s="1"/>
  <c r="BD13" i="8" s="1"/>
  <c r="BM34" i="1"/>
  <c r="Q34" i="8" s="1"/>
  <c r="BM34" i="8" s="1"/>
  <c r="BI34" i="1"/>
  <c r="M34" i="8" s="1"/>
  <c r="BI34" i="8" s="1"/>
  <c r="BD23" i="1"/>
  <c r="H23" i="8" s="1"/>
  <c r="BD23" i="8" s="1"/>
  <c r="BD12" i="1"/>
  <c r="H12" i="8" s="1"/>
  <c r="BD12" i="8" s="1"/>
  <c r="BD41" i="1"/>
  <c r="H41" i="8" s="1"/>
  <c r="BD41" i="8" s="1"/>
  <c r="BD37" i="1"/>
  <c r="H37" i="8" s="1"/>
  <c r="BD37" i="8" s="1"/>
  <c r="BK34" i="1"/>
  <c r="O34" i="8" s="1"/>
  <c r="BK34" i="8" s="1"/>
  <c r="BG34" i="1"/>
  <c r="K34" i="8" s="1"/>
  <c r="BG34" i="8" s="1"/>
  <c r="BL31" i="1"/>
  <c r="P31" i="8" s="1"/>
  <c r="BL31" i="8" s="1"/>
  <c r="BH31" i="1"/>
  <c r="L31" i="8" s="1"/>
  <c r="BH31" i="8" s="1"/>
  <c r="BD32" i="1"/>
  <c r="H32" i="8" s="1"/>
  <c r="BD32" i="8" s="1"/>
  <c r="BD30" i="1"/>
  <c r="H30" i="8" s="1"/>
  <c r="BD30" i="8" s="1"/>
  <c r="BD25" i="1"/>
  <c r="H25" i="8" s="1"/>
  <c r="BD25" i="8" s="1"/>
  <c r="BD14" i="1"/>
  <c r="H14" i="8" s="1"/>
  <c r="BD14" i="8" s="1"/>
  <c r="BD10" i="1"/>
  <c r="H10" i="8" s="1"/>
  <c r="BD10" i="8" s="1"/>
  <c r="BD6" i="1"/>
  <c r="H6" i="8" s="1"/>
  <c r="BD6" i="8" s="1"/>
  <c r="BC22" i="1"/>
  <c r="AY21" i="1"/>
  <c r="C21" i="8" s="1"/>
  <c r="AY21" i="8" s="1"/>
  <c r="BB22" i="1"/>
  <c r="AX21" i="1"/>
  <c r="B21" i="8" s="1"/>
  <c r="AX21" i="8" s="1"/>
  <c r="AY22" i="1"/>
  <c r="C22" i="8" s="1"/>
  <c r="AY22" i="8" s="1"/>
  <c r="BE22" i="1"/>
  <c r="BE21" i="1"/>
  <c r="BC21" i="1"/>
  <c r="BB20" i="1"/>
  <c r="AX22" i="1"/>
  <c r="B22" i="8" s="1"/>
  <c r="AX22" i="8" s="1"/>
  <c r="BB21" i="1"/>
  <c r="AZ22" i="1"/>
  <c r="D22" i="8" s="1"/>
  <c r="AZ22" i="8" s="1"/>
  <c r="AZ21" i="1"/>
  <c r="D21" i="8" s="1"/>
  <c r="AZ21" i="8" s="1"/>
  <c r="AX37" i="1"/>
  <c r="B37" i="8" s="1"/>
  <c r="AX37" i="8" s="1"/>
  <c r="BB8" i="1"/>
  <c r="BE6" i="1"/>
  <c r="I6" i="8" s="1"/>
  <c r="BE6" i="8" s="1"/>
  <c r="BB6" i="1"/>
  <c r="F6" i="8" s="1"/>
  <c r="BB6" i="8" s="1"/>
  <c r="AZ33" i="1"/>
  <c r="D33" i="8" s="1"/>
  <c r="AZ33" i="8" s="1"/>
  <c r="BE20" i="1"/>
  <c r="BE16" i="1"/>
  <c r="AZ16" i="1"/>
  <c r="D16" i="8" s="1"/>
  <c r="AZ16" i="8" s="1"/>
  <c r="AY13" i="1"/>
  <c r="C13" i="8" s="1"/>
  <c r="AY13" i="8" s="1"/>
  <c r="BC26" i="1"/>
  <c r="AY26" i="1"/>
  <c r="C26" i="8" s="1"/>
  <c r="AY26" i="8" s="1"/>
  <c r="AY25" i="1"/>
  <c r="C25" i="8" s="1"/>
  <c r="AY25" i="8" s="1"/>
  <c r="BC24" i="1"/>
  <c r="AY24" i="1"/>
  <c r="C24" i="8" s="1"/>
  <c r="AY24" i="8" s="1"/>
  <c r="BC23" i="1"/>
  <c r="AY23" i="1"/>
  <c r="C23" i="8" s="1"/>
  <c r="AY23" i="8" s="1"/>
  <c r="AY20" i="1"/>
  <c r="C20" i="8" s="1"/>
  <c r="AY20" i="8" s="1"/>
  <c r="BC17" i="1"/>
  <c r="AY17" i="1"/>
  <c r="C17" i="8" s="1"/>
  <c r="AY17" i="8" s="1"/>
  <c r="BC16" i="1"/>
  <c r="AY16" i="1"/>
  <c r="C16" i="8" s="1"/>
  <c r="AY16" i="8" s="1"/>
  <c r="BC14" i="1"/>
  <c r="AY14" i="1"/>
  <c r="C14" i="8" s="1"/>
  <c r="AY14" i="8" s="1"/>
  <c r="BC12" i="1"/>
  <c r="G12" i="8" s="1"/>
  <c r="BC12" i="8" s="1"/>
  <c r="AY12" i="1"/>
  <c r="C12" i="8" s="1"/>
  <c r="AY12" i="8" s="1"/>
  <c r="BC11" i="1"/>
  <c r="AY11" i="1"/>
  <c r="C11" i="8" s="1"/>
  <c r="AY11" i="8" s="1"/>
  <c r="BC10" i="1"/>
  <c r="AY10" i="1"/>
  <c r="C10" i="8" s="1"/>
  <c r="AY10" i="8" s="1"/>
  <c r="BC9" i="1"/>
  <c r="AY9" i="1"/>
  <c r="C9" i="8" s="1"/>
  <c r="AY9" i="8" s="1"/>
  <c r="BC8" i="1"/>
  <c r="AY8" i="1"/>
  <c r="C8" i="8" s="1"/>
  <c r="AX6" i="1"/>
  <c r="B6" i="8" s="1"/>
  <c r="AX6" i="8" s="1"/>
  <c r="BC41" i="1"/>
  <c r="AY41" i="1"/>
  <c r="C41" i="8" s="1"/>
  <c r="AY41" i="8" s="1"/>
  <c r="BC40" i="1"/>
  <c r="AY40" i="1"/>
  <c r="C40" i="8" s="1"/>
  <c r="AY40" i="8" s="1"/>
  <c r="BC39" i="1"/>
  <c r="AY39" i="1"/>
  <c r="C39" i="8" s="1"/>
  <c r="AY39" i="8" s="1"/>
  <c r="BC38" i="1"/>
  <c r="AY38" i="1"/>
  <c r="C38" i="8" s="1"/>
  <c r="AY38" i="8" s="1"/>
  <c r="BC37" i="1"/>
  <c r="AY37" i="1"/>
  <c r="C37" i="8" s="1"/>
  <c r="AY37" i="8" s="1"/>
  <c r="BC36" i="1"/>
  <c r="AY36" i="1"/>
  <c r="C36" i="8" s="1"/>
  <c r="AY36" i="8" s="1"/>
  <c r="BC35" i="1"/>
  <c r="AY35" i="1"/>
  <c r="C35" i="8" s="1"/>
  <c r="AY35" i="8" s="1"/>
  <c r="BC33" i="1"/>
  <c r="AY33" i="1"/>
  <c r="C33" i="8" s="1"/>
  <c r="AY33" i="8" s="1"/>
  <c r="AY32" i="1"/>
  <c r="C32" i="8" s="1"/>
  <c r="AY32" i="8" s="1"/>
  <c r="BC30" i="1"/>
  <c r="AY30" i="1"/>
  <c r="C30" i="8" s="1"/>
  <c r="AY30" i="8" s="1"/>
  <c r="AY27" i="1"/>
  <c r="C27" i="8" s="1"/>
  <c r="AY27" i="8" s="1"/>
  <c r="BB26" i="1"/>
  <c r="AX26" i="1"/>
  <c r="B26" i="8" s="1"/>
  <c r="AX26" i="8" s="1"/>
  <c r="BB25" i="1"/>
  <c r="AX25" i="1"/>
  <c r="B25" i="8" s="1"/>
  <c r="AX25" i="8" s="1"/>
  <c r="BB24" i="1"/>
  <c r="AX24" i="1"/>
  <c r="B24" i="8" s="1"/>
  <c r="AX24" i="8" s="1"/>
  <c r="BB23" i="1"/>
  <c r="AX23" i="1"/>
  <c r="B23" i="8" s="1"/>
  <c r="AX23" i="8" s="1"/>
  <c r="AX17" i="1"/>
  <c r="B17" i="8" s="1"/>
  <c r="AX17" i="8" s="1"/>
  <c r="BB16" i="1"/>
  <c r="BB14" i="1"/>
  <c r="AX14" i="1"/>
  <c r="B14" i="8" s="1"/>
  <c r="AX14" i="8" s="1"/>
  <c r="BB13" i="1"/>
  <c r="AX13" i="1"/>
  <c r="B13" i="8" s="1"/>
  <c r="AX13" i="8" s="1"/>
  <c r="BB12" i="1"/>
  <c r="F12" i="8" s="1"/>
  <c r="BB12" i="8" s="1"/>
  <c r="AX12" i="1"/>
  <c r="B12" i="8" s="1"/>
  <c r="AX12" i="8" s="1"/>
  <c r="BB11" i="1"/>
  <c r="AX11" i="1"/>
  <c r="B11" i="8" s="1"/>
  <c r="AX11" i="8" s="1"/>
  <c r="BB10" i="1"/>
  <c r="AX10" i="1"/>
  <c r="B10" i="8" s="1"/>
  <c r="AX10" i="8" s="1"/>
  <c r="AX9" i="1"/>
  <c r="B9" i="8" s="1"/>
  <c r="AX9" i="8" s="1"/>
  <c r="AX8" i="1"/>
  <c r="B8" i="8" s="1"/>
  <c r="AX8" i="8" s="1"/>
  <c r="BB41" i="1"/>
  <c r="AX41" i="1"/>
  <c r="B41" i="8" s="1"/>
  <c r="AX41" i="8" s="1"/>
  <c r="BB40" i="1"/>
  <c r="AX40" i="1"/>
  <c r="B40" i="8" s="1"/>
  <c r="AX40" i="8" s="1"/>
  <c r="BB39" i="1"/>
  <c r="AX39" i="1"/>
  <c r="B39" i="8" s="1"/>
  <c r="AX39" i="8" s="1"/>
  <c r="BB38" i="1"/>
  <c r="AX38" i="1"/>
  <c r="B38" i="8" s="1"/>
  <c r="AX38" i="8" s="1"/>
  <c r="BB37" i="1"/>
  <c r="BB36" i="1"/>
  <c r="AX36" i="1"/>
  <c r="B36" i="8" s="1"/>
  <c r="AX36" i="8" s="1"/>
  <c r="BB35" i="1"/>
  <c r="AX35" i="1"/>
  <c r="B35" i="8" s="1"/>
  <c r="AX35" i="8" s="1"/>
  <c r="BB33" i="1"/>
  <c r="AX33" i="1"/>
  <c r="B33" i="8" s="1"/>
  <c r="AX33" i="8" s="1"/>
  <c r="AX32" i="1"/>
  <c r="B32" i="8" s="1"/>
  <c r="AX32" i="8" s="1"/>
  <c r="BB30" i="1"/>
  <c r="AX27" i="1"/>
  <c r="B27" i="8" s="1"/>
  <c r="AX27" i="8" s="1"/>
  <c r="BE41" i="1"/>
  <c r="BE40" i="1"/>
  <c r="BE39" i="1"/>
  <c r="BE38" i="1"/>
  <c r="BE37" i="1"/>
  <c r="BE36" i="1"/>
  <c r="BE35" i="1"/>
  <c r="BE33" i="1"/>
  <c r="BE30" i="1"/>
  <c r="BC6" i="1"/>
  <c r="G6" i="8" s="1"/>
  <c r="BC6" i="8" s="1"/>
  <c r="AY6" i="1"/>
  <c r="C6" i="8" s="1"/>
  <c r="AY6" i="8" s="1"/>
  <c r="BC13" i="1"/>
  <c r="BE9" i="1"/>
  <c r="BB9" i="1"/>
  <c r="AZ41" i="1"/>
  <c r="D41" i="8" s="1"/>
  <c r="AZ41" i="8" s="1"/>
  <c r="AZ40" i="1"/>
  <c r="D40" i="8" s="1"/>
  <c r="AZ40" i="8" s="1"/>
  <c r="AZ39" i="1"/>
  <c r="D39" i="8" s="1"/>
  <c r="AZ39" i="8" s="1"/>
  <c r="AZ38" i="1"/>
  <c r="D38" i="8" s="1"/>
  <c r="AZ38" i="8" s="1"/>
  <c r="AZ37" i="1"/>
  <c r="D37" i="8" s="1"/>
  <c r="AZ37" i="8" s="1"/>
  <c r="AZ36" i="1"/>
  <c r="D36" i="8" s="1"/>
  <c r="AZ36" i="8" s="1"/>
  <c r="AZ35" i="1"/>
  <c r="D35" i="8" s="1"/>
  <c r="AZ35" i="8" s="1"/>
  <c r="AZ32" i="1"/>
  <c r="D32" i="8" s="1"/>
  <c r="AZ32" i="8" s="1"/>
  <c r="AZ30" i="1"/>
  <c r="D30" i="8" s="1"/>
  <c r="AZ30" i="8" s="1"/>
  <c r="AZ27" i="1"/>
  <c r="D27" i="8" s="1"/>
  <c r="AZ27" i="8" s="1"/>
  <c r="AZ26" i="1"/>
  <c r="D26" i="8" s="1"/>
  <c r="AZ26" i="8" s="1"/>
  <c r="AZ25" i="1"/>
  <c r="D25" i="8" s="1"/>
  <c r="AZ25" i="8" s="1"/>
  <c r="AZ24" i="1"/>
  <c r="D24" i="8" s="1"/>
  <c r="AZ24" i="8" s="1"/>
  <c r="AZ23" i="1"/>
  <c r="D23" i="8" s="1"/>
  <c r="AZ23" i="8" s="1"/>
  <c r="AZ20" i="1"/>
  <c r="D20" i="8" s="1"/>
  <c r="AZ20" i="8" s="1"/>
  <c r="AZ17" i="1"/>
  <c r="D17" i="8" s="1"/>
  <c r="AZ17" i="8" s="1"/>
  <c r="AZ14" i="1"/>
  <c r="D14" i="8" s="1"/>
  <c r="AZ14" i="8" s="1"/>
  <c r="AZ13" i="1"/>
  <c r="D13" i="8" s="1"/>
  <c r="AZ13" i="8" s="1"/>
  <c r="AZ12" i="1"/>
  <c r="D12" i="8" s="1"/>
  <c r="AZ12" i="8" s="1"/>
  <c r="AZ11" i="1"/>
  <c r="D11" i="8" s="1"/>
  <c r="AZ11" i="8" s="1"/>
  <c r="AZ10" i="1"/>
  <c r="D10" i="8" s="1"/>
  <c r="AZ10" i="8" s="1"/>
  <c r="AZ9" i="1"/>
  <c r="D9" i="8" s="1"/>
  <c r="AZ9" i="8" s="1"/>
  <c r="AZ8" i="1"/>
  <c r="D8" i="8" s="1"/>
  <c r="AZ6" i="1"/>
  <c r="D6" i="8" s="1"/>
  <c r="AZ6" i="8" s="1"/>
  <c r="BB17" i="1"/>
  <c r="BC25" i="1"/>
  <c r="BE11" i="1"/>
  <c r="BE10" i="1"/>
  <c r="BE8" i="1"/>
  <c r="BE13" i="1"/>
  <c r="BE26" i="1"/>
  <c r="BE24" i="1"/>
  <c r="BE25" i="1"/>
  <c r="BE23" i="1"/>
  <c r="BE17" i="1"/>
  <c r="BE14" i="1"/>
  <c r="BE12" i="1"/>
  <c r="I12" i="8" s="1"/>
  <c r="BE12" i="8" s="1"/>
  <c r="AY8" i="8" l="1"/>
  <c r="AZ8" i="8"/>
  <c r="I24" i="8"/>
  <c r="BE24" i="8" s="1"/>
  <c r="I10" i="8"/>
  <c r="BE10" i="8" s="1"/>
  <c r="I9" i="8"/>
  <c r="BE9" i="8" s="1"/>
  <c r="I30" i="8"/>
  <c r="BE30" i="8" s="1"/>
  <c r="I35" i="8"/>
  <c r="BE35" i="8" s="1"/>
  <c r="I37" i="8"/>
  <c r="BE37" i="8" s="1"/>
  <c r="I39" i="8"/>
  <c r="BE39" i="8" s="1"/>
  <c r="I41" i="8"/>
  <c r="BE41" i="8" s="1"/>
  <c r="F33" i="8"/>
  <c r="BB33" i="8" s="1"/>
  <c r="F35" i="8"/>
  <c r="BB35" i="8" s="1"/>
  <c r="F36" i="8"/>
  <c r="BB36" i="8" s="1"/>
  <c r="F16" i="8"/>
  <c r="BB16" i="8" s="1"/>
  <c r="F17" i="24" s="1"/>
  <c r="BB17" i="24" s="1"/>
  <c r="G30" i="8"/>
  <c r="BC30" i="8" s="1"/>
  <c r="G33" i="24" s="1"/>
  <c r="BC33" i="24" s="1"/>
  <c r="G23" i="8"/>
  <c r="BC23" i="8" s="1"/>
  <c r="G24" i="8"/>
  <c r="BC24" i="8" s="1"/>
  <c r="I16" i="8"/>
  <c r="BE16" i="8" s="1"/>
  <c r="F8" i="8"/>
  <c r="BB8" i="8" s="1"/>
  <c r="F21" i="8"/>
  <c r="BB21" i="8" s="1"/>
  <c r="F20" i="8"/>
  <c r="BB20" i="8" s="1"/>
  <c r="F21" i="24" s="1"/>
  <c r="BB21" i="24" s="1"/>
  <c r="I21" i="8"/>
  <c r="BE21" i="8" s="1"/>
  <c r="F22" i="8"/>
  <c r="BB22" i="8" s="1"/>
  <c r="G22" i="8"/>
  <c r="BC22" i="8" s="1"/>
  <c r="I14" i="8"/>
  <c r="BE14" i="8" s="1"/>
  <c r="I23" i="8"/>
  <c r="BE23" i="8" s="1"/>
  <c r="I13" i="8"/>
  <c r="BE13" i="8" s="1"/>
  <c r="G25" i="8"/>
  <c r="BC25" i="8" s="1"/>
  <c r="I17" i="8"/>
  <c r="BE17" i="8" s="1"/>
  <c r="I25" i="8"/>
  <c r="BE25" i="8" s="1"/>
  <c r="I26" i="8"/>
  <c r="BE26" i="8" s="1"/>
  <c r="I8" i="8"/>
  <c r="BE8" i="8" s="1"/>
  <c r="I11" i="8"/>
  <c r="BE11" i="8" s="1"/>
  <c r="F17" i="8"/>
  <c r="BB17" i="8" s="1"/>
  <c r="F9" i="8"/>
  <c r="BB9" i="8" s="1"/>
  <c r="G13" i="8"/>
  <c r="BC13" i="8" s="1"/>
  <c r="I33" i="8"/>
  <c r="BE33" i="8" s="1"/>
  <c r="I36" i="8"/>
  <c r="BE36" i="8" s="1"/>
  <c r="I38" i="8"/>
  <c r="BE38" i="8" s="1"/>
  <c r="I40" i="8"/>
  <c r="BE40" i="8" s="1"/>
  <c r="F30" i="8"/>
  <c r="BB30" i="8" s="1"/>
  <c r="F33" i="24" s="1"/>
  <c r="BB33" i="24" s="1"/>
  <c r="F37" i="8"/>
  <c r="BB37" i="8" s="1"/>
  <c r="F38" i="8"/>
  <c r="BB38" i="8" s="1"/>
  <c r="F39" i="8"/>
  <c r="BB39" i="8" s="1"/>
  <c r="F40" i="8"/>
  <c r="BB40" i="8" s="1"/>
  <c r="F41" i="8"/>
  <c r="BB41" i="8" s="1"/>
  <c r="F10" i="8"/>
  <c r="BB10" i="8" s="1"/>
  <c r="F11" i="8"/>
  <c r="BB11" i="8" s="1"/>
  <c r="F13" i="8"/>
  <c r="BB13" i="8" s="1"/>
  <c r="F14" i="8"/>
  <c r="BB14" i="8" s="1"/>
  <c r="F23" i="8"/>
  <c r="BB23" i="8" s="1"/>
  <c r="F24" i="8"/>
  <c r="BB24" i="8" s="1"/>
  <c r="F25" i="8"/>
  <c r="BB25" i="8" s="1"/>
  <c r="F26" i="8"/>
  <c r="BB26" i="8" s="1"/>
  <c r="G33" i="8"/>
  <c r="BC33" i="8" s="1"/>
  <c r="G35" i="8"/>
  <c r="BC35" i="8" s="1"/>
  <c r="G36" i="8"/>
  <c r="BC36" i="8" s="1"/>
  <c r="G37" i="8"/>
  <c r="BC37" i="8" s="1"/>
  <c r="G38" i="8"/>
  <c r="BC38" i="8" s="1"/>
  <c r="G39" i="8"/>
  <c r="BC39" i="8" s="1"/>
  <c r="G40" i="8"/>
  <c r="BC40" i="8" s="1"/>
  <c r="G41" i="8"/>
  <c r="BC41" i="8" s="1"/>
  <c r="G8" i="8"/>
  <c r="BC8" i="8" s="1"/>
  <c r="G9" i="8"/>
  <c r="BC9" i="8" s="1"/>
  <c r="G10" i="8"/>
  <c r="BC10" i="8" s="1"/>
  <c r="G11" i="8"/>
  <c r="BC11" i="8" s="1"/>
  <c r="G14" i="8"/>
  <c r="BC14" i="8" s="1"/>
  <c r="G16" i="8"/>
  <c r="BC16" i="8" s="1"/>
  <c r="G17" i="24" s="1"/>
  <c r="BC17" i="24" s="1"/>
  <c r="G17" i="8"/>
  <c r="BC17" i="8" s="1"/>
  <c r="G26" i="8"/>
  <c r="BC26" i="8" s="1"/>
  <c r="I20" i="8"/>
  <c r="BE20" i="8" s="1"/>
  <c r="I21" i="24" s="1"/>
  <c r="BE21" i="24" s="1"/>
  <c r="G21" i="8"/>
  <c r="BC21" i="8" s="1"/>
  <c r="I22" i="8"/>
  <c r="BE22" i="8" s="1"/>
  <c r="C21" i="24"/>
  <c r="AY21" i="24" s="1"/>
  <c r="C17" i="24"/>
  <c r="AY17" i="24" s="1"/>
  <c r="C20" i="24"/>
  <c r="AY20" i="24" s="1"/>
  <c r="D21" i="24"/>
  <c r="AZ21" i="24" s="1"/>
  <c r="C33" i="24"/>
  <c r="AY33" i="24" s="1"/>
  <c r="D33" i="24"/>
  <c r="AZ33" i="24" s="1"/>
  <c r="D20" i="24"/>
  <c r="AZ20" i="24" s="1"/>
  <c r="B30" i="24"/>
  <c r="AX30" i="24" s="1"/>
  <c r="D17" i="24"/>
  <c r="AZ17" i="24" s="1"/>
  <c r="BA9" i="1"/>
  <c r="E9" i="8" s="1"/>
  <c r="BA9" i="8" s="1"/>
  <c r="BA13" i="1"/>
  <c r="E13" i="8" s="1"/>
  <c r="BA13" i="8" s="1"/>
  <c r="BA21" i="1"/>
  <c r="E21" i="8" s="1"/>
  <c r="BA21" i="8" s="1"/>
  <c r="BA6" i="1"/>
  <c r="E6" i="8" s="1"/>
  <c r="BA6" i="8" s="1"/>
  <c r="BA16" i="1"/>
  <c r="E16" i="8" s="1"/>
  <c r="BA16" i="8" s="1"/>
  <c r="BA17" i="1"/>
  <c r="E17" i="8" s="1"/>
  <c r="BA17" i="8" s="1"/>
  <c r="BA25" i="1"/>
  <c r="E25" i="8" s="1"/>
  <c r="BA25" i="8" s="1"/>
  <c r="BA22" i="1"/>
  <c r="E22" i="8" s="1"/>
  <c r="BA22" i="8" s="1"/>
  <c r="BA27" i="1"/>
  <c r="E27" i="8" s="1"/>
  <c r="BA27" i="8" s="1"/>
  <c r="BA8" i="1"/>
  <c r="E8" i="8" s="1"/>
  <c r="BA8" i="8" s="1"/>
  <c r="BA12" i="1"/>
  <c r="E12" i="8" s="1"/>
  <c r="BA12" i="8" s="1"/>
  <c r="BA24" i="1"/>
  <c r="E24" i="8" s="1"/>
  <c r="BA24" i="8" s="1"/>
  <c r="BA11" i="1"/>
  <c r="E11" i="8" s="1"/>
  <c r="BA11" i="8" s="1"/>
  <c r="BA23" i="1"/>
  <c r="E23" i="8" s="1"/>
  <c r="BA23" i="8" s="1"/>
  <c r="BA32" i="1"/>
  <c r="E32" i="8" s="1"/>
  <c r="BA32" i="8" s="1"/>
  <c r="BA35" i="1"/>
  <c r="E35" i="8" s="1"/>
  <c r="BA35" i="8" s="1"/>
  <c r="BA37" i="1"/>
  <c r="E37" i="8" s="1"/>
  <c r="BA37" i="8" s="1"/>
  <c r="BA40" i="1"/>
  <c r="E40" i="8" s="1"/>
  <c r="BA40" i="8" s="1"/>
  <c r="BA10" i="1"/>
  <c r="E10" i="8" s="1"/>
  <c r="BA10" i="8" s="1"/>
  <c r="BA14" i="1"/>
  <c r="E14" i="8" s="1"/>
  <c r="BA14" i="8" s="1"/>
  <c r="BA20" i="1"/>
  <c r="E20" i="8" s="1"/>
  <c r="BA20" i="8" s="1"/>
  <c r="BA26" i="1"/>
  <c r="E26" i="8" s="1"/>
  <c r="BA26" i="8" s="1"/>
  <c r="BA38" i="1"/>
  <c r="E38" i="8" s="1"/>
  <c r="BA38" i="8" s="1"/>
  <c r="BA33" i="1"/>
  <c r="E33" i="8" s="1"/>
  <c r="BA33" i="8" s="1"/>
  <c r="BA41" i="1"/>
  <c r="E41" i="8" s="1"/>
  <c r="BA41" i="8" s="1"/>
  <c r="BA39" i="1"/>
  <c r="E39" i="8" s="1"/>
  <c r="BA39" i="8" s="1"/>
  <c r="BA30" i="1"/>
  <c r="E30" i="8" s="1"/>
  <c r="BA30" i="8" s="1"/>
  <c r="BH12" i="1"/>
  <c r="L12" i="8" s="1"/>
  <c r="BH12" i="8" s="1"/>
  <c r="BL23" i="1"/>
  <c r="P23" i="8" s="1"/>
  <c r="BL23" i="8" s="1"/>
  <c r="BL6" i="1"/>
  <c r="P6" i="8" s="1"/>
  <c r="BL6" i="8" s="1"/>
  <c r="BG9" i="1"/>
  <c r="K9" i="8" s="1"/>
  <c r="BG9" i="8" s="1"/>
  <c r="BH32" i="1"/>
  <c r="L32" i="8" s="1"/>
  <c r="BH32" i="8" s="1"/>
  <c r="BF6" i="1"/>
  <c r="J6" i="8" s="1"/>
  <c r="BF6" i="8" s="1"/>
  <c r="BK21" i="1"/>
  <c r="O21" i="8" s="1"/>
  <c r="BK21" i="8" s="1"/>
  <c r="BG21" i="1"/>
  <c r="K21" i="8" s="1"/>
  <c r="BG21" i="8" s="1"/>
  <c r="BL10" i="1"/>
  <c r="P10" i="8" s="1"/>
  <c r="BL10" i="8" s="1"/>
  <c r="BH20" i="1"/>
  <c r="L20" i="8" s="1"/>
  <c r="BH20" i="8" s="1"/>
  <c r="BI35" i="1"/>
  <c r="M35" i="8" s="1"/>
  <c r="BI35" i="8" s="1"/>
  <c r="BI38" i="1"/>
  <c r="M38" i="8" s="1"/>
  <c r="BI38" i="8" s="1"/>
  <c r="BI40" i="1"/>
  <c r="M40" i="8" s="1"/>
  <c r="BI40" i="8" s="1"/>
  <c r="BI8" i="1"/>
  <c r="M8" i="8" s="1"/>
  <c r="BI8" i="8" s="1"/>
  <c r="BI12" i="1"/>
  <c r="M12" i="8" s="1"/>
  <c r="BI12" i="8" s="1"/>
  <c r="BM17" i="1"/>
  <c r="Q17" i="8" s="1"/>
  <c r="BM17" i="8" s="1"/>
  <c r="BF11" i="1"/>
  <c r="J11" i="8" s="1"/>
  <c r="BF11" i="8" s="1"/>
  <c r="BF14" i="1"/>
  <c r="J14" i="8" s="1"/>
  <c r="BF14" i="8" s="1"/>
  <c r="G31" i="24"/>
  <c r="BC31" i="24" s="1"/>
  <c r="BC27" i="1"/>
  <c r="BK11" i="1"/>
  <c r="O11" i="8" s="1"/>
  <c r="BK11" i="8" s="1"/>
  <c r="BK17" i="1"/>
  <c r="O17" i="8" s="1"/>
  <c r="BK17" i="8" s="1"/>
  <c r="BL35" i="1"/>
  <c r="P35" i="8" s="1"/>
  <c r="BL35" i="8" s="1"/>
  <c r="BL41" i="1"/>
  <c r="P41" i="8" s="1"/>
  <c r="BL41" i="8" s="1"/>
  <c r="BH22" i="1"/>
  <c r="L22" i="8" s="1"/>
  <c r="BH22" i="8" s="1"/>
  <c r="BM21" i="1"/>
  <c r="Q21" i="8" s="1"/>
  <c r="BM21" i="8" s="1"/>
  <c r="BH8" i="1"/>
  <c r="L8" i="8" s="1"/>
  <c r="BH8" i="8" s="1"/>
  <c r="BH14" i="1"/>
  <c r="L14" i="8" s="1"/>
  <c r="BH14" i="8" s="1"/>
  <c r="BL25" i="1"/>
  <c r="P25" i="8" s="1"/>
  <c r="BL25" i="8" s="1"/>
  <c r="BE32" i="1"/>
  <c r="BI9" i="1"/>
  <c r="M9" i="8" s="1"/>
  <c r="BI9" i="8" s="1"/>
  <c r="BI13" i="1"/>
  <c r="M13" i="8" s="1"/>
  <c r="BI13" i="8" s="1"/>
  <c r="BM20" i="1"/>
  <c r="Q20" i="8" s="1"/>
  <c r="BM20" i="8" s="1"/>
  <c r="BG10" i="1"/>
  <c r="K10" i="8" s="1"/>
  <c r="BG10" i="8" s="1"/>
  <c r="BK23" i="1"/>
  <c r="O23" i="8" s="1"/>
  <c r="BK23" i="8" s="1"/>
  <c r="BH35" i="1"/>
  <c r="L35" i="8" s="1"/>
  <c r="BH35" i="8" s="1"/>
  <c r="BH39" i="1"/>
  <c r="L39" i="8" s="1"/>
  <c r="BH39" i="8" s="1"/>
  <c r="BI16" i="1"/>
  <c r="M16" i="8" s="1"/>
  <c r="BI16" i="8" s="1"/>
  <c r="BI21" i="1"/>
  <c r="M21" i="8" s="1"/>
  <c r="BI21" i="8" s="1"/>
  <c r="BF21" i="1"/>
  <c r="J21" i="8" s="1"/>
  <c r="BF21" i="8" s="1"/>
  <c r="BL8" i="1"/>
  <c r="P8" i="8" s="1"/>
  <c r="BL8" i="8" s="1"/>
  <c r="BL14" i="1"/>
  <c r="P14" i="8" s="1"/>
  <c r="BL14" i="8" s="1"/>
  <c r="BI26" i="1"/>
  <c r="M26" i="8" s="1"/>
  <c r="BI26" i="8" s="1"/>
  <c r="BI32" i="1"/>
  <c r="M32" i="8" s="1"/>
  <c r="BI32" i="8" s="1"/>
  <c r="BI37" i="1"/>
  <c r="M37" i="8" s="1"/>
  <c r="BI37" i="8" s="1"/>
  <c r="E8" i="24"/>
  <c r="BA8" i="24" s="1"/>
  <c r="BM9" i="1"/>
  <c r="Q9" i="8" s="1"/>
  <c r="BM9" i="8" s="1"/>
  <c r="BM13" i="1"/>
  <c r="Q13" i="8" s="1"/>
  <c r="BM13" i="8" s="1"/>
  <c r="BM25" i="1"/>
  <c r="Q25" i="8" s="1"/>
  <c r="BM25" i="8" s="1"/>
  <c r="B8" i="24"/>
  <c r="AX8" i="24" s="1"/>
  <c r="BF10" i="1"/>
  <c r="J10" i="8" s="1"/>
  <c r="BF10" i="8" s="1"/>
  <c r="BF13" i="1"/>
  <c r="J13" i="8" s="1"/>
  <c r="BF13" i="8" s="1"/>
  <c r="BK8" i="1"/>
  <c r="O8" i="8" s="1"/>
  <c r="BK8" i="8" s="1"/>
  <c r="BK12" i="1"/>
  <c r="O12" i="8" s="1"/>
  <c r="BK12" i="8" s="1"/>
  <c r="BG16" i="1"/>
  <c r="K16" i="8" s="1"/>
  <c r="BG16" i="8" s="1"/>
  <c r="BL27" i="1"/>
  <c r="P27" i="8" s="1"/>
  <c r="BL27" i="8" s="1"/>
  <c r="BL37" i="1"/>
  <c r="P37" i="8" s="1"/>
  <c r="BL37" i="8" s="1"/>
  <c r="BG13" i="1"/>
  <c r="K13" i="8" s="1"/>
  <c r="BG13" i="8" s="1"/>
  <c r="BL16" i="1"/>
  <c r="P16" i="8" s="1"/>
  <c r="BL16" i="8" s="1"/>
  <c r="BM16" i="1"/>
  <c r="Q16" i="8" s="1"/>
  <c r="BM16" i="8" s="1"/>
  <c r="BI23" i="1"/>
  <c r="M23" i="8" s="1"/>
  <c r="BI23" i="8" s="1"/>
  <c r="BM24" i="1"/>
  <c r="Q24" i="8" s="1"/>
  <c r="BM24" i="8" s="1"/>
  <c r="F31" i="24"/>
  <c r="BB31" i="24" s="1"/>
  <c r="BB27" i="1"/>
  <c r="BB32" i="1"/>
  <c r="BF37" i="1"/>
  <c r="J37" i="8" s="1"/>
  <c r="BF37" i="8" s="1"/>
  <c r="BF38" i="1"/>
  <c r="J38" i="8" s="1"/>
  <c r="BF38" i="8" s="1"/>
  <c r="BF39" i="1"/>
  <c r="J39" i="8" s="1"/>
  <c r="BF39" i="8" s="1"/>
  <c r="BF40" i="1"/>
  <c r="J40" i="8" s="1"/>
  <c r="BF40" i="8" s="1"/>
  <c r="BF41" i="1"/>
  <c r="J41" i="8" s="1"/>
  <c r="BF41" i="8" s="1"/>
  <c r="F8" i="24"/>
  <c r="BB8" i="24" s="1"/>
  <c r="BF8" i="1"/>
  <c r="J8" i="8" s="1"/>
  <c r="BF8" i="8" s="1"/>
  <c r="BF20" i="1"/>
  <c r="J20" i="8" s="1"/>
  <c r="BF20" i="8" s="1"/>
  <c r="BF23" i="1"/>
  <c r="J23" i="8" s="1"/>
  <c r="BF23" i="8" s="1"/>
  <c r="BF24" i="1"/>
  <c r="J24" i="8" s="1"/>
  <c r="BF24" i="8" s="1"/>
  <c r="BF25" i="1"/>
  <c r="J25" i="8" s="1"/>
  <c r="BF25" i="8" s="1"/>
  <c r="BG26" i="1"/>
  <c r="K26" i="8" s="1"/>
  <c r="BG26" i="8" s="1"/>
  <c r="BG27" i="1"/>
  <c r="K27" i="8" s="1"/>
  <c r="BG27" i="8" s="1"/>
  <c r="BG30" i="1"/>
  <c r="K30" i="8" s="1"/>
  <c r="BG30" i="8" s="1"/>
  <c r="BG32" i="1"/>
  <c r="K32" i="8" s="1"/>
  <c r="BG32" i="8" s="1"/>
  <c r="BG33" i="1"/>
  <c r="K33" i="8" s="1"/>
  <c r="BG33" i="8" s="1"/>
  <c r="BG35" i="1"/>
  <c r="K35" i="8" s="1"/>
  <c r="BG35" i="8" s="1"/>
  <c r="BG36" i="1"/>
  <c r="K36" i="8" s="1"/>
  <c r="BG36" i="8" s="1"/>
  <c r="BG37" i="1"/>
  <c r="K37" i="8" s="1"/>
  <c r="BG37" i="8" s="1"/>
  <c r="BG38" i="1"/>
  <c r="K38" i="8" s="1"/>
  <c r="BG38" i="8" s="1"/>
  <c r="BG39" i="1"/>
  <c r="K39" i="8" s="1"/>
  <c r="BG39" i="8" s="1"/>
  <c r="BG40" i="1"/>
  <c r="K40" i="8" s="1"/>
  <c r="BG40" i="8" s="1"/>
  <c r="BG41" i="1"/>
  <c r="K41" i="8" s="1"/>
  <c r="BG41" i="8" s="1"/>
  <c r="C8" i="24"/>
  <c r="AY8" i="24" s="1"/>
  <c r="BK13" i="1"/>
  <c r="O13" i="8" s="1"/>
  <c r="BK13" i="8" s="1"/>
  <c r="BK14" i="1"/>
  <c r="O14" i="8" s="1"/>
  <c r="BK14" i="8" s="1"/>
  <c r="BG25" i="1"/>
  <c r="K25" i="8" s="1"/>
  <c r="BG25" i="8" s="1"/>
  <c r="BH26" i="1"/>
  <c r="L26" i="8" s="1"/>
  <c r="BH26" i="8" s="1"/>
  <c r="BH30" i="1"/>
  <c r="L30" i="8" s="1"/>
  <c r="BH30" i="8" s="1"/>
  <c r="BH33" i="1"/>
  <c r="L33" i="8" s="1"/>
  <c r="BH33" i="8" s="1"/>
  <c r="BH36" i="1"/>
  <c r="L36" i="8" s="1"/>
  <c r="BH36" i="8" s="1"/>
  <c r="BH38" i="1"/>
  <c r="L38" i="8" s="1"/>
  <c r="BH38" i="8" s="1"/>
  <c r="BH40" i="1"/>
  <c r="L40" i="8" s="1"/>
  <c r="BH40" i="8" s="1"/>
  <c r="BI6" i="1"/>
  <c r="M6" i="8" s="1"/>
  <c r="BI6" i="8" s="1"/>
  <c r="BH21" i="1"/>
  <c r="L21" i="8" s="1"/>
  <c r="BH21" i="8" s="1"/>
  <c r="BL22" i="1"/>
  <c r="P22" i="8" s="1"/>
  <c r="BL22" i="8" s="1"/>
  <c r="BK22" i="1"/>
  <c r="O22" i="8" s="1"/>
  <c r="BK22" i="8" s="1"/>
  <c r="Q33" i="24"/>
  <c r="BM33" i="24" s="1"/>
  <c r="D8" i="24"/>
  <c r="AZ8" i="24" s="1"/>
  <c r="BG6" i="1"/>
  <c r="K6" i="8" s="1"/>
  <c r="BG6" i="8" s="1"/>
  <c r="BH10" i="1"/>
  <c r="L10" i="8" s="1"/>
  <c r="BH10" i="8" s="1"/>
  <c r="BL17" i="1"/>
  <c r="P17" i="8" s="1"/>
  <c r="BL17" i="8" s="1"/>
  <c r="BM10" i="1"/>
  <c r="Q10" i="8" s="1"/>
  <c r="BM10" i="8" s="1"/>
  <c r="BM14" i="1"/>
  <c r="Q14" i="8" s="1"/>
  <c r="BM14" i="8" s="1"/>
  <c r="BI17" i="1"/>
  <c r="M17" i="8" s="1"/>
  <c r="BI17" i="8" s="1"/>
  <c r="BI25" i="1"/>
  <c r="M25" i="8" s="1"/>
  <c r="BI25" i="8" s="1"/>
  <c r="BG8" i="1"/>
  <c r="K8" i="8" s="1"/>
  <c r="BG8" i="8" s="1"/>
  <c r="BG11" i="1"/>
  <c r="K11" i="8" s="1"/>
  <c r="BG11" i="8" s="1"/>
  <c r="BG12" i="1"/>
  <c r="K12" i="8" s="1"/>
  <c r="BG12" i="8" s="1"/>
  <c r="BG17" i="1"/>
  <c r="K17" i="8" s="1"/>
  <c r="BG17" i="8" s="1"/>
  <c r="BK20" i="1"/>
  <c r="O20" i="8" s="1"/>
  <c r="BK20" i="8" s="1"/>
  <c r="BK24" i="1"/>
  <c r="O24" i="8" s="1"/>
  <c r="BK24" i="8" s="1"/>
  <c r="BH27" i="1"/>
  <c r="L27" i="8" s="1"/>
  <c r="BH27" i="8" s="1"/>
  <c r="BH37" i="1"/>
  <c r="L37" i="8" s="1"/>
  <c r="BH37" i="8" s="1"/>
  <c r="BH41" i="1"/>
  <c r="L41" i="8" s="1"/>
  <c r="BH41" i="8" s="1"/>
  <c r="BI22" i="1"/>
  <c r="M22" i="8" s="1"/>
  <c r="BI22" i="8" s="1"/>
  <c r="H33" i="24"/>
  <c r="BD33" i="24" s="1"/>
  <c r="BK6" i="1"/>
  <c r="O6" i="8" s="1"/>
  <c r="BK6" i="8" s="1"/>
  <c r="BL12" i="1"/>
  <c r="P12" i="8" s="1"/>
  <c r="BL12" i="8" s="1"/>
  <c r="BH24" i="1"/>
  <c r="L24" i="8" s="1"/>
  <c r="BH24" i="8" s="1"/>
  <c r="I33" i="24"/>
  <c r="BE33" i="24" s="1"/>
  <c r="BI33" i="1"/>
  <c r="M33" i="8" s="1"/>
  <c r="BI33" i="8" s="1"/>
  <c r="BI36" i="1"/>
  <c r="M36" i="8" s="1"/>
  <c r="BI36" i="8" s="1"/>
  <c r="BI39" i="1"/>
  <c r="M39" i="8" s="1"/>
  <c r="BI39" i="8" s="1"/>
  <c r="BI41" i="1"/>
  <c r="M41" i="8" s="1"/>
  <c r="BI41" i="8" s="1"/>
  <c r="BI24" i="1"/>
  <c r="M24" i="8" s="1"/>
  <c r="BI24" i="8" s="1"/>
  <c r="BF9" i="1"/>
  <c r="J9" i="8" s="1"/>
  <c r="BF9" i="8" s="1"/>
  <c r="BF12" i="1"/>
  <c r="J12" i="8" s="1"/>
  <c r="BF12" i="8" s="1"/>
  <c r="BC32" i="1"/>
  <c r="BK9" i="1"/>
  <c r="O9" i="8" s="1"/>
  <c r="BK9" i="8" s="1"/>
  <c r="BK10" i="1"/>
  <c r="O10" i="8" s="1"/>
  <c r="BK10" i="8" s="1"/>
  <c r="BG14" i="1"/>
  <c r="K14" i="8" s="1"/>
  <c r="BG14" i="8" s="1"/>
  <c r="BL32" i="1"/>
  <c r="P32" i="8" s="1"/>
  <c r="BL32" i="8" s="1"/>
  <c r="BL39" i="1"/>
  <c r="P39" i="8" s="1"/>
  <c r="BL39" i="8" s="1"/>
  <c r="BG22" i="1"/>
  <c r="K22" i="8" s="1"/>
  <c r="BG22" i="8" s="1"/>
  <c r="BM22" i="1"/>
  <c r="Q22" i="8" s="1"/>
  <c r="BM22" i="8" s="1"/>
  <c r="I8" i="24"/>
  <c r="BE8" i="24" s="1"/>
  <c r="BD26" i="1"/>
  <c r="H26" i="8" s="1"/>
  <c r="BD26" i="8" s="1"/>
  <c r="BH9" i="1"/>
  <c r="L9" i="8" s="1"/>
  <c r="BH9" i="8" s="1"/>
  <c r="BH11" i="1"/>
  <c r="L11" i="8" s="1"/>
  <c r="BH11" i="8" s="1"/>
  <c r="BH13" i="1"/>
  <c r="L13" i="8" s="1"/>
  <c r="BH13" i="8" s="1"/>
  <c r="BL20" i="1"/>
  <c r="P20" i="8" s="1"/>
  <c r="BL20" i="8" s="1"/>
  <c r="BL24" i="1"/>
  <c r="P24" i="8" s="1"/>
  <c r="BL24" i="8" s="1"/>
  <c r="BM26" i="1"/>
  <c r="Q26" i="8" s="1"/>
  <c r="BM26" i="8" s="1"/>
  <c r="BI27" i="1"/>
  <c r="M27" i="8" s="1"/>
  <c r="BI27" i="8" s="1"/>
  <c r="BI30" i="1"/>
  <c r="M30" i="8" s="1"/>
  <c r="BI30" i="8" s="1"/>
  <c r="BM32" i="1"/>
  <c r="Q32" i="8" s="1"/>
  <c r="BM32" i="8" s="1"/>
  <c r="BM33" i="1"/>
  <c r="Q33" i="8" s="1"/>
  <c r="BM33" i="8" s="1"/>
  <c r="BM35" i="1"/>
  <c r="Q35" i="8" s="1"/>
  <c r="BM35" i="8" s="1"/>
  <c r="BM36" i="1"/>
  <c r="Q36" i="8" s="1"/>
  <c r="BM36" i="8" s="1"/>
  <c r="BM37" i="1"/>
  <c r="Q37" i="8" s="1"/>
  <c r="BM37" i="8" s="1"/>
  <c r="BM38" i="1"/>
  <c r="Q38" i="8" s="1"/>
  <c r="BM38" i="8" s="1"/>
  <c r="BM39" i="1"/>
  <c r="Q39" i="8" s="1"/>
  <c r="BM39" i="8" s="1"/>
  <c r="BM40" i="1"/>
  <c r="Q40" i="8" s="1"/>
  <c r="BM40" i="8" s="1"/>
  <c r="BM41" i="1"/>
  <c r="Q41" i="8" s="1"/>
  <c r="BM41" i="8" s="1"/>
  <c r="BM8" i="1"/>
  <c r="Q8" i="8" s="1"/>
  <c r="BM8" i="8" s="1"/>
  <c r="BI11" i="1"/>
  <c r="M11" i="8" s="1"/>
  <c r="BI11" i="8" s="1"/>
  <c r="BM12" i="1"/>
  <c r="Q12" i="8" s="1"/>
  <c r="BM12" i="8" s="1"/>
  <c r="I31" i="24"/>
  <c r="BE31" i="24" s="1"/>
  <c r="BE27" i="1"/>
  <c r="BL9" i="1"/>
  <c r="P9" i="8" s="1"/>
  <c r="BL9" i="8" s="1"/>
  <c r="BL11" i="1"/>
  <c r="P11" i="8" s="1"/>
  <c r="BL11" i="8" s="1"/>
  <c r="BL13" i="1"/>
  <c r="P13" i="8" s="1"/>
  <c r="BL13" i="8" s="1"/>
  <c r="BH17" i="1"/>
  <c r="L17" i="8" s="1"/>
  <c r="BH17" i="8" s="1"/>
  <c r="BH23" i="1"/>
  <c r="L23" i="8" s="1"/>
  <c r="BH23" i="8" s="1"/>
  <c r="BH25" i="1"/>
  <c r="L25" i="8" s="1"/>
  <c r="BH25" i="8" s="1"/>
  <c r="BM27" i="1"/>
  <c r="Q27" i="8" s="1"/>
  <c r="BM27" i="8" s="1"/>
  <c r="BH6" i="1"/>
  <c r="L6" i="8" s="1"/>
  <c r="BH6" i="8" s="1"/>
  <c r="BI10" i="1"/>
  <c r="M10" i="8" s="1"/>
  <c r="BI10" i="8" s="1"/>
  <c r="BM11" i="1"/>
  <c r="Q11" i="8" s="1"/>
  <c r="BM11" i="8" s="1"/>
  <c r="BI14" i="1"/>
  <c r="M14" i="8" s="1"/>
  <c r="BI14" i="8" s="1"/>
  <c r="BI20" i="1"/>
  <c r="M20" i="8" s="1"/>
  <c r="BI20" i="8" s="1"/>
  <c r="BM23" i="1"/>
  <c r="Q23" i="8" s="1"/>
  <c r="BM23" i="8" s="1"/>
  <c r="BF26" i="1"/>
  <c r="J26" i="8" s="1"/>
  <c r="BF26" i="8" s="1"/>
  <c r="BF27" i="1"/>
  <c r="J27" i="8" s="1"/>
  <c r="BF27" i="8" s="1"/>
  <c r="BF30" i="1"/>
  <c r="J30" i="8" s="1"/>
  <c r="BF30" i="8" s="1"/>
  <c r="BF32" i="1"/>
  <c r="J32" i="8" s="1"/>
  <c r="BF32" i="8" s="1"/>
  <c r="BF33" i="1"/>
  <c r="J33" i="8" s="1"/>
  <c r="BF33" i="8" s="1"/>
  <c r="BF35" i="1"/>
  <c r="J35" i="8" s="1"/>
  <c r="BF35" i="8" s="1"/>
  <c r="BF36" i="1"/>
  <c r="J36" i="8" s="1"/>
  <c r="BF36" i="8" s="1"/>
  <c r="BF17" i="1"/>
  <c r="J17" i="8" s="1"/>
  <c r="BF17" i="8" s="1"/>
  <c r="BK26" i="1"/>
  <c r="O26" i="8" s="1"/>
  <c r="BK26" i="8" s="1"/>
  <c r="BK27" i="1"/>
  <c r="O27" i="8" s="1"/>
  <c r="BK27" i="8" s="1"/>
  <c r="BK30" i="1"/>
  <c r="O30" i="8" s="1"/>
  <c r="BK30" i="8" s="1"/>
  <c r="BK32" i="1"/>
  <c r="O32" i="8" s="1"/>
  <c r="BK32" i="8" s="1"/>
  <c r="BK33" i="1"/>
  <c r="O33" i="8" s="1"/>
  <c r="BK33" i="8" s="1"/>
  <c r="BK35" i="1"/>
  <c r="O35" i="8" s="1"/>
  <c r="BK35" i="8" s="1"/>
  <c r="BK36" i="1"/>
  <c r="O36" i="8" s="1"/>
  <c r="BK36" i="8" s="1"/>
  <c r="BK37" i="1"/>
  <c r="O37" i="8" s="1"/>
  <c r="BK37" i="8" s="1"/>
  <c r="BK38" i="1"/>
  <c r="O38" i="8" s="1"/>
  <c r="BK38" i="8" s="1"/>
  <c r="BK39" i="1"/>
  <c r="O39" i="8" s="1"/>
  <c r="BK39" i="8" s="1"/>
  <c r="BK40" i="1"/>
  <c r="O40" i="8" s="1"/>
  <c r="BK40" i="8" s="1"/>
  <c r="BK41" i="1"/>
  <c r="O41" i="8" s="1"/>
  <c r="BK41" i="8" s="1"/>
  <c r="G8" i="24"/>
  <c r="BC8" i="24" s="1"/>
  <c r="BG20" i="1"/>
  <c r="K20" i="8" s="1"/>
  <c r="BG20" i="8" s="1"/>
  <c r="BG23" i="1"/>
  <c r="K23" i="8" s="1"/>
  <c r="BG23" i="8" s="1"/>
  <c r="BG24" i="1"/>
  <c r="K24" i="8" s="1"/>
  <c r="BG24" i="8" s="1"/>
  <c r="BK25" i="1"/>
  <c r="O25" i="8" s="1"/>
  <c r="BK25" i="8" s="1"/>
  <c r="BL26" i="1"/>
  <c r="P26" i="8" s="1"/>
  <c r="BL26" i="8" s="1"/>
  <c r="BL30" i="1"/>
  <c r="P30" i="8" s="1"/>
  <c r="BL30" i="8" s="1"/>
  <c r="BL33" i="1"/>
  <c r="P33" i="8" s="1"/>
  <c r="BL33" i="8" s="1"/>
  <c r="BL36" i="1"/>
  <c r="P36" i="8" s="1"/>
  <c r="BL36" i="8" s="1"/>
  <c r="BL38" i="1"/>
  <c r="P38" i="8" s="1"/>
  <c r="BL38" i="8" s="1"/>
  <c r="BL40" i="1"/>
  <c r="P40" i="8" s="1"/>
  <c r="BL40" i="8" s="1"/>
  <c r="I17" i="24"/>
  <c r="BE17" i="24" s="1"/>
  <c r="BM6" i="1"/>
  <c r="Q6" i="8" s="1"/>
  <c r="BM6" i="8" s="1"/>
  <c r="BL21" i="1"/>
  <c r="P21" i="8" s="1"/>
  <c r="BL21" i="8" s="1"/>
  <c r="BF22" i="1"/>
  <c r="J22" i="8" s="1"/>
  <c r="BF22" i="8" s="1"/>
  <c r="H8" i="24"/>
  <c r="BD8" i="24" s="1"/>
  <c r="H18" i="24"/>
  <c r="BD18" i="24" s="1"/>
  <c r="AX20" i="1"/>
  <c r="B20" i="8" s="1"/>
  <c r="AX20" i="8" s="1"/>
  <c r="AX16" i="1"/>
  <c r="B16" i="8" s="1"/>
  <c r="AX16" i="8" s="1"/>
  <c r="AX30" i="1"/>
  <c r="B30" i="8" s="1"/>
  <c r="AX30" i="8" s="1"/>
  <c r="H31" i="24"/>
  <c r="BD31" i="24" s="1"/>
  <c r="H30" i="24"/>
  <c r="BD30" i="24" s="1"/>
  <c r="BC20" i="1"/>
  <c r="G20" i="8" l="1"/>
  <c r="BC20" i="8" s="1"/>
  <c r="I27" i="8"/>
  <c r="BE27" i="8" s="1"/>
  <c r="I30" i="24" s="1"/>
  <c r="BE30" i="24" s="1"/>
  <c r="F32" i="8"/>
  <c r="BB32" i="8" s="1"/>
  <c r="F27" i="8"/>
  <c r="BB27" i="8" s="1"/>
  <c r="F30" i="24" s="1"/>
  <c r="BB30" i="24" s="1"/>
  <c r="I32" i="8"/>
  <c r="BE32" i="8" s="1"/>
  <c r="G32" i="8"/>
  <c r="BC32" i="8" s="1"/>
  <c r="G27" i="8"/>
  <c r="BC27" i="8" s="1"/>
  <c r="G30" i="24" s="1"/>
  <c r="BC30" i="24" s="1"/>
  <c r="E21" i="24"/>
  <c r="BA21" i="24" s="1"/>
  <c r="E20" i="24"/>
  <c r="BA20" i="24" s="1"/>
  <c r="E17" i="24"/>
  <c r="BA17" i="24" s="1"/>
  <c r="E33" i="24"/>
  <c r="BA33" i="24" s="1"/>
  <c r="B21" i="24"/>
  <c r="AX21" i="24" s="1"/>
  <c r="B20" i="24"/>
  <c r="AX20" i="24" s="1"/>
  <c r="B33" i="24"/>
  <c r="AX33" i="24" s="1"/>
  <c r="BA36" i="1"/>
  <c r="E36" i="8" s="1"/>
  <c r="BA36" i="8" s="1"/>
  <c r="K21" i="24"/>
  <c r="BG21" i="24" s="1"/>
  <c r="K17" i="24"/>
  <c r="BG17" i="24" s="1"/>
  <c r="BF16" i="1"/>
  <c r="J16" i="8" s="1"/>
  <c r="BF16" i="8" s="1"/>
  <c r="O33" i="24"/>
  <c r="BK33" i="24" s="1"/>
  <c r="J33" i="24"/>
  <c r="BF33" i="24" s="1"/>
  <c r="M21" i="24"/>
  <c r="BI21" i="24" s="1"/>
  <c r="Q8" i="24"/>
  <c r="BM8" i="24" s="1"/>
  <c r="P8" i="24"/>
  <c r="BL8" i="24" s="1"/>
  <c r="M33" i="24"/>
  <c r="BI33" i="24" s="1"/>
  <c r="P21" i="24"/>
  <c r="BL21" i="24" s="1"/>
  <c r="O21" i="24"/>
  <c r="BK21" i="24" s="1"/>
  <c r="L33" i="24"/>
  <c r="BH33" i="24" s="1"/>
  <c r="K33" i="24"/>
  <c r="BG33" i="24" s="1"/>
  <c r="J21" i="24"/>
  <c r="BF21" i="24" s="1"/>
  <c r="Q17" i="24"/>
  <c r="BM17" i="24" s="1"/>
  <c r="M17" i="24"/>
  <c r="BI17" i="24" s="1"/>
  <c r="K8" i="24"/>
  <c r="BG8" i="24" s="1"/>
  <c r="O8" i="24"/>
  <c r="BK8" i="24" s="1"/>
  <c r="L21" i="24"/>
  <c r="BH21" i="24" s="1"/>
  <c r="N8" i="24"/>
  <c r="BJ8" i="24" s="1"/>
  <c r="BK16" i="1"/>
  <c r="O16" i="8" s="1"/>
  <c r="BK16" i="8" s="1"/>
  <c r="P33" i="24"/>
  <c r="BL33" i="24" s="1"/>
  <c r="J8" i="24"/>
  <c r="BF8" i="24" s="1"/>
  <c r="M8" i="24"/>
  <c r="BI8" i="24" s="1"/>
  <c r="P17" i="24"/>
  <c r="BL17" i="24" s="1"/>
  <c r="Q21" i="24"/>
  <c r="BM21" i="24" s="1"/>
  <c r="G21" i="24"/>
  <c r="BC21" i="24" s="1"/>
  <c r="BH16" i="1"/>
  <c r="L16" i="8" s="1"/>
  <c r="BH16" i="8" s="1"/>
  <c r="L8" i="24"/>
  <c r="BH8" i="24" s="1"/>
  <c r="P30" i="24"/>
  <c r="BL30" i="24" s="1"/>
  <c r="E31" i="24"/>
  <c r="BA31" i="24" s="1"/>
  <c r="D30" i="24"/>
  <c r="AZ30" i="24" s="1"/>
  <c r="J31" i="24"/>
  <c r="BF31" i="24" s="1"/>
  <c r="C31" i="24"/>
  <c r="AY31" i="24" s="1"/>
  <c r="M30" i="24"/>
  <c r="BI30" i="24" s="1"/>
  <c r="C30" i="24"/>
  <c r="AY30" i="24" s="1"/>
  <c r="B31" i="24"/>
  <c r="AX31" i="24" s="1"/>
  <c r="M31" i="24"/>
  <c r="BI31" i="24" s="1"/>
  <c r="K31" i="24"/>
  <c r="BG31" i="24" s="1"/>
  <c r="O30" i="24"/>
  <c r="BK30" i="24" s="1"/>
  <c r="D31" i="24"/>
  <c r="AZ31" i="24" s="1"/>
  <c r="K30" i="24"/>
  <c r="BG30" i="24" s="1"/>
  <c r="Q31" i="24"/>
  <c r="BM31" i="24" s="1"/>
  <c r="L30" i="24"/>
  <c r="BH30" i="24" s="1"/>
  <c r="E30" i="24"/>
  <c r="BA30" i="24" s="1"/>
  <c r="O31" i="24"/>
  <c r="BK31" i="24" s="1"/>
  <c r="Q30" i="24"/>
  <c r="BM30" i="24" s="1"/>
  <c r="L31" i="24"/>
  <c r="BH31" i="24" s="1"/>
  <c r="J30" i="24"/>
  <c r="BF30" i="24" s="1"/>
  <c r="P31" i="24"/>
  <c r="BL31" i="24" s="1"/>
  <c r="P18" i="24"/>
  <c r="BL18" i="24" s="1"/>
  <c r="K18" i="24"/>
  <c r="BG18" i="24" s="1"/>
  <c r="G23" i="24"/>
  <c r="BC23" i="24" s="1"/>
  <c r="F23" i="24"/>
  <c r="BB23" i="24" s="1"/>
  <c r="I23" i="24"/>
  <c r="BE23" i="24" s="1"/>
  <c r="H45" i="24"/>
  <c r="BD45" i="24" s="1"/>
  <c r="H25" i="24"/>
  <c r="BD25" i="24" s="1"/>
  <c r="H39" i="24"/>
  <c r="BD39" i="24" s="1"/>
  <c r="H24" i="24"/>
  <c r="BD24" i="24" s="1"/>
  <c r="H42" i="24"/>
  <c r="BD42" i="24" s="1"/>
  <c r="H6" i="24"/>
  <c r="BD6" i="24" s="1"/>
  <c r="H14" i="24"/>
  <c r="BD14" i="24" s="1"/>
  <c r="H36" i="24"/>
  <c r="BD36" i="24" s="1"/>
  <c r="H9" i="24"/>
  <c r="BD9" i="24" s="1"/>
  <c r="H23" i="24"/>
  <c r="BD23" i="24" s="1"/>
  <c r="H40" i="24"/>
  <c r="BD40" i="24" s="1"/>
  <c r="H22" i="24"/>
  <c r="BD22" i="24" s="1"/>
  <c r="H19" i="24"/>
  <c r="BD19" i="24" s="1"/>
  <c r="H35" i="24"/>
  <c r="BD35" i="24" s="1"/>
  <c r="H37" i="24"/>
  <c r="BD37" i="24" s="1"/>
  <c r="H16" i="24"/>
  <c r="BD16" i="24" s="1"/>
  <c r="H38" i="24"/>
  <c r="BD38" i="24" s="1"/>
  <c r="H15" i="24"/>
  <c r="BD15" i="24" s="1"/>
  <c r="H32" i="24"/>
  <c r="BD32" i="24" s="1"/>
  <c r="H10" i="24"/>
  <c r="BD10" i="24" s="1"/>
  <c r="H29" i="24"/>
  <c r="BD29" i="24" s="1"/>
  <c r="M18" i="24"/>
  <c r="BI18" i="24" s="1"/>
  <c r="I22" i="24"/>
  <c r="BE22" i="24" s="1"/>
  <c r="H43" i="24"/>
  <c r="BD43" i="24" s="1"/>
  <c r="H27" i="24"/>
  <c r="BD27" i="24" s="1"/>
  <c r="Q32" i="24"/>
  <c r="BM32" i="24" s="1"/>
  <c r="H13" i="24"/>
  <c r="BD13" i="24" s="1"/>
  <c r="H28" i="24"/>
  <c r="BD28" i="24" s="1"/>
  <c r="H12" i="24"/>
  <c r="BD12" i="24" s="1"/>
  <c r="H34" i="24"/>
  <c r="BD34" i="24" s="1"/>
  <c r="H11" i="24"/>
  <c r="BD11" i="24" s="1"/>
  <c r="H44" i="24"/>
  <c r="BD44" i="24" s="1"/>
  <c r="B17" i="24" l="1"/>
  <c r="AX17" i="24" s="1"/>
  <c r="J17" i="24"/>
  <c r="BF17" i="24" s="1"/>
  <c r="O17" i="24"/>
  <c r="BK17" i="24" s="1"/>
  <c r="L17" i="24"/>
  <c r="BH17" i="24" s="1"/>
  <c r="J18" i="24"/>
  <c r="BF18" i="24" s="1"/>
  <c r="L18" i="24"/>
  <c r="BH18" i="24" s="1"/>
  <c r="O18" i="24"/>
  <c r="BK18" i="24" s="1"/>
  <c r="P10" i="24"/>
  <c r="BL10" i="24" s="1"/>
  <c r="F22" i="24"/>
  <c r="BB22" i="24" s="1"/>
  <c r="L23" i="24"/>
  <c r="BH23" i="24" s="1"/>
  <c r="K15" i="24"/>
  <c r="BG15" i="24" s="1"/>
  <c r="M43" i="24"/>
  <c r="BI43" i="24" s="1"/>
  <c r="L40" i="24"/>
  <c r="BH40" i="24" s="1"/>
  <c r="L10" i="24"/>
  <c r="BH10" i="24" s="1"/>
  <c r="J34" i="24"/>
  <c r="BF34" i="24" s="1"/>
  <c r="P39" i="24"/>
  <c r="BL39" i="24" s="1"/>
  <c r="P28" i="24"/>
  <c r="BL28" i="24" s="1"/>
  <c r="P36" i="24"/>
  <c r="BL36" i="24" s="1"/>
  <c r="Q28" i="24"/>
  <c r="BM28" i="24" s="1"/>
  <c r="K39" i="24"/>
  <c r="BG39" i="24" s="1"/>
  <c r="J12" i="24"/>
  <c r="BF12" i="24" s="1"/>
  <c r="J29" i="24"/>
  <c r="BF29" i="24" s="1"/>
  <c r="J45" i="24"/>
  <c r="BF45" i="24" s="1"/>
  <c r="Q42" i="24"/>
  <c r="BM42" i="24" s="1"/>
  <c r="P15" i="24"/>
  <c r="BL15" i="24" s="1"/>
  <c r="Q26" i="24"/>
  <c r="BM26" i="24" s="1"/>
  <c r="H7" i="24"/>
  <c r="BD7" i="24" s="1"/>
  <c r="P6" i="24"/>
  <c r="BL6" i="24" s="1"/>
  <c r="Q22" i="24"/>
  <c r="BM22" i="24" s="1"/>
  <c r="P22" i="24"/>
  <c r="BL22" i="24" s="1"/>
  <c r="J23" i="24"/>
  <c r="BF23" i="24" s="1"/>
  <c r="P25" i="24"/>
  <c r="BL25" i="24" s="1"/>
  <c r="L6" i="24"/>
  <c r="BH6" i="24" s="1"/>
  <c r="P45" i="24"/>
  <c r="BL45" i="24" s="1"/>
  <c r="Q13" i="24"/>
  <c r="BM13" i="24" s="1"/>
  <c r="J44" i="24"/>
  <c r="BF44" i="24" s="1"/>
  <c r="O37" i="24"/>
  <c r="BK37" i="24" s="1"/>
  <c r="K7" i="24"/>
  <c r="BG7" i="24" s="1"/>
  <c r="M29" i="24"/>
  <c r="BI29" i="24" s="1"/>
  <c r="L28" i="24"/>
  <c r="BH28" i="24" s="1"/>
  <c r="Q29" i="24"/>
  <c r="BM29" i="24" s="1"/>
  <c r="M13" i="24"/>
  <c r="BI13" i="24" s="1"/>
  <c r="P7" i="24"/>
  <c r="BL7" i="24" s="1"/>
  <c r="J42" i="24"/>
  <c r="BF42" i="24" s="1"/>
  <c r="L26" i="24"/>
  <c r="BH26" i="24" s="1"/>
  <c r="L42" i="24"/>
  <c r="BH42" i="24" s="1"/>
  <c r="K13" i="24"/>
  <c r="BG13" i="24" s="1"/>
  <c r="K37" i="24"/>
  <c r="BG37" i="24" s="1"/>
  <c r="J6" i="24"/>
  <c r="BF6" i="24" s="1"/>
  <c r="J9" i="24"/>
  <c r="BF9" i="24" s="1"/>
  <c r="M38" i="24"/>
  <c r="BI38" i="24" s="1"/>
  <c r="J13" i="24"/>
  <c r="BF13" i="24" s="1"/>
  <c r="K6" i="24"/>
  <c r="BG6" i="24" s="1"/>
  <c r="O29" i="24"/>
  <c r="BK29" i="24" s="1"/>
  <c r="K34" i="24"/>
  <c r="BG34" i="24" s="1"/>
  <c r="O14" i="24"/>
  <c r="BK14" i="24" s="1"/>
  <c r="M37" i="24"/>
  <c r="BI37" i="24" s="1"/>
  <c r="J16" i="24"/>
  <c r="BF16" i="24" s="1"/>
  <c r="O25" i="24"/>
  <c r="BK25" i="24" s="1"/>
  <c r="Q35" i="24"/>
  <c r="BM35" i="24" s="1"/>
  <c r="O32" i="24"/>
  <c r="BK32" i="24" s="1"/>
  <c r="L24" i="24"/>
  <c r="BH24" i="24" s="1"/>
  <c r="M24" i="24"/>
  <c r="BI24" i="24" s="1"/>
  <c r="J11" i="24"/>
  <c r="BF11" i="24" s="1"/>
  <c r="O44" i="24"/>
  <c r="BK44" i="24" s="1"/>
  <c r="L7" i="24"/>
  <c r="BH7" i="24" s="1"/>
  <c r="M14" i="24"/>
  <c r="BI14" i="24" s="1"/>
  <c r="O24" i="24"/>
  <c r="BK24" i="24" s="1"/>
  <c r="O13" i="24"/>
  <c r="BK13" i="24" s="1"/>
  <c r="M39" i="24"/>
  <c r="BI39" i="24" s="1"/>
  <c r="O15" i="24"/>
  <c r="BK15" i="24" s="1"/>
  <c r="K27" i="24"/>
  <c r="BG27" i="24" s="1"/>
  <c r="Q36" i="24"/>
  <c r="BM36" i="24" s="1"/>
  <c r="M27" i="24"/>
  <c r="BI27" i="24" s="1"/>
  <c r="M32" i="24"/>
  <c r="BI32" i="24" s="1"/>
  <c r="P38" i="24"/>
  <c r="BL38" i="24" s="1"/>
  <c r="L29" i="24"/>
  <c r="BH29" i="24" s="1"/>
  <c r="J35" i="24"/>
  <c r="BF35" i="24" s="1"/>
  <c r="P26" i="24"/>
  <c r="BL26" i="24" s="1"/>
  <c r="L9" i="24"/>
  <c r="BH9" i="24" s="1"/>
  <c r="M10" i="24"/>
  <c r="BI10" i="24" s="1"/>
  <c r="G22" i="24"/>
  <c r="BC22" i="24" s="1"/>
  <c r="O22" i="24"/>
  <c r="BK22" i="24" s="1"/>
  <c r="J40" i="24"/>
  <c r="BF40" i="24" s="1"/>
  <c r="J27" i="24"/>
  <c r="BF27" i="24" s="1"/>
  <c r="O42" i="24"/>
  <c r="BK42" i="24" s="1"/>
  <c r="M6" i="24"/>
  <c r="BI6" i="24" s="1"/>
  <c r="K25" i="24"/>
  <c r="BG25" i="24" s="1"/>
  <c r="L15" i="24"/>
  <c r="BH15" i="24" s="1"/>
  <c r="K16" i="24"/>
  <c r="BG16" i="24" s="1"/>
  <c r="Q25" i="24"/>
  <c r="BM25" i="24" s="1"/>
  <c r="L12" i="24"/>
  <c r="BH12" i="24" s="1"/>
  <c r="M11" i="24"/>
  <c r="BI11" i="24" s="1"/>
  <c r="P40" i="24"/>
  <c r="BL40" i="24" s="1"/>
  <c r="O12" i="24"/>
  <c r="BK12" i="24" s="1"/>
  <c r="Q19" i="24"/>
  <c r="BM19" i="24" s="1"/>
  <c r="O7" i="24"/>
  <c r="BK7" i="24" s="1"/>
  <c r="K19" i="24"/>
  <c r="BG19" i="24" s="1"/>
  <c r="O40" i="24"/>
  <c r="BK40" i="24" s="1"/>
  <c r="K23" i="24"/>
  <c r="BG23" i="24" s="1"/>
  <c r="K22" i="24"/>
  <c r="BG22" i="24" s="1"/>
  <c r="P43" i="24"/>
  <c r="BL43" i="24" s="1"/>
  <c r="P11" i="24"/>
  <c r="BL11" i="24" s="1"/>
  <c r="Q24" i="24"/>
  <c r="BM24" i="24" s="1"/>
  <c r="O45" i="24"/>
  <c r="BK45" i="24" s="1"/>
  <c r="M28" i="24"/>
  <c r="BI28" i="24" s="1"/>
  <c r="O28" i="24"/>
  <c r="BK28" i="24" s="1"/>
  <c r="M40" i="24"/>
  <c r="BI40" i="24" s="1"/>
  <c r="L38" i="24"/>
  <c r="BH38" i="24" s="1"/>
  <c r="Q40" i="24"/>
  <c r="BM40" i="24" s="1"/>
  <c r="K44" i="24"/>
  <c r="BG44" i="24" s="1"/>
  <c r="K38" i="24"/>
  <c r="BG38" i="24" s="1"/>
  <c r="M26" i="24"/>
  <c r="BI26" i="24" s="1"/>
  <c r="N13" i="24"/>
  <c r="BJ13" i="24" s="1"/>
  <c r="L36" i="24"/>
  <c r="BH36" i="24" s="1"/>
  <c r="M36" i="24"/>
  <c r="BI36" i="24" s="1"/>
  <c r="L19" i="24"/>
  <c r="BH19" i="24" s="1"/>
  <c r="M44" i="24"/>
  <c r="BI44" i="24" s="1"/>
  <c r="M25" i="24"/>
  <c r="BI25" i="24" s="1"/>
  <c r="J24" i="24"/>
  <c r="BF24" i="24" s="1"/>
  <c r="Q39" i="24"/>
  <c r="BM39" i="24" s="1"/>
  <c r="Q16" i="24"/>
  <c r="BM16" i="24" s="1"/>
  <c r="K29" i="24"/>
  <c r="BG29" i="24" s="1"/>
  <c r="Q38" i="24"/>
  <c r="BM38" i="24" s="1"/>
  <c r="L37" i="24"/>
  <c r="BH37" i="24" s="1"/>
  <c r="N28" i="24"/>
  <c r="BJ28" i="24" s="1"/>
  <c r="O6" i="24"/>
  <c r="BK6" i="24" s="1"/>
  <c r="J7" i="24"/>
  <c r="BF7" i="24" s="1"/>
  <c r="M45" i="24"/>
  <c r="BI45" i="24" s="1"/>
  <c r="K28" i="24"/>
  <c r="BG28" i="24" s="1"/>
  <c r="P34" i="24"/>
  <c r="BL34" i="24" s="1"/>
  <c r="Q43" i="24"/>
  <c r="BM43" i="24" s="1"/>
  <c r="O19" i="24"/>
  <c r="BK19" i="24" s="1"/>
  <c r="M34" i="24"/>
  <c r="BI34" i="24" s="1"/>
  <c r="J37" i="24"/>
  <c r="BF37" i="24" s="1"/>
  <c r="J15" i="24"/>
  <c r="BF15" i="24" s="1"/>
  <c r="K24" i="24"/>
  <c r="BG24" i="24" s="1"/>
  <c r="L14" i="24"/>
  <c r="BH14" i="24" s="1"/>
  <c r="J32" i="24"/>
  <c r="BF32" i="24" s="1"/>
  <c r="L45" i="24"/>
  <c r="BH45" i="24" s="1"/>
  <c r="M16" i="24"/>
  <c r="BI16" i="24" s="1"/>
  <c r="L44" i="24"/>
  <c r="BH44" i="24" s="1"/>
  <c r="L43" i="24"/>
  <c r="BH43" i="24" s="1"/>
  <c r="L27" i="24"/>
  <c r="BH27" i="24" s="1"/>
  <c r="J14" i="24"/>
  <c r="BF14" i="24" s="1"/>
  <c r="L25" i="24"/>
  <c r="BH25" i="24" s="1"/>
  <c r="H26" i="24"/>
  <c r="BD26" i="24" s="1"/>
  <c r="Q6" i="24"/>
  <c r="BM6" i="24" s="1"/>
  <c r="P44" i="24"/>
  <c r="BL44" i="24" s="1"/>
  <c r="Q10" i="24"/>
  <c r="BM10" i="24" s="1"/>
  <c r="O9" i="24"/>
  <c r="BK9" i="24" s="1"/>
  <c r="J10" i="24"/>
  <c r="BF10" i="24" s="1"/>
  <c r="K10" i="24"/>
  <c r="BG10" i="24" s="1"/>
  <c r="K9" i="24"/>
  <c r="BG9" i="24" s="1"/>
  <c r="Q9" i="24"/>
  <c r="BM9" i="24" s="1"/>
  <c r="Q18" i="24"/>
  <c r="BM18" i="24" s="1"/>
  <c r="J22" i="24"/>
  <c r="BF22" i="24" s="1"/>
  <c r="O23" i="24"/>
  <c r="BK23" i="24" s="1"/>
  <c r="N29" i="24"/>
  <c r="BJ29" i="24" s="1"/>
  <c r="O10" i="24"/>
  <c r="BK10" i="24" s="1"/>
  <c r="K26" i="24"/>
  <c r="BG26" i="24" s="1"/>
  <c r="L35" i="24"/>
  <c r="BH35" i="24" s="1"/>
  <c r="J28" i="24"/>
  <c r="BF28" i="24" s="1"/>
  <c r="K43" i="24"/>
  <c r="BG43" i="24" s="1"/>
  <c r="Q45" i="24"/>
  <c r="BM45" i="24" s="1"/>
  <c r="O27" i="24"/>
  <c r="BK27" i="24" s="1"/>
  <c r="J43" i="24"/>
  <c r="BF43" i="24" s="1"/>
  <c r="J26" i="24"/>
  <c r="BF26" i="24" s="1"/>
  <c r="P24" i="24"/>
  <c r="BL24" i="24" s="1"/>
  <c r="L11" i="24"/>
  <c r="BH11" i="24" s="1"/>
  <c r="O36" i="24"/>
  <c r="BK36" i="24" s="1"/>
  <c r="K11" i="24"/>
  <c r="BG11" i="24" s="1"/>
  <c r="P37" i="24"/>
  <c r="BL37" i="24" s="1"/>
  <c r="O26" i="24"/>
  <c r="BK26" i="24" s="1"/>
  <c r="L22" i="24"/>
  <c r="BH22" i="24" s="1"/>
  <c r="Q23" i="24"/>
  <c r="BM23" i="24" s="1"/>
  <c r="K36" i="24"/>
  <c r="BG36" i="24" s="1"/>
  <c r="P23" i="24"/>
  <c r="BL23" i="24" s="1"/>
  <c r="M23" i="24"/>
  <c r="BI23" i="24" s="1"/>
  <c r="M22" i="24"/>
  <c r="BI22" i="24" s="1"/>
  <c r="B28" i="24"/>
  <c r="AX28" i="24" s="1"/>
  <c r="O11" i="24"/>
  <c r="BK11" i="24" s="1"/>
  <c r="P12" i="24"/>
  <c r="BL12" i="24" s="1"/>
  <c r="K35" i="24"/>
  <c r="BG35" i="24" s="1"/>
  <c r="M35" i="24"/>
  <c r="BI35" i="24" s="1"/>
  <c r="J36" i="24"/>
  <c r="BF36" i="24" s="1"/>
  <c r="L32" i="24"/>
  <c r="BH32" i="24" s="1"/>
  <c r="K14" i="24"/>
  <c r="BG14" i="24" s="1"/>
  <c r="O34" i="24"/>
  <c r="BK34" i="24" s="1"/>
  <c r="Q11" i="24"/>
  <c r="BM11" i="24" s="1"/>
  <c r="P29" i="24"/>
  <c r="BL29" i="24" s="1"/>
  <c r="P14" i="24"/>
  <c r="BL14" i="24" s="1"/>
  <c r="M7" i="24"/>
  <c r="BI7" i="24" s="1"/>
  <c r="K32" i="24"/>
  <c r="BG32" i="24" s="1"/>
  <c r="L16" i="24"/>
  <c r="BH16" i="24" s="1"/>
  <c r="M12" i="24"/>
  <c r="BI12" i="24" s="1"/>
  <c r="O38" i="24"/>
  <c r="BK38" i="24" s="1"/>
  <c r="Q44" i="24"/>
  <c r="BM44" i="24" s="1"/>
  <c r="P35" i="24"/>
  <c r="BL35" i="24" s="1"/>
  <c r="M19" i="24"/>
  <c r="BI19" i="24" s="1"/>
  <c r="O43" i="24"/>
  <c r="BK43" i="24" s="1"/>
  <c r="K12" i="24"/>
  <c r="BG12" i="24" s="1"/>
  <c r="J39" i="24"/>
  <c r="BF39" i="24" s="1"/>
  <c r="O16" i="24"/>
  <c r="BK16" i="24" s="1"/>
  <c r="K40" i="24"/>
  <c r="BG40" i="24" s="1"/>
  <c r="K45" i="24"/>
  <c r="BG45" i="24" s="1"/>
  <c r="Q14" i="24"/>
  <c r="BM14" i="24" s="1"/>
  <c r="L13" i="24"/>
  <c r="BH13" i="24" s="1"/>
  <c r="M15" i="24"/>
  <c r="BI15" i="24" s="1"/>
  <c r="N45" i="24"/>
  <c r="BJ45" i="24" s="1"/>
  <c r="O39" i="24"/>
  <c r="BK39" i="24" s="1"/>
  <c r="P42" i="24"/>
  <c r="BL42" i="24" s="1"/>
  <c r="Q15" i="24"/>
  <c r="BM15" i="24" s="1"/>
  <c r="L39" i="24"/>
  <c r="BH39" i="24" s="1"/>
  <c r="M42" i="24"/>
  <c r="BI42" i="24" s="1"/>
  <c r="J25" i="24"/>
  <c r="BF25" i="24" s="1"/>
  <c r="P32" i="24"/>
  <c r="BL32" i="24" s="1"/>
  <c r="Q34" i="24"/>
  <c r="BM34" i="24" s="1"/>
  <c r="P19" i="24"/>
  <c r="BL19" i="24" s="1"/>
  <c r="P27" i="24"/>
  <c r="BL27" i="24" s="1"/>
  <c r="J38" i="24"/>
  <c r="BF38" i="24" s="1"/>
  <c r="Q37" i="24"/>
  <c r="BM37" i="24" s="1"/>
  <c r="P13" i="24"/>
  <c r="BL13" i="24" s="1"/>
  <c r="L34" i="24"/>
  <c r="BH34" i="24" s="1"/>
  <c r="P16" i="24"/>
  <c r="BL16" i="24" s="1"/>
  <c r="K42" i="24"/>
  <c r="BG42" i="24" s="1"/>
  <c r="Q12" i="24"/>
  <c r="BM12" i="24" s="1"/>
  <c r="O35" i="24"/>
  <c r="BK35" i="24" s="1"/>
  <c r="Q7" i="24"/>
  <c r="BM7" i="24" s="1"/>
  <c r="Q27" i="24"/>
  <c r="BM27" i="24" s="1"/>
  <c r="J19" i="24"/>
  <c r="BF19" i="24" s="1"/>
  <c r="M9" i="24"/>
  <c r="BI9" i="24" s="1"/>
  <c r="P9" i="24"/>
  <c r="BL9" i="24" s="1"/>
  <c r="CT8" i="5" l="1"/>
  <c r="DA8" i="5" s="1"/>
  <c r="CU8" i="5"/>
  <c r="BO8" i="5"/>
  <c r="BP8" i="5"/>
  <c r="BQ8" i="5"/>
  <c r="BS8" i="5"/>
  <c r="BT8" i="5"/>
  <c r="BU8" i="5"/>
  <c r="BV8" i="5"/>
  <c r="BW8" i="5"/>
  <c r="BZ8" i="5"/>
  <c r="CH8" i="5" l="1"/>
  <c r="CI8" i="5" s="1"/>
  <c r="DC8" i="5" s="1"/>
  <c r="DC10" i="8"/>
  <c r="DD10" i="8" s="1"/>
  <c r="I10" i="24" l="1"/>
  <c r="BE10" i="24" s="1"/>
  <c r="DB8" i="5"/>
  <c r="E10" i="24" l="1"/>
  <c r="BA10" i="24" s="1"/>
  <c r="G10" i="24"/>
  <c r="BC10" i="24" s="1"/>
  <c r="F10" i="24"/>
  <c r="BB10" i="24" s="1"/>
  <c r="C10" i="24"/>
  <c r="AY10" i="24" s="1"/>
  <c r="D10" i="24"/>
  <c r="AZ10" i="24" s="1"/>
  <c r="B10" i="24"/>
  <c r="AX10" i="24" s="1"/>
  <c r="BS6" i="5"/>
  <c r="BS45" i="5" s="1"/>
  <c r="BS9" i="5"/>
  <c r="BS10" i="5"/>
  <c r="BS11" i="5"/>
  <c r="BS12" i="5"/>
  <c r="BS13" i="5"/>
  <c r="BS14" i="5"/>
  <c r="BS17" i="5"/>
  <c r="BS20" i="5"/>
  <c r="BS5" i="5"/>
  <c r="CV8" i="8" l="1"/>
  <c r="CW8" i="8"/>
  <c r="DB8" i="8"/>
  <c r="DC8" i="8" l="1"/>
  <c r="DD8" i="8" s="1"/>
  <c r="I7" i="24" l="1"/>
  <c r="BE7" i="24" s="1"/>
  <c r="F7" i="24" l="1"/>
  <c r="BB7" i="24" s="1"/>
  <c r="G7" i="24"/>
  <c r="BC7" i="24" s="1"/>
  <c r="B7" i="24"/>
  <c r="AX7" i="24" s="1"/>
  <c r="C7" i="24"/>
  <c r="AY7" i="24" s="1"/>
  <c r="E7" i="24"/>
  <c r="BA7" i="24" s="1"/>
  <c r="D7" i="24"/>
  <c r="AZ7" i="24" s="1"/>
  <c r="DC17" i="8" l="1"/>
  <c r="DD17" i="8" s="1"/>
  <c r="DC13" i="8"/>
  <c r="DD13" i="8" s="1"/>
  <c r="DC12" i="8"/>
  <c r="DD12" i="8" s="1"/>
  <c r="DC22" i="8"/>
  <c r="DD22" i="8" s="1"/>
  <c r="DC25" i="8"/>
  <c r="DD25" i="8" s="1"/>
  <c r="DC21" i="8"/>
  <c r="DD21" i="8" s="1"/>
  <c r="DC14" i="8"/>
  <c r="DD14" i="8" s="1"/>
  <c r="DC24" i="8"/>
  <c r="DD24" i="8" s="1"/>
  <c r="DC18" i="8"/>
  <c r="DD18" i="8" s="1"/>
  <c r="DC9" i="8"/>
  <c r="DD9" i="8" s="1"/>
  <c r="DC11" i="8"/>
  <c r="DD11" i="8" s="1"/>
  <c r="DC26" i="8"/>
  <c r="DD26" i="8" s="1"/>
  <c r="DC23" i="8"/>
  <c r="DD23" i="8" s="1"/>
  <c r="DC15" i="8"/>
  <c r="DD15" i="8" s="1"/>
  <c r="DC34" i="8"/>
  <c r="DD34" i="8" s="1"/>
  <c r="DC29" i="8"/>
  <c r="DD29" i="8" s="1"/>
  <c r="DC39" i="8"/>
  <c r="DD39" i="8" s="1"/>
  <c r="DC40" i="8"/>
  <c r="DD40" i="8" s="1"/>
  <c r="DC36" i="8"/>
  <c r="DD36" i="8" s="1"/>
  <c r="DC32" i="8"/>
  <c r="DD32" i="8" s="1"/>
  <c r="DC35" i="8"/>
  <c r="DD35" i="8" s="1"/>
  <c r="DC31" i="8"/>
  <c r="DD31" i="8" s="1"/>
  <c r="G42" i="24" l="1"/>
  <c r="BC42" i="24" s="1"/>
  <c r="F44" i="24"/>
  <c r="BB44" i="24" s="1"/>
  <c r="F29" i="24"/>
  <c r="BB29" i="24" s="1"/>
  <c r="G39" i="24"/>
  <c r="BC39" i="24" s="1"/>
  <c r="I19" i="24"/>
  <c r="BE19" i="24" s="1"/>
  <c r="I11" i="24"/>
  <c r="BE11" i="24" s="1"/>
  <c r="F13" i="24"/>
  <c r="BB13" i="24" s="1"/>
  <c r="F28" i="24"/>
  <c r="BB28" i="24" s="1"/>
  <c r="I9" i="24"/>
  <c r="BE9" i="24" s="1"/>
  <c r="I40" i="24"/>
  <c r="BE40" i="24" s="1"/>
  <c r="G32" i="24"/>
  <c r="BC32" i="24" s="1"/>
  <c r="G16" i="24"/>
  <c r="BC16" i="24" s="1"/>
  <c r="G44" i="24"/>
  <c r="BC44" i="24" s="1"/>
  <c r="F32" i="24"/>
  <c r="BB32" i="24" s="1"/>
  <c r="F36" i="24"/>
  <c r="BB36" i="24" s="1"/>
  <c r="G37" i="24"/>
  <c r="BC37" i="24" s="1"/>
  <c r="G9" i="24"/>
  <c r="BC9" i="24" s="1"/>
  <c r="I14" i="24"/>
  <c r="BE14" i="24" s="1"/>
  <c r="G13" i="24"/>
  <c r="BC13" i="24" s="1"/>
  <c r="G24" i="24"/>
  <c r="BC24" i="24" s="1"/>
  <c r="G29" i="24"/>
  <c r="BC29" i="24" s="1"/>
  <c r="I12" i="24"/>
  <c r="BE12" i="24" s="1"/>
  <c r="I42" i="24"/>
  <c r="BE42" i="24" s="1"/>
  <c r="F12" i="24"/>
  <c r="BB12" i="24" s="1"/>
  <c r="I39" i="24"/>
  <c r="BE39" i="24" s="1"/>
  <c r="F43" i="24"/>
  <c r="BB43" i="24" s="1"/>
  <c r="G45" i="24"/>
  <c r="BC45" i="24" s="1"/>
  <c r="G12" i="24"/>
  <c r="BC12" i="24" s="1"/>
  <c r="F37" i="24"/>
  <c r="BB37" i="24" s="1"/>
  <c r="G35" i="24"/>
  <c r="BC35" i="24" s="1"/>
  <c r="G19" i="24"/>
  <c r="BC19" i="24" s="1"/>
  <c r="I29" i="24"/>
  <c r="BE29" i="24" s="1"/>
  <c r="I25" i="24"/>
  <c r="BE25" i="24" s="1"/>
  <c r="G28" i="24"/>
  <c r="BC28" i="24" s="1"/>
  <c r="F11" i="24"/>
  <c r="BB11" i="24" s="1"/>
  <c r="F26" i="24"/>
  <c r="BB26" i="24" s="1"/>
  <c r="I32" i="24"/>
  <c r="BE32" i="24" s="1"/>
  <c r="F18" i="24"/>
  <c r="BB18" i="24" s="1"/>
  <c r="F24" i="24"/>
  <c r="BB24" i="24" s="1"/>
  <c r="F34" i="24"/>
  <c r="BB34" i="24" s="1"/>
  <c r="I36" i="24"/>
  <c r="BE36" i="24" s="1"/>
  <c r="G14" i="24"/>
  <c r="BC14" i="24" s="1"/>
  <c r="F35" i="24"/>
  <c r="BB35" i="24" s="1"/>
  <c r="F39" i="24"/>
  <c r="BB39" i="24" s="1"/>
  <c r="F9" i="24"/>
  <c r="BB9" i="24" s="1"/>
  <c r="I37" i="24"/>
  <c r="BE37" i="24" s="1"/>
  <c r="I26" i="24"/>
  <c r="BE26" i="24" s="1"/>
  <c r="F19" i="24"/>
  <c r="BB19" i="24" s="1"/>
  <c r="I35" i="24"/>
  <c r="BE35" i="24" s="1"/>
  <c r="F40" i="24"/>
  <c r="BB40" i="24" s="1"/>
  <c r="I44" i="24"/>
  <c r="BE44" i="24" s="1"/>
  <c r="F38" i="24"/>
  <c r="BB38" i="24" s="1"/>
  <c r="G36" i="24"/>
  <c r="BC36" i="24" s="1"/>
  <c r="I15" i="24"/>
  <c r="BE15" i="24" s="1"/>
  <c r="F16" i="24"/>
  <c r="BB16" i="24" s="1"/>
  <c r="G26" i="24"/>
  <c r="BC26" i="24" s="1"/>
  <c r="F15" i="24"/>
  <c r="BB15" i="24" s="1"/>
  <c r="I45" i="24"/>
  <c r="BE45" i="24" s="1"/>
  <c r="F27" i="24"/>
  <c r="BB27" i="24" s="1"/>
  <c r="I24" i="24"/>
  <c r="BE24" i="24" s="1"/>
  <c r="G15" i="24"/>
  <c r="BC15" i="24" s="1"/>
  <c r="G18" i="24"/>
  <c r="BC18" i="24" s="1"/>
  <c r="G38" i="24"/>
  <c r="BC38" i="24" s="1"/>
  <c r="I27" i="24"/>
  <c r="BE27" i="24" s="1"/>
  <c r="I18" i="24"/>
  <c r="BE18" i="24" s="1"/>
  <c r="G25" i="24"/>
  <c r="BC25" i="24" s="1"/>
  <c r="G40" i="24"/>
  <c r="BC40" i="24" s="1"/>
  <c r="F45" i="24"/>
  <c r="BB45" i="24" s="1"/>
  <c r="G11" i="24"/>
  <c r="BC11" i="24" s="1"/>
  <c r="I43" i="24"/>
  <c r="BE43" i="24" s="1"/>
  <c r="I28" i="24"/>
  <c r="BE28" i="24" s="1"/>
  <c r="F14" i="24"/>
  <c r="BB14" i="24" s="1"/>
  <c r="I38" i="24"/>
  <c r="BE38" i="24" s="1"/>
  <c r="F25" i="24"/>
  <c r="BB25" i="24" s="1"/>
  <c r="G27" i="24"/>
  <c r="BC27" i="24" s="1"/>
  <c r="G43" i="24"/>
  <c r="BC43" i="24" s="1"/>
  <c r="G34" i="24"/>
  <c r="BC34" i="24" s="1"/>
  <c r="I16" i="24"/>
  <c r="BE16" i="24" s="1"/>
  <c r="I13" i="24"/>
  <c r="BE13" i="24" s="1"/>
  <c r="F42" i="24"/>
  <c r="BB42" i="24" s="1"/>
  <c r="I34" i="24"/>
  <c r="BE34" i="24" s="1"/>
  <c r="H45" i="14" l="1"/>
  <c r="B9" i="24" l="1"/>
  <c r="AX9" i="24" s="1"/>
  <c r="E9" i="24"/>
  <c r="BA9" i="24" s="1"/>
  <c r="C9" i="24" l="1"/>
  <c r="AY9" i="24" s="1"/>
  <c r="D9" i="24"/>
  <c r="AZ9" i="24" s="1"/>
  <c r="CV7" i="8"/>
  <c r="CW7" i="8"/>
  <c r="DB7" i="8"/>
  <c r="BZ6" i="5" l="1"/>
  <c r="BZ9" i="5"/>
  <c r="BZ10" i="5"/>
  <c r="BZ11" i="5"/>
  <c r="BZ12" i="5"/>
  <c r="BZ13" i="5"/>
  <c r="BZ14" i="5"/>
  <c r="BZ5" i="5"/>
  <c r="BZ45" i="5" l="1"/>
  <c r="CH1" i="6"/>
  <c r="DC32" i="5" l="1"/>
  <c r="DB32" i="5" l="1"/>
  <c r="BY5" i="8" l="1"/>
  <c r="B34" i="24" l="1"/>
  <c r="AX34" i="24" s="1"/>
  <c r="E34" i="24"/>
  <c r="BA34" i="24" s="1"/>
  <c r="C34" i="24"/>
  <c r="AY34" i="24" s="1"/>
  <c r="D34" i="24"/>
  <c r="AZ34" i="24" s="1"/>
  <c r="CT9" i="5" l="1"/>
  <c r="DA9" i="5" s="1"/>
  <c r="CU9" i="5"/>
  <c r="DA45" i="6" l="1"/>
  <c r="E26" i="24" l="1"/>
  <c r="BA26" i="24" s="1"/>
  <c r="BV6" i="5" l="1"/>
  <c r="BV9" i="5"/>
  <c r="BV10" i="5"/>
  <c r="BV11" i="5"/>
  <c r="BV12" i="5"/>
  <c r="BV13" i="5"/>
  <c r="BV14" i="5"/>
  <c r="BV17" i="5"/>
  <c r="BV20" i="5"/>
  <c r="BV5" i="5"/>
  <c r="BV45" i="5" l="1"/>
  <c r="DB37" i="5"/>
  <c r="E36" i="24" l="1"/>
  <c r="BA36" i="24" s="1"/>
  <c r="CC5" i="8"/>
  <c r="CV45" i="6"/>
  <c r="BV5" i="8" l="1"/>
  <c r="E25" i="24" l="1"/>
  <c r="BA25" i="24" s="1"/>
  <c r="H4" i="14"/>
  <c r="CT14" i="5" l="1"/>
  <c r="DA14" i="5" s="1"/>
  <c r="CU14" i="5"/>
  <c r="BO14" i="5"/>
  <c r="BP14" i="5"/>
  <c r="BQ14" i="5"/>
  <c r="BT14" i="5"/>
  <c r="BU14" i="5"/>
  <c r="BW14" i="5"/>
  <c r="CH14" i="5" l="1"/>
  <c r="CI14" i="5" s="1"/>
  <c r="DC14" i="5" s="1"/>
  <c r="DB14" i="5" l="1"/>
  <c r="E14" i="24" l="1"/>
  <c r="BA14" i="24" s="1"/>
  <c r="CG8" i="15"/>
  <c r="CG43" i="15" s="1"/>
  <c r="CA5" i="15"/>
  <c r="CA40" i="15" s="1"/>
  <c r="CB5" i="15"/>
  <c r="CB40" i="15" s="1"/>
  <c r="CA6" i="15"/>
  <c r="CA41" i="15" s="1"/>
  <c r="CB6" i="15"/>
  <c r="CB41" i="15" s="1"/>
  <c r="CA7" i="15"/>
  <c r="CA42" i="15" s="1"/>
  <c r="CB7" i="15"/>
  <c r="CB42" i="15" s="1"/>
  <c r="CA8" i="15"/>
  <c r="CA43" i="15" s="1"/>
  <c r="CB8" i="15"/>
  <c r="CB43" i="15" s="1"/>
  <c r="CA9" i="15"/>
  <c r="CB9" i="15"/>
  <c r="CA10" i="15"/>
  <c r="CB10" i="15"/>
  <c r="CA11" i="15"/>
  <c r="CB11" i="15"/>
  <c r="CA12" i="15"/>
  <c r="CB12" i="15"/>
  <c r="CA13" i="15"/>
  <c r="CB13" i="15"/>
  <c r="CA14" i="15"/>
  <c r="CB14" i="15"/>
  <c r="CA15" i="15"/>
  <c r="CB15" i="15"/>
  <c r="CA16" i="15"/>
  <c r="CB16" i="15"/>
  <c r="CA17" i="15"/>
  <c r="CB17" i="15"/>
  <c r="CA18" i="15"/>
  <c r="CB18" i="15"/>
  <c r="CA19" i="15"/>
  <c r="CB19" i="15"/>
  <c r="CA20" i="15"/>
  <c r="CB20" i="15"/>
  <c r="CA21" i="15"/>
  <c r="CB21" i="15"/>
  <c r="CA22" i="15"/>
  <c r="CB22" i="15"/>
  <c r="CA23" i="15"/>
  <c r="CB23" i="15"/>
  <c r="CA24" i="15"/>
  <c r="CB24" i="15"/>
  <c r="CA25" i="15"/>
  <c r="CB25" i="15"/>
  <c r="CA26" i="15"/>
  <c r="CB26" i="15"/>
  <c r="CA27" i="15"/>
  <c r="CB27" i="15"/>
  <c r="CA28" i="15"/>
  <c r="CB28" i="15"/>
  <c r="CA29" i="15"/>
  <c r="CB29" i="15"/>
  <c r="CA30" i="15"/>
  <c r="CB30" i="15"/>
  <c r="CA31" i="15"/>
  <c r="CB31" i="15"/>
  <c r="CA32" i="15"/>
  <c r="CB32" i="15"/>
  <c r="CA33" i="15"/>
  <c r="CB33" i="15"/>
  <c r="CA34" i="15"/>
  <c r="CB34" i="15"/>
  <c r="CA35" i="15"/>
  <c r="CB35" i="15"/>
  <c r="CA36" i="15"/>
  <c r="CB36" i="15"/>
  <c r="CA37" i="15"/>
  <c r="CB37" i="15"/>
  <c r="CA38" i="15"/>
  <c r="CB38" i="15"/>
  <c r="CA4" i="15"/>
  <c r="CA44" i="15" s="1"/>
  <c r="CB4" i="15"/>
  <c r="CB44" i="15" s="1"/>
  <c r="BN5" i="15"/>
  <c r="BN40" i="15" s="1"/>
  <c r="BN6" i="15"/>
  <c r="BN41" i="15" s="1"/>
  <c r="BN7" i="15"/>
  <c r="BN42" i="15" s="1"/>
  <c r="BN8" i="15"/>
  <c r="BN43" i="15" s="1"/>
  <c r="BN9" i="15"/>
  <c r="BN10" i="15"/>
  <c r="BN11" i="15"/>
  <c r="BN12" i="15"/>
  <c r="BN13" i="15"/>
  <c r="BN14" i="15"/>
  <c r="BN15" i="15"/>
  <c r="BN16" i="15"/>
  <c r="BN17" i="15"/>
  <c r="BN18" i="15"/>
  <c r="BN19" i="15"/>
  <c r="BN20" i="15"/>
  <c r="BN21" i="15"/>
  <c r="BN22" i="15"/>
  <c r="BN23" i="15"/>
  <c r="BN24" i="15"/>
  <c r="BN25" i="15"/>
  <c r="BN26" i="15"/>
  <c r="BN27" i="15"/>
  <c r="BN28" i="15"/>
  <c r="BN29" i="15"/>
  <c r="BN30" i="15"/>
  <c r="BN31" i="15"/>
  <c r="BN32" i="15"/>
  <c r="BN33" i="15"/>
  <c r="BN34" i="15"/>
  <c r="BN35" i="15"/>
  <c r="BN36" i="15"/>
  <c r="BN37" i="15"/>
  <c r="BN38" i="15"/>
  <c r="BN4" i="15"/>
  <c r="BN44" i="15" s="1"/>
  <c r="AH5" i="15"/>
  <c r="AH40" i="15" s="1"/>
  <c r="AI5" i="15"/>
  <c r="AI40" i="15" s="1"/>
  <c r="AJ5" i="15"/>
  <c r="AJ40" i="15" s="1"/>
  <c r="AK5" i="15"/>
  <c r="AK40" i="15" s="1"/>
  <c r="AL5" i="15"/>
  <c r="AL40" i="15" s="1"/>
  <c r="AM5" i="15"/>
  <c r="AM40" i="15" s="1"/>
  <c r="AN5" i="15"/>
  <c r="AN40" i="15" s="1"/>
  <c r="AO5" i="15"/>
  <c r="AO40" i="15" s="1"/>
  <c r="AP5" i="15"/>
  <c r="AP40" i="15" s="1"/>
  <c r="AQ5" i="15"/>
  <c r="AQ40" i="15" s="1"/>
  <c r="AR5" i="15"/>
  <c r="AR40" i="15" s="1"/>
  <c r="AS5" i="15"/>
  <c r="AS40" i="15" s="1"/>
  <c r="AT5" i="15"/>
  <c r="AT40" i="15" s="1"/>
  <c r="AU5" i="15"/>
  <c r="AU40" i="15" s="1"/>
  <c r="AV5" i="15"/>
  <c r="AV40" i="15" s="1"/>
  <c r="AW5" i="15"/>
  <c r="AW40" i="15" s="1"/>
  <c r="AH6" i="15"/>
  <c r="AH41" i="15" s="1"/>
  <c r="AI6" i="15"/>
  <c r="AI41" i="15" s="1"/>
  <c r="AJ6" i="15"/>
  <c r="AJ41" i="15" s="1"/>
  <c r="AK6" i="15"/>
  <c r="AK41" i="15" s="1"/>
  <c r="AL6" i="15"/>
  <c r="AL41" i="15" s="1"/>
  <c r="AM6" i="15"/>
  <c r="AM41" i="15" s="1"/>
  <c r="AN6" i="15"/>
  <c r="AN41" i="15" s="1"/>
  <c r="AO6" i="15"/>
  <c r="AO41" i="15" s="1"/>
  <c r="AP6" i="15"/>
  <c r="AP41" i="15" s="1"/>
  <c r="AQ6" i="15"/>
  <c r="AQ41" i="15" s="1"/>
  <c r="AR6" i="15"/>
  <c r="AR41" i="15" s="1"/>
  <c r="AS6" i="15"/>
  <c r="AS41" i="15" s="1"/>
  <c r="AU6" i="15"/>
  <c r="AU41" i="15" s="1"/>
  <c r="AV6" i="15"/>
  <c r="AV41" i="15" s="1"/>
  <c r="AW6" i="15"/>
  <c r="AW41" i="15" s="1"/>
  <c r="AH7" i="15"/>
  <c r="AH42" i="15" s="1"/>
  <c r="AI7" i="15"/>
  <c r="AI42" i="15" s="1"/>
  <c r="AJ7" i="15"/>
  <c r="AJ42" i="15" s="1"/>
  <c r="AK7" i="15"/>
  <c r="AK42" i="15" s="1"/>
  <c r="AL7" i="15"/>
  <c r="AL42" i="15" s="1"/>
  <c r="AM7" i="15"/>
  <c r="AM42" i="15" s="1"/>
  <c r="AN7" i="15"/>
  <c r="AN42" i="15" s="1"/>
  <c r="AO7" i="15"/>
  <c r="AO42" i="15" s="1"/>
  <c r="AP7" i="15"/>
  <c r="AP42" i="15" s="1"/>
  <c r="AQ7" i="15"/>
  <c r="AQ42" i="15" s="1"/>
  <c r="AR7" i="15"/>
  <c r="AR42" i="15" s="1"/>
  <c r="AS7" i="15"/>
  <c r="AS42" i="15" s="1"/>
  <c r="AT7" i="15"/>
  <c r="AT42" i="15" s="1"/>
  <c r="AU7" i="15"/>
  <c r="AU42" i="15" s="1"/>
  <c r="AV7" i="15"/>
  <c r="AV42" i="15" s="1"/>
  <c r="AW7" i="15"/>
  <c r="AW42" i="15" s="1"/>
  <c r="AH8" i="15"/>
  <c r="AH43" i="15" s="1"/>
  <c r="AI8" i="15"/>
  <c r="AI43" i="15" s="1"/>
  <c r="AJ8" i="15"/>
  <c r="AJ43" i="15" s="1"/>
  <c r="AK8" i="15"/>
  <c r="AK43" i="15" s="1"/>
  <c r="AL8" i="15"/>
  <c r="AL43" i="15" s="1"/>
  <c r="AM8" i="15"/>
  <c r="AM43" i="15" s="1"/>
  <c r="AN8" i="15"/>
  <c r="AN43" i="15" s="1"/>
  <c r="AO8" i="15"/>
  <c r="AO43" i="15" s="1"/>
  <c r="AP8" i="15"/>
  <c r="AP43" i="15" s="1"/>
  <c r="AQ8" i="15"/>
  <c r="AQ43" i="15" s="1"/>
  <c r="AR8" i="15"/>
  <c r="AR43" i="15" s="1"/>
  <c r="AS8" i="15"/>
  <c r="AS43" i="15" s="1"/>
  <c r="AT8" i="15"/>
  <c r="AT43" i="15" s="1"/>
  <c r="AU8" i="15"/>
  <c r="AU43" i="15" s="1"/>
  <c r="AV8" i="15"/>
  <c r="AV43" i="15" s="1"/>
  <c r="AW8" i="15"/>
  <c r="AW43" i="15" s="1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U10" i="15"/>
  <c r="AV10" i="15"/>
  <c r="AW10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U11" i="15"/>
  <c r="AV11" i="15"/>
  <c r="AW11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U12" i="15"/>
  <c r="AV12" i="15"/>
  <c r="AW12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U13" i="15"/>
  <c r="AV13" i="15"/>
  <c r="AW13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U14" i="15"/>
  <c r="AV14" i="15"/>
  <c r="AW14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U15" i="15"/>
  <c r="AV15" i="15"/>
  <c r="AW15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U16" i="15"/>
  <c r="AV16" i="15"/>
  <c r="AW16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H18" i="15"/>
  <c r="AI18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U19" i="15"/>
  <c r="AV19" i="15"/>
  <c r="AW19" i="15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U20" i="15"/>
  <c r="AV20" i="15"/>
  <c r="AW20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U21" i="15"/>
  <c r="AV21" i="15"/>
  <c r="AW21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U22" i="15"/>
  <c r="AV22" i="15"/>
  <c r="AW22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H25" i="15"/>
  <c r="AI25" i="15"/>
  <c r="AJ25" i="15"/>
  <c r="AK25" i="15"/>
  <c r="AL25" i="15"/>
  <c r="AM25" i="15"/>
  <c r="AN25" i="15"/>
  <c r="AO25" i="15"/>
  <c r="AP25" i="15"/>
  <c r="AQ25" i="15"/>
  <c r="AR25" i="15"/>
  <c r="AS25" i="15"/>
  <c r="AU25" i="15"/>
  <c r="AV25" i="15"/>
  <c r="AW25" i="15"/>
  <c r="AH26" i="15"/>
  <c r="AI26" i="15"/>
  <c r="AJ26" i="15"/>
  <c r="AK26" i="15"/>
  <c r="AL26" i="15"/>
  <c r="AM26" i="15"/>
  <c r="AN26" i="15"/>
  <c r="AO26" i="15"/>
  <c r="AP26" i="15"/>
  <c r="AQ26" i="15"/>
  <c r="AR26" i="15"/>
  <c r="AS26" i="15"/>
  <c r="AU26" i="15"/>
  <c r="AV26" i="15"/>
  <c r="AW26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U27" i="15"/>
  <c r="AV27" i="15"/>
  <c r="AW27" i="15"/>
  <c r="AH28" i="15"/>
  <c r="AI28" i="15"/>
  <c r="AJ28" i="15"/>
  <c r="AK28" i="15"/>
  <c r="AL28" i="15"/>
  <c r="AM28" i="15"/>
  <c r="AN28" i="15"/>
  <c r="AO28" i="15"/>
  <c r="AP28" i="15"/>
  <c r="AQ28" i="15"/>
  <c r="AR28" i="15"/>
  <c r="AS28" i="15"/>
  <c r="AU28" i="15"/>
  <c r="AV28" i="15"/>
  <c r="AW28" i="15"/>
  <c r="AH29" i="15"/>
  <c r="AI29" i="15"/>
  <c r="AJ29" i="15"/>
  <c r="AK29" i="15"/>
  <c r="AL29" i="15"/>
  <c r="AM29" i="15"/>
  <c r="AN29" i="15"/>
  <c r="AO29" i="15"/>
  <c r="AP29" i="15"/>
  <c r="AQ29" i="15"/>
  <c r="AR29" i="15"/>
  <c r="AS29" i="15"/>
  <c r="AU29" i="15"/>
  <c r="AV29" i="15"/>
  <c r="AW29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U30" i="15"/>
  <c r="AV30" i="15"/>
  <c r="AW30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U31" i="15"/>
  <c r="AV31" i="15"/>
  <c r="AW31" i="15"/>
  <c r="AH32" i="15"/>
  <c r="AI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H33" i="15"/>
  <c r="AI33" i="15"/>
  <c r="AJ33" i="15"/>
  <c r="AK33" i="15"/>
  <c r="AL33" i="15"/>
  <c r="AM33" i="15"/>
  <c r="AN33" i="15"/>
  <c r="AO33" i="15"/>
  <c r="AP33" i="15"/>
  <c r="AQ33" i="15"/>
  <c r="AR33" i="15"/>
  <c r="AS33" i="15"/>
  <c r="AU33" i="15"/>
  <c r="AV33" i="15"/>
  <c r="AW33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U34" i="15"/>
  <c r="AV34" i="15"/>
  <c r="AW34" i="15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H36" i="15"/>
  <c r="AI36" i="15"/>
  <c r="AJ36" i="15"/>
  <c r="AK36" i="15"/>
  <c r="AL36" i="15"/>
  <c r="AM36" i="15"/>
  <c r="AN36" i="15"/>
  <c r="AO36" i="15"/>
  <c r="AP36" i="15"/>
  <c r="AQ36" i="15"/>
  <c r="AR36" i="15"/>
  <c r="AS36" i="15"/>
  <c r="AU36" i="15"/>
  <c r="AV36" i="15"/>
  <c r="AW36" i="15"/>
  <c r="AH37" i="15"/>
  <c r="AI37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K4" i="15"/>
  <c r="AK44" i="15" s="1"/>
  <c r="AL4" i="15"/>
  <c r="AL44" i="15" s="1"/>
  <c r="AM4" i="15"/>
  <c r="AM44" i="15" s="1"/>
  <c r="AN4" i="15"/>
  <c r="AN44" i="15" s="1"/>
  <c r="AO4" i="15"/>
  <c r="AO44" i="15" s="1"/>
  <c r="AP4" i="15"/>
  <c r="AP44" i="15" s="1"/>
  <c r="AQ4" i="15"/>
  <c r="AQ44" i="15" s="1"/>
  <c r="AR4" i="15"/>
  <c r="AR44" i="15" s="1"/>
  <c r="AS4" i="15"/>
  <c r="AS44" i="15" s="1"/>
  <c r="AU4" i="15"/>
  <c r="AU44" i="15" s="1"/>
  <c r="AV4" i="15"/>
  <c r="AV44" i="15" s="1"/>
  <c r="AW4" i="15"/>
  <c r="AW44" i="15" s="1"/>
  <c r="AJ4" i="15"/>
  <c r="AJ44" i="15" s="1"/>
  <c r="AI4" i="15"/>
  <c r="AI44" i="15" s="1"/>
  <c r="AH4" i="15"/>
  <c r="AH44" i="15" s="1"/>
  <c r="R5" i="15"/>
  <c r="R40" i="15" s="1"/>
  <c r="S5" i="15"/>
  <c r="S40" i="15" s="1"/>
  <c r="T5" i="15"/>
  <c r="T40" i="15" s="1"/>
  <c r="U5" i="15"/>
  <c r="U40" i="15" s="1"/>
  <c r="V5" i="15"/>
  <c r="V40" i="15" s="1"/>
  <c r="W5" i="15"/>
  <c r="W40" i="15" s="1"/>
  <c r="X5" i="15"/>
  <c r="X40" i="15" s="1"/>
  <c r="Y5" i="15"/>
  <c r="Y40" i="15" s="1"/>
  <c r="Z5" i="15"/>
  <c r="Z40" i="15" s="1"/>
  <c r="AA5" i="15"/>
  <c r="AA40" i="15" s="1"/>
  <c r="AB5" i="15"/>
  <c r="AB40" i="15" s="1"/>
  <c r="AC5" i="15"/>
  <c r="AC40" i="15" s="1"/>
  <c r="AD5" i="15"/>
  <c r="AD40" i="15" s="1"/>
  <c r="AE5" i="15"/>
  <c r="AE40" i="15" s="1"/>
  <c r="AF5" i="15"/>
  <c r="AF40" i="15" s="1"/>
  <c r="AG5" i="15"/>
  <c r="AG40" i="15" s="1"/>
  <c r="R6" i="15"/>
  <c r="R41" i="15" s="1"/>
  <c r="S6" i="15"/>
  <c r="S41" i="15" s="1"/>
  <c r="T6" i="15"/>
  <c r="T41" i="15" s="1"/>
  <c r="U6" i="15"/>
  <c r="U41" i="15" s="1"/>
  <c r="V6" i="15"/>
  <c r="V41" i="15" s="1"/>
  <c r="W6" i="15"/>
  <c r="W41" i="15" s="1"/>
  <c r="X6" i="15"/>
  <c r="X41" i="15" s="1"/>
  <c r="Y6" i="15"/>
  <c r="Y41" i="15" s="1"/>
  <c r="Z6" i="15"/>
  <c r="Z41" i="15" s="1"/>
  <c r="AA6" i="15"/>
  <c r="AA41" i="15" s="1"/>
  <c r="AB6" i="15"/>
  <c r="AB41" i="15" s="1"/>
  <c r="AC6" i="15"/>
  <c r="AC41" i="15" s="1"/>
  <c r="AD6" i="15"/>
  <c r="AD41" i="15" s="1"/>
  <c r="AE6" i="15"/>
  <c r="AE41" i="15" s="1"/>
  <c r="AF6" i="15"/>
  <c r="AF41" i="15" s="1"/>
  <c r="AG6" i="15"/>
  <c r="AG41" i="15" s="1"/>
  <c r="R7" i="15"/>
  <c r="R42" i="15" s="1"/>
  <c r="S7" i="15"/>
  <c r="S42" i="15" s="1"/>
  <c r="T7" i="15"/>
  <c r="T42" i="15" s="1"/>
  <c r="U7" i="15"/>
  <c r="U42" i="15" s="1"/>
  <c r="V7" i="15"/>
  <c r="V42" i="15" s="1"/>
  <c r="W7" i="15"/>
  <c r="W42" i="15" s="1"/>
  <c r="X7" i="15"/>
  <c r="X42" i="15" s="1"/>
  <c r="Y7" i="15"/>
  <c r="Y42" i="15" s="1"/>
  <c r="Z7" i="15"/>
  <c r="Z42" i="15" s="1"/>
  <c r="AA7" i="15"/>
  <c r="AA42" i="15" s="1"/>
  <c r="AB7" i="15"/>
  <c r="AB42" i="15" s="1"/>
  <c r="AC7" i="15"/>
  <c r="AC42" i="15" s="1"/>
  <c r="AD7" i="15"/>
  <c r="AD42" i="15" s="1"/>
  <c r="AE7" i="15"/>
  <c r="AE42" i="15" s="1"/>
  <c r="AF7" i="15"/>
  <c r="AF42" i="15" s="1"/>
  <c r="AG7" i="15"/>
  <c r="AG42" i="15" s="1"/>
  <c r="R8" i="15"/>
  <c r="R43" i="15" s="1"/>
  <c r="S8" i="15"/>
  <c r="S43" i="15" s="1"/>
  <c r="T8" i="15"/>
  <c r="T43" i="15" s="1"/>
  <c r="U8" i="15"/>
  <c r="U43" i="15" s="1"/>
  <c r="V8" i="15"/>
  <c r="V43" i="15" s="1"/>
  <c r="W8" i="15"/>
  <c r="W43" i="15" s="1"/>
  <c r="X8" i="15"/>
  <c r="X43" i="15" s="1"/>
  <c r="Y8" i="15"/>
  <c r="Y43" i="15" s="1"/>
  <c r="Z8" i="15"/>
  <c r="Z43" i="15" s="1"/>
  <c r="AA8" i="15"/>
  <c r="AA43" i="15" s="1"/>
  <c r="AB8" i="15"/>
  <c r="AB43" i="15" s="1"/>
  <c r="AC8" i="15"/>
  <c r="AC43" i="15" s="1"/>
  <c r="AD8" i="15"/>
  <c r="AD43" i="15" s="1"/>
  <c r="AE8" i="15"/>
  <c r="AE43" i="15" s="1"/>
  <c r="AF8" i="15"/>
  <c r="AF43" i="15" s="1"/>
  <c r="AG8" i="15"/>
  <c r="AG43" i="15" s="1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S4" i="15"/>
  <c r="S44" i="15" s="1"/>
  <c r="T4" i="15"/>
  <c r="T44" i="15" s="1"/>
  <c r="U4" i="15"/>
  <c r="U44" i="15" s="1"/>
  <c r="V4" i="15"/>
  <c r="V44" i="15" s="1"/>
  <c r="W4" i="15"/>
  <c r="W44" i="15" s="1"/>
  <c r="X4" i="15"/>
  <c r="X44" i="15" s="1"/>
  <c r="Y4" i="15"/>
  <c r="Y44" i="15" s="1"/>
  <c r="Z4" i="15"/>
  <c r="Z44" i="15" s="1"/>
  <c r="AA4" i="15"/>
  <c r="AA44" i="15" s="1"/>
  <c r="AB4" i="15"/>
  <c r="AB44" i="15" s="1"/>
  <c r="AC4" i="15"/>
  <c r="AC44" i="15" s="1"/>
  <c r="AD4" i="15"/>
  <c r="AD44" i="15" s="1"/>
  <c r="AE4" i="15"/>
  <c r="AE44" i="15" s="1"/>
  <c r="AF4" i="15"/>
  <c r="AF44" i="15" s="1"/>
  <c r="AG4" i="15"/>
  <c r="AG44" i="15" s="1"/>
  <c r="R4" i="15"/>
  <c r="R44" i="15" s="1"/>
  <c r="D4" i="15"/>
  <c r="D44" i="15" s="1"/>
  <c r="E4" i="15"/>
  <c r="E44" i="15" s="1"/>
  <c r="F4" i="15"/>
  <c r="F44" i="15" s="1"/>
  <c r="G4" i="15"/>
  <c r="G44" i="15" s="1"/>
  <c r="H4" i="15"/>
  <c r="H44" i="15" s="1"/>
  <c r="I4" i="15"/>
  <c r="I44" i="15" s="1"/>
  <c r="J4" i="15"/>
  <c r="J44" i="15" s="1"/>
  <c r="K4" i="15"/>
  <c r="K44" i="15" s="1"/>
  <c r="L4" i="15"/>
  <c r="L44" i="15" s="1"/>
  <c r="M4" i="15"/>
  <c r="M44" i="15" s="1"/>
  <c r="N4" i="15"/>
  <c r="N44" i="15" s="1"/>
  <c r="O4" i="15"/>
  <c r="O44" i="15" s="1"/>
  <c r="P4" i="15"/>
  <c r="P44" i="15" s="1"/>
  <c r="Q4" i="15"/>
  <c r="Q44" i="15" s="1"/>
  <c r="C4" i="15"/>
  <c r="C44" i="15" s="1"/>
  <c r="B4" i="15"/>
  <c r="B44" i="15" s="1"/>
  <c r="E3" i="13" l="1"/>
  <c r="F3" i="13" s="1"/>
  <c r="G3" i="13" s="1"/>
  <c r="H3" i="13" s="1"/>
  <c r="CU5" i="8"/>
  <c r="CS5" i="5"/>
  <c r="CG5" i="15"/>
  <c r="CG40" i="15" s="1"/>
  <c r="CG6" i="15"/>
  <c r="CG41" i="15" s="1"/>
  <c r="CG7" i="15"/>
  <c r="CG42" i="15" s="1"/>
  <c r="CG9" i="15"/>
  <c r="CG10" i="15"/>
  <c r="CG11" i="15"/>
  <c r="CG12" i="15"/>
  <c r="CG13" i="15"/>
  <c r="CG14" i="15"/>
  <c r="CG15" i="15"/>
  <c r="CG16" i="15"/>
  <c r="CG17" i="15"/>
  <c r="CG18" i="15"/>
  <c r="CG19" i="15"/>
  <c r="CG20" i="15"/>
  <c r="CG21" i="15"/>
  <c r="CG22" i="15"/>
  <c r="CG23" i="15"/>
  <c r="CG24" i="15"/>
  <c r="CG25" i="15"/>
  <c r="CG26" i="15"/>
  <c r="CG27" i="15"/>
  <c r="CG28" i="15"/>
  <c r="CG29" i="15"/>
  <c r="CG30" i="15"/>
  <c r="CG31" i="15"/>
  <c r="CG32" i="15"/>
  <c r="CG33" i="15"/>
  <c r="CG34" i="15"/>
  <c r="CG35" i="15"/>
  <c r="CG36" i="15"/>
  <c r="CG37" i="15"/>
  <c r="CG38" i="15"/>
  <c r="A5" i="1"/>
  <c r="CS5" i="1" l="1"/>
  <c r="A5" i="8"/>
  <c r="A5" i="24"/>
  <c r="CT5" i="24" s="1"/>
  <c r="E32" i="24"/>
  <c r="BA32" i="24" s="1"/>
  <c r="E23" i="24" l="1"/>
  <c r="BA23" i="24" s="1"/>
  <c r="E40" i="24"/>
  <c r="BA40" i="24" s="1"/>
  <c r="E38" i="24"/>
  <c r="BA38" i="24" s="1"/>
  <c r="E16" i="24"/>
  <c r="BA16" i="24" s="1"/>
  <c r="B38" i="24"/>
  <c r="AX38" i="24" s="1"/>
  <c r="E22" i="24"/>
  <c r="BA22" i="24" s="1"/>
  <c r="E27" i="24"/>
  <c r="BA27" i="24" s="1"/>
  <c r="E39" i="24"/>
  <c r="BA39" i="24" s="1"/>
  <c r="E28" i="24"/>
  <c r="BA28" i="24" s="1"/>
  <c r="E18" i="24"/>
  <c r="BA18" i="24" s="1"/>
  <c r="E15" i="24"/>
  <c r="BA15" i="24" s="1"/>
  <c r="E19" i="24"/>
  <c r="BA19" i="24" s="1"/>
  <c r="E12" i="24"/>
  <c r="BA12" i="24" s="1"/>
  <c r="E6" i="24"/>
  <c r="BA6" i="24" s="1"/>
  <c r="E43" i="24"/>
  <c r="BA43" i="24" s="1"/>
  <c r="E11" i="24"/>
  <c r="BA11" i="24" s="1"/>
  <c r="E29" i="24"/>
  <c r="BA29" i="24" s="1"/>
  <c r="E35" i="24"/>
  <c r="BA35" i="24" s="1"/>
  <c r="E42" i="24"/>
  <c r="BA42" i="24" s="1"/>
  <c r="E24" i="24"/>
  <c r="BA24" i="24" s="1"/>
  <c r="E13" i="24"/>
  <c r="BA13" i="24" s="1"/>
  <c r="E37" i="24"/>
  <c r="BA37" i="24" s="1"/>
  <c r="B16" i="24" l="1"/>
  <c r="AX16" i="24" s="1"/>
  <c r="E44" i="24"/>
  <c r="BA44" i="24" s="1"/>
  <c r="E45" i="24"/>
  <c r="BA45" i="24" s="1"/>
  <c r="D28" i="24"/>
  <c r="AZ28" i="24" s="1"/>
  <c r="C16" i="24"/>
  <c r="AY16" i="24" s="1"/>
  <c r="C28" i="24"/>
  <c r="AY28" i="24" s="1"/>
  <c r="C38" i="24"/>
  <c r="AY38" i="24" s="1"/>
  <c r="D16" i="24"/>
  <c r="AZ16" i="24" s="1"/>
  <c r="D38" i="24"/>
  <c r="AZ38" i="24" s="1"/>
  <c r="F6" i="24" l="1"/>
  <c r="BB6" i="24" s="1"/>
  <c r="G6" i="24"/>
  <c r="BC6" i="24" s="1"/>
  <c r="I6" i="24"/>
  <c r="BE6" i="24" s="1"/>
  <c r="CG4" i="15"/>
  <c r="CG44" i="15" s="1"/>
  <c r="CD5" i="15" l="1"/>
  <c r="CD40" i="15" s="1"/>
  <c r="CE5" i="15"/>
  <c r="CE40" i="15" s="1"/>
  <c r="DB45" i="6"/>
  <c r="CT6" i="5"/>
  <c r="DA6" i="5" s="1"/>
  <c r="CU6" i="5"/>
  <c r="BO6" i="5"/>
  <c r="BP6" i="5"/>
  <c r="BQ6" i="5"/>
  <c r="BT6" i="5"/>
  <c r="BU6" i="5"/>
  <c r="BW6" i="5"/>
  <c r="CH6" i="5" l="1"/>
  <c r="CI6" i="5" s="1"/>
  <c r="DC6" i="5" s="1"/>
  <c r="J5" i="5"/>
  <c r="J45" i="5" s="1"/>
  <c r="F5" i="5"/>
  <c r="F45" i="5" s="1"/>
  <c r="Q5" i="5"/>
  <c r="Q45" i="5" s="1"/>
  <c r="M5" i="5"/>
  <c r="M45" i="5" s="1"/>
  <c r="I5" i="5"/>
  <c r="I45" i="5" s="1"/>
  <c r="E5" i="5"/>
  <c r="E45" i="5" s="1"/>
  <c r="P5" i="5"/>
  <c r="P45" i="5" s="1"/>
  <c r="L5" i="5"/>
  <c r="L45" i="5" s="1"/>
  <c r="H5" i="5"/>
  <c r="H45" i="5" s="1"/>
  <c r="D5" i="5"/>
  <c r="D45" i="5" s="1"/>
  <c r="O5" i="5"/>
  <c r="O45" i="5" s="1"/>
  <c r="K5" i="5"/>
  <c r="K45" i="5" s="1"/>
  <c r="G5" i="5"/>
  <c r="G45" i="5" s="1"/>
  <c r="C5" i="5"/>
  <c r="C45" i="5" s="1"/>
  <c r="B5" i="5"/>
  <c r="B45" i="5" s="1"/>
  <c r="DC7" i="8"/>
  <c r="DD7" i="8" s="1"/>
  <c r="BP5" i="15"/>
  <c r="BP40" i="15" s="1"/>
  <c r="BV5" i="15"/>
  <c r="BV40" i="15" s="1"/>
  <c r="BR5" i="15"/>
  <c r="BR40" i="15" s="1"/>
  <c r="BZ5" i="15"/>
  <c r="BZ40" i="15" s="1"/>
  <c r="BX5" i="15"/>
  <c r="BX40" i="15" s="1"/>
  <c r="BT5" i="15"/>
  <c r="BT40" i="15" s="1"/>
  <c r="BY5" i="15"/>
  <c r="BY40" i="15" s="1"/>
  <c r="BW5" i="15"/>
  <c r="BW40" i="15" s="1"/>
  <c r="BU5" i="15"/>
  <c r="BU40" i="15" s="1"/>
  <c r="BS5" i="15"/>
  <c r="BS40" i="15" s="1"/>
  <c r="BQ5" i="15"/>
  <c r="BQ40" i="15" s="1"/>
  <c r="CC5" i="15"/>
  <c r="CC40" i="15" s="1"/>
  <c r="BO5" i="15"/>
  <c r="BO40" i="15" s="1"/>
  <c r="G46" i="24" l="1"/>
  <c r="BC46" i="24" s="1"/>
  <c r="I46" i="24"/>
  <c r="BE46" i="24" s="1"/>
  <c r="E46" i="24"/>
  <c r="BA46" i="24" s="1"/>
  <c r="F46" i="24"/>
  <c r="BB46" i="24" s="1"/>
  <c r="DB6" i="5"/>
  <c r="CF5" i="15"/>
  <c r="CF40" i="15" s="1"/>
  <c r="CH5" i="15"/>
  <c r="CH40" i="15" s="1"/>
  <c r="N46" i="24" l="1"/>
  <c r="BJ46" i="24" s="1"/>
  <c r="M46" i="24"/>
  <c r="BI46" i="24" s="1"/>
  <c r="L46" i="24"/>
  <c r="BH46" i="24" s="1"/>
  <c r="J46" i="24"/>
  <c r="BF46" i="24" s="1"/>
  <c r="H46" i="24"/>
  <c r="BD46" i="24" s="1"/>
  <c r="K46" i="24"/>
  <c r="BG46" i="24" s="1"/>
  <c r="Q46" i="24"/>
  <c r="BM46" i="24" s="1"/>
  <c r="P46" i="24"/>
  <c r="BL46" i="24" s="1"/>
  <c r="O46" i="24"/>
  <c r="BK46" i="24" s="1"/>
  <c r="CI5" i="15"/>
  <c r="CI40" i="15" s="1"/>
  <c r="C6" i="24" l="1"/>
  <c r="AY6" i="24" s="1"/>
  <c r="B6" i="24"/>
  <c r="AX6" i="24" s="1"/>
  <c r="D6" i="24"/>
  <c r="AZ6" i="24" s="1"/>
  <c r="CU5" i="5"/>
  <c r="CU12" i="5" l="1"/>
  <c r="CU13" i="5"/>
  <c r="CD6" i="15" l="1"/>
  <c r="CD41" i="15" s="1"/>
  <c r="CE6" i="15"/>
  <c r="CE41" i="15" s="1"/>
  <c r="CD7" i="15"/>
  <c r="CD42" i="15" s="1"/>
  <c r="CE7" i="15"/>
  <c r="CE42" i="15" s="1"/>
  <c r="CD8" i="15"/>
  <c r="CD43" i="15" s="1"/>
  <c r="CE8" i="15"/>
  <c r="CE43" i="15" s="1"/>
  <c r="CD9" i="15"/>
  <c r="CE9" i="15"/>
  <c r="CD10" i="15"/>
  <c r="CE10" i="15"/>
  <c r="CD11" i="15"/>
  <c r="CE11" i="15"/>
  <c r="CD12" i="15"/>
  <c r="CE12" i="15"/>
  <c r="CD13" i="15"/>
  <c r="CE13" i="15"/>
  <c r="CD14" i="15"/>
  <c r="CE14" i="15"/>
  <c r="CD15" i="15"/>
  <c r="CE15" i="15"/>
  <c r="CD16" i="15"/>
  <c r="CE16" i="15"/>
  <c r="CD17" i="15"/>
  <c r="CE17" i="15"/>
  <c r="CD18" i="15"/>
  <c r="CE18" i="15"/>
  <c r="CD19" i="15"/>
  <c r="CE19" i="15"/>
  <c r="CD20" i="15"/>
  <c r="CE20" i="15"/>
  <c r="CD21" i="15"/>
  <c r="CE21" i="15"/>
  <c r="CD22" i="15"/>
  <c r="CE22" i="15"/>
  <c r="CD23" i="15"/>
  <c r="CE23" i="15"/>
  <c r="CD24" i="15"/>
  <c r="CE24" i="15"/>
  <c r="CD25" i="15"/>
  <c r="CE25" i="15"/>
  <c r="CD26" i="15"/>
  <c r="CD27" i="15"/>
  <c r="CE27" i="15"/>
  <c r="CD28" i="15"/>
  <c r="CE28" i="15"/>
  <c r="CD29" i="15"/>
  <c r="CE29" i="15"/>
  <c r="CD30" i="15"/>
  <c r="CD31" i="15"/>
  <c r="CE31" i="15"/>
  <c r="CD32" i="15"/>
  <c r="CE32" i="15"/>
  <c r="CD33" i="15"/>
  <c r="CE33" i="15"/>
  <c r="CD34" i="15"/>
  <c r="CE34" i="15"/>
  <c r="CD35" i="15"/>
  <c r="CE35" i="15"/>
  <c r="CD36" i="15"/>
  <c r="CE36" i="15"/>
  <c r="CD37" i="15"/>
  <c r="CE37" i="15"/>
  <c r="CD38" i="15"/>
  <c r="CE38" i="15"/>
  <c r="CF20" i="15" l="1"/>
  <c r="CC37" i="15"/>
  <c r="CC35" i="15"/>
  <c r="CC33" i="15"/>
  <c r="CC31" i="15"/>
  <c r="CC29" i="15"/>
  <c r="CC27" i="15"/>
  <c r="CC25" i="15"/>
  <c r="CC23" i="15"/>
  <c r="CC21" i="15"/>
  <c r="CC20" i="15"/>
  <c r="CC18" i="15"/>
  <c r="CC16" i="15"/>
  <c r="CC14" i="15"/>
  <c r="CC12" i="15"/>
  <c r="CC10" i="15"/>
  <c r="CC8" i="15"/>
  <c r="CC43" i="15" s="1"/>
  <c r="CC6" i="15"/>
  <c r="CC41" i="15" s="1"/>
  <c r="CC38" i="15"/>
  <c r="CC36" i="15"/>
  <c r="CC34" i="15"/>
  <c r="CC32" i="15"/>
  <c r="CC28" i="15"/>
  <c r="CF26" i="15"/>
  <c r="CE26" i="15"/>
  <c r="CC26" i="15"/>
  <c r="CC24" i="15"/>
  <c r="CC22" i="15"/>
  <c r="CC19" i="15"/>
  <c r="CC17" i="15"/>
  <c r="CC15" i="15"/>
  <c r="CC13" i="15"/>
  <c r="CC11" i="15"/>
  <c r="CC9" i="15"/>
  <c r="CC7" i="15"/>
  <c r="CC42" i="15" s="1"/>
  <c r="CF38" i="15"/>
  <c r="CF16" i="15"/>
  <c r="CF14" i="15"/>
  <c r="CF32" i="15"/>
  <c r="CF8" i="15"/>
  <c r="CF43" i="15" s="1"/>
  <c r="CF6" i="15"/>
  <c r="CF41" i="15" s="1"/>
  <c r="CF28" i="15"/>
  <c r="CF36" i="15"/>
  <c r="CF34" i="15"/>
  <c r="CF24" i="15"/>
  <c r="CF22" i="15"/>
  <c r="CF18" i="15"/>
  <c r="CF12" i="15"/>
  <c r="CF10" i="15"/>
  <c r="CF35" i="15"/>
  <c r="CF31" i="15"/>
  <c r="CF27" i="15"/>
  <c r="CF23" i="15"/>
  <c r="CF19" i="15"/>
  <c r="CF15" i="15"/>
  <c r="CF11" i="15"/>
  <c r="CF7" i="15"/>
  <c r="CF42" i="15" s="1"/>
  <c r="CF37" i="15"/>
  <c r="CF33" i="15"/>
  <c r="CF29" i="15"/>
  <c r="CF25" i="15"/>
  <c r="CF21" i="15"/>
  <c r="CF17" i="15"/>
  <c r="CF13" i="15"/>
  <c r="CF9" i="15"/>
  <c r="CT11" i="5" l="1"/>
  <c r="DA11" i="5" s="1"/>
  <c r="AX6" i="15" l="1"/>
  <c r="AX41" i="15" s="1"/>
  <c r="AY6" i="15"/>
  <c r="AY41" i="15" s="1"/>
  <c r="AZ6" i="15"/>
  <c r="AZ41" i="15" s="1"/>
  <c r="BA6" i="15"/>
  <c r="BA41" i="15" s="1"/>
  <c r="BB6" i="15"/>
  <c r="BB41" i="15" s="1"/>
  <c r="BC6" i="15"/>
  <c r="BC41" i="15" s="1"/>
  <c r="BD6" i="15"/>
  <c r="BD41" i="15" s="1"/>
  <c r="BE6" i="15"/>
  <c r="BE41" i="15" s="1"/>
  <c r="BF6" i="15"/>
  <c r="BF41" i="15" s="1"/>
  <c r="BG6" i="15"/>
  <c r="BG41" i="15" s="1"/>
  <c r="BH6" i="15"/>
  <c r="BH41" i="15" s="1"/>
  <c r="BI6" i="15"/>
  <c r="BI41" i="15" s="1"/>
  <c r="BK6" i="15"/>
  <c r="BK41" i="15" s="1"/>
  <c r="BL6" i="15"/>
  <c r="BL41" i="15" s="1"/>
  <c r="BM6" i="15"/>
  <c r="BM41" i="15" s="1"/>
  <c r="BO9" i="5"/>
  <c r="BP9" i="5"/>
  <c r="BQ9" i="5"/>
  <c r="BT9" i="5"/>
  <c r="BU9" i="5"/>
  <c r="BW9" i="5"/>
  <c r="CH9" i="5" l="1"/>
  <c r="CI9" i="5" s="1"/>
  <c r="DC9" i="5" s="1"/>
  <c r="CW45" i="6"/>
  <c r="CU45" i="6"/>
  <c r="CZ45" i="6"/>
  <c r="DB9" i="5" l="1"/>
  <c r="B11" i="24"/>
  <c r="AX11" i="24" s="1"/>
  <c r="D11" i="24"/>
  <c r="AZ11" i="24" s="1"/>
  <c r="C11" i="24"/>
  <c r="AY11" i="24" s="1"/>
  <c r="BF25" i="15" l="1"/>
  <c r="BH35" i="15" l="1"/>
  <c r="BF27" i="15"/>
  <c r="BL31" i="15"/>
  <c r="BH31" i="15"/>
  <c r="BF31" i="15"/>
  <c r="BD31" i="15"/>
  <c r="BB31" i="15"/>
  <c r="AX31" i="15"/>
  <c r="BL36" i="15"/>
  <c r="BF33" i="15"/>
  <c r="BH28" i="15"/>
  <c r="BF26" i="15"/>
  <c r="AX10" i="15"/>
  <c r="BE38" i="15"/>
  <c r="AZ22" i="15"/>
  <c r="AZ18" i="15"/>
  <c r="AZ14" i="15"/>
  <c r="AZ16" i="15"/>
  <c r="AX12" i="15"/>
  <c r="AX5" i="15"/>
  <c r="AX40" i="15" s="1"/>
  <c r="AZ24" i="15"/>
  <c r="AZ20" i="15"/>
  <c r="BK38" i="15"/>
  <c r="BI38" i="15"/>
  <c r="BG38" i="15"/>
  <c r="BC38" i="15"/>
  <c r="BA38" i="15"/>
  <c r="AY38" i="15"/>
  <c r="BM37" i="15"/>
  <c r="BL24" i="15"/>
  <c r="BJ24" i="15"/>
  <c r="BF24" i="15"/>
  <c r="BD24" i="15"/>
  <c r="BB24" i="15"/>
  <c r="BL38" i="15"/>
  <c r="BJ38" i="15"/>
  <c r="BH38" i="15"/>
  <c r="BF38" i="15"/>
  <c r="BD38" i="15"/>
  <c r="BB38" i="15"/>
  <c r="AZ38" i="15"/>
  <c r="AX38" i="15"/>
  <c r="AX37" i="15"/>
  <c r="BH36" i="15"/>
  <c r="BD36" i="15"/>
  <c r="AZ36" i="15"/>
  <c r="AZ35" i="15"/>
  <c r="BH34" i="15"/>
  <c r="AZ34" i="15"/>
  <c r="AX33" i="15"/>
  <c r="BF32" i="15"/>
  <c r="AX32" i="15"/>
  <c r="AX30" i="15"/>
  <c r="AX29" i="15"/>
  <c r="BL28" i="15"/>
  <c r="BD28" i="15"/>
  <c r="AZ28" i="15"/>
  <c r="BB27" i="15"/>
  <c r="AX27" i="15"/>
  <c r="BB26" i="15"/>
  <c r="AX26" i="15"/>
  <c r="BB25" i="15"/>
  <c r="AX25" i="15"/>
  <c r="AX8" i="15"/>
  <c r="AX43" i="15" s="1"/>
  <c r="BH24" i="15"/>
  <c r="BL29" i="15"/>
  <c r="BH29" i="15"/>
  <c r="BF29" i="15"/>
  <c r="BD29" i="15"/>
  <c r="BB29" i="15"/>
  <c r="AZ29" i="15"/>
  <c r="BF28" i="15"/>
  <c r="BB28" i="15"/>
  <c r="BL27" i="15"/>
  <c r="BH27" i="15"/>
  <c r="BD27" i="15"/>
  <c r="AZ27" i="15"/>
  <c r="BL26" i="15"/>
  <c r="BH26" i="15"/>
  <c r="BD26" i="15"/>
  <c r="AZ26" i="15"/>
  <c r="BL25" i="15"/>
  <c r="BH25" i="15"/>
  <c r="BD25" i="15"/>
  <c r="AZ25" i="15"/>
  <c r="BL37" i="15"/>
  <c r="BJ37" i="15"/>
  <c r="BH37" i="15"/>
  <c r="BF37" i="15"/>
  <c r="BD37" i="15"/>
  <c r="BB37" i="15"/>
  <c r="AZ37" i="15"/>
  <c r="BF36" i="15"/>
  <c r="BB36" i="15"/>
  <c r="BL35" i="15"/>
  <c r="BJ35" i="15"/>
  <c r="BF35" i="15"/>
  <c r="BD35" i="15"/>
  <c r="BB35" i="15"/>
  <c r="BL34" i="15"/>
  <c r="BF34" i="15"/>
  <c r="BD34" i="15"/>
  <c r="BB34" i="15"/>
  <c r="BL33" i="15"/>
  <c r="BH33" i="15"/>
  <c r="BD33" i="15"/>
  <c r="BB33" i="15"/>
  <c r="AZ33" i="15"/>
  <c r="BL32" i="15"/>
  <c r="BJ32" i="15"/>
  <c r="BH32" i="15"/>
  <c r="BD32" i="15"/>
  <c r="BB32" i="15"/>
  <c r="AZ32" i="15"/>
  <c r="BL30" i="15"/>
  <c r="BH30" i="15"/>
  <c r="BF30" i="15"/>
  <c r="BD30" i="15"/>
  <c r="BB30" i="15"/>
  <c r="AZ30" i="15"/>
  <c r="AZ23" i="15"/>
  <c r="AZ19" i="15"/>
  <c r="AX13" i="15"/>
  <c r="AX11" i="15"/>
  <c r="AZ17" i="15"/>
  <c r="BM38" i="15"/>
  <c r="AZ21" i="15"/>
  <c r="AZ15" i="15"/>
  <c r="AX9" i="15"/>
  <c r="AX7" i="15"/>
  <c r="AX42" i="15" s="1"/>
  <c r="BL23" i="15"/>
  <c r="BJ23" i="15"/>
  <c r="BH23" i="15"/>
  <c r="BF23" i="15"/>
  <c r="BD23" i="15"/>
  <c r="BB23" i="15"/>
  <c r="AX23" i="15"/>
  <c r="BL22" i="15"/>
  <c r="BH22" i="15"/>
  <c r="BF22" i="15"/>
  <c r="BD22" i="15"/>
  <c r="BB22" i="15"/>
  <c r="AX22" i="15"/>
  <c r="BL21" i="15"/>
  <c r="BH21" i="15"/>
  <c r="BF21" i="15"/>
  <c r="BD21" i="15"/>
  <c r="BB21" i="15"/>
  <c r="AX21" i="15"/>
  <c r="BL20" i="15"/>
  <c r="BH20" i="15"/>
  <c r="BF20" i="15"/>
  <c r="BD20" i="15"/>
  <c r="BB20" i="15"/>
  <c r="AX20" i="15"/>
  <c r="BL19" i="15"/>
  <c r="BH19" i="15"/>
  <c r="BF19" i="15"/>
  <c r="BD19" i="15"/>
  <c r="BB19" i="15"/>
  <c r="AX19" i="15"/>
  <c r="BL18" i="15"/>
  <c r="BH18" i="15"/>
  <c r="BH17" i="15"/>
  <c r="BH16" i="15"/>
  <c r="BH15" i="15"/>
  <c r="BH14" i="15"/>
  <c r="BF13" i="15"/>
  <c r="BF12" i="15"/>
  <c r="BF11" i="15"/>
  <c r="BF10" i="15"/>
  <c r="BF9" i="15"/>
  <c r="BF8" i="15"/>
  <c r="BF43" i="15" s="1"/>
  <c r="BF7" i="15"/>
  <c r="BF42" i="15" s="1"/>
  <c r="BF5" i="15"/>
  <c r="BF40" i="15" s="1"/>
  <c r="BJ18" i="15"/>
  <c r="BF18" i="15"/>
  <c r="BD18" i="15"/>
  <c r="BB18" i="15"/>
  <c r="AX18" i="15"/>
  <c r="BL17" i="15"/>
  <c r="BJ17" i="15"/>
  <c r="BF17" i="15"/>
  <c r="BD17" i="15"/>
  <c r="BB17" i="15"/>
  <c r="AX17" i="15"/>
  <c r="BL16" i="15"/>
  <c r="BF16" i="15"/>
  <c r="BD16" i="15"/>
  <c r="BB16" i="15"/>
  <c r="AX16" i="15"/>
  <c r="BL15" i="15"/>
  <c r="BF15" i="15"/>
  <c r="BD15" i="15"/>
  <c r="BB15" i="15"/>
  <c r="AX15" i="15"/>
  <c r="BL14" i="15"/>
  <c r="BD14" i="15"/>
  <c r="BB13" i="15"/>
  <c r="BB12" i="15"/>
  <c r="BB11" i="15"/>
  <c r="BB10" i="15"/>
  <c r="BJ9" i="15"/>
  <c r="BB9" i="15"/>
  <c r="BJ8" i="15"/>
  <c r="BJ43" i="15" s="1"/>
  <c r="BB8" i="15"/>
  <c r="BB43" i="15" s="1"/>
  <c r="BJ7" i="15"/>
  <c r="BJ42" i="15" s="1"/>
  <c r="BB7" i="15"/>
  <c r="BB42" i="15" s="1"/>
  <c r="BJ5" i="15"/>
  <c r="BJ40" i="15" s="1"/>
  <c r="BB5" i="15"/>
  <c r="BB40" i="15" s="1"/>
  <c r="BF14" i="15"/>
  <c r="BB14" i="15"/>
  <c r="AX14" i="15"/>
  <c r="BL13" i="15"/>
  <c r="BH13" i="15"/>
  <c r="BD13" i="15"/>
  <c r="AZ13" i="15"/>
  <c r="BL12" i="15"/>
  <c r="BH12" i="15"/>
  <c r="BD12" i="15"/>
  <c r="AZ12" i="15"/>
  <c r="BL11" i="15"/>
  <c r="BH11" i="15"/>
  <c r="BD11" i="15"/>
  <c r="AZ11" i="15"/>
  <c r="BL10" i="15"/>
  <c r="BH10" i="15"/>
  <c r="BD10" i="15"/>
  <c r="AZ10" i="15"/>
  <c r="BL9" i="15"/>
  <c r="BH9" i="15"/>
  <c r="BD9" i="15"/>
  <c r="AZ9" i="15"/>
  <c r="BL8" i="15"/>
  <c r="BL43" i="15" s="1"/>
  <c r="BH8" i="15"/>
  <c r="BH43" i="15" s="1"/>
  <c r="BD8" i="15"/>
  <c r="BD43" i="15" s="1"/>
  <c r="AZ8" i="15"/>
  <c r="AZ43" i="15" s="1"/>
  <c r="BL7" i="15"/>
  <c r="BL42" i="15" s="1"/>
  <c r="BH7" i="15"/>
  <c r="BH42" i="15" s="1"/>
  <c r="BD7" i="15"/>
  <c r="BD42" i="15" s="1"/>
  <c r="AZ7" i="15"/>
  <c r="AZ42" i="15" s="1"/>
  <c r="BL5" i="15"/>
  <c r="BL40" i="15" s="1"/>
  <c r="BH5" i="15"/>
  <c r="BH40" i="15" s="1"/>
  <c r="BD5" i="15"/>
  <c r="BD40" i="15" s="1"/>
  <c r="AZ5" i="15"/>
  <c r="AZ40" i="15" s="1"/>
  <c r="BK37" i="15"/>
  <c r="BI37" i="15"/>
  <c r="BG37" i="15"/>
  <c r="BE37" i="15"/>
  <c r="BC37" i="15"/>
  <c r="BA37" i="15"/>
  <c r="AY37" i="15"/>
  <c r="BM36" i="15"/>
  <c r="BK36" i="15"/>
  <c r="BI36" i="15"/>
  <c r="BG36" i="15"/>
  <c r="BE36" i="15"/>
  <c r="BC36" i="15"/>
  <c r="BA36" i="15"/>
  <c r="AY36" i="15"/>
  <c r="BM35" i="15"/>
  <c r="BK35" i="15"/>
  <c r="BI35" i="15"/>
  <c r="BG35" i="15"/>
  <c r="BE35" i="15"/>
  <c r="BC35" i="15"/>
  <c r="BA35" i="15"/>
  <c r="AY35" i="15"/>
  <c r="BM34" i="15"/>
  <c r="BK34" i="15"/>
  <c r="BI34" i="15"/>
  <c r="BG34" i="15"/>
  <c r="BE34" i="15"/>
  <c r="BC34" i="15"/>
  <c r="BA34" i="15"/>
  <c r="AY34" i="15"/>
  <c r="BM33" i="15"/>
  <c r="BK33" i="15"/>
  <c r="BI33" i="15"/>
  <c r="BG33" i="15"/>
  <c r="BE33" i="15"/>
  <c r="BC33" i="15"/>
  <c r="BM32" i="15"/>
  <c r="BK32" i="15"/>
  <c r="BI32" i="15"/>
  <c r="BG32" i="15"/>
  <c r="BE32" i="15"/>
  <c r="BC32" i="15"/>
  <c r="BA32" i="15"/>
  <c r="AY32" i="15"/>
  <c r="BM31" i="15"/>
  <c r="BK31" i="15"/>
  <c r="BI31" i="15"/>
  <c r="BG31" i="15"/>
  <c r="BE31" i="15"/>
  <c r="BC31" i="15"/>
  <c r="BA31" i="15"/>
  <c r="AY31" i="15"/>
  <c r="BM30" i="15"/>
  <c r="BK30" i="15"/>
  <c r="BI30" i="15"/>
  <c r="BG30" i="15"/>
  <c r="BE30" i="15"/>
  <c r="BC30" i="15"/>
  <c r="BA30" i="15"/>
  <c r="AY30" i="15"/>
  <c r="BM29" i="15"/>
  <c r="BK29" i="15"/>
  <c r="BI29" i="15"/>
  <c r="BG29" i="15"/>
  <c r="BE29" i="15"/>
  <c r="BC29" i="15"/>
  <c r="BA29" i="15"/>
  <c r="AY29" i="15"/>
  <c r="BM28" i="15"/>
  <c r="BK28" i="15"/>
  <c r="BI28" i="15"/>
  <c r="BG28" i="15"/>
  <c r="BE28" i="15"/>
  <c r="BC28" i="15"/>
  <c r="BA28" i="15"/>
  <c r="AY28" i="15"/>
  <c r="BM27" i="15"/>
  <c r="BK27" i="15"/>
  <c r="BI27" i="15"/>
  <c r="BG27" i="15"/>
  <c r="BE27" i="15"/>
  <c r="BC27" i="15"/>
  <c r="BA27" i="15"/>
  <c r="AY27" i="15"/>
  <c r="BM26" i="15"/>
  <c r="BK26" i="15"/>
  <c r="BI26" i="15"/>
  <c r="BG26" i="15"/>
  <c r="BE26" i="15"/>
  <c r="BC26" i="15"/>
  <c r="BA26" i="15"/>
  <c r="AY26" i="15"/>
  <c r="BM25" i="15"/>
  <c r="BK25" i="15"/>
  <c r="BI25" i="15"/>
  <c r="BG25" i="15"/>
  <c r="BE25" i="15"/>
  <c r="BC25" i="15"/>
  <c r="BA25" i="15"/>
  <c r="BM24" i="15"/>
  <c r="BK24" i="15"/>
  <c r="BI24" i="15"/>
  <c r="BG24" i="15"/>
  <c r="BE24" i="15"/>
  <c r="BC24" i="15"/>
  <c r="BA24" i="15"/>
  <c r="BM23" i="15"/>
  <c r="BK23" i="15"/>
  <c r="BI23" i="15"/>
  <c r="BG23" i="15"/>
  <c r="BE23" i="15"/>
  <c r="BC23" i="15"/>
  <c r="BA23" i="15"/>
  <c r="AY23" i="15"/>
  <c r="BM22" i="15"/>
  <c r="BK22" i="15"/>
  <c r="BI22" i="15"/>
  <c r="BG22" i="15"/>
  <c r="BE22" i="15"/>
  <c r="BC22" i="15"/>
  <c r="BA22" i="15"/>
  <c r="AY22" i="15"/>
  <c r="BM21" i="15"/>
  <c r="BK21" i="15"/>
  <c r="BI21" i="15"/>
  <c r="BG21" i="15"/>
  <c r="BE21" i="15"/>
  <c r="BC21" i="15"/>
  <c r="BA21" i="15"/>
  <c r="AY21" i="15"/>
  <c r="BM20" i="15"/>
  <c r="BK20" i="15"/>
  <c r="BI20" i="15"/>
  <c r="BG20" i="15"/>
  <c r="BE20" i="15"/>
  <c r="BC20" i="15"/>
  <c r="BA20" i="15"/>
  <c r="BM19" i="15"/>
  <c r="BK19" i="15"/>
  <c r="BI19" i="15"/>
  <c r="BG19" i="15"/>
  <c r="BE19" i="15"/>
  <c r="BC19" i="15"/>
  <c r="BA19" i="15"/>
  <c r="AY19" i="15"/>
  <c r="BM18" i="15"/>
  <c r="BK18" i="15"/>
  <c r="BI18" i="15"/>
  <c r="BG18" i="15"/>
  <c r="BE18" i="15"/>
  <c r="BC18" i="15"/>
  <c r="BA18" i="15"/>
  <c r="AY18" i="15"/>
  <c r="BM17" i="15"/>
  <c r="BK17" i="15"/>
  <c r="BI17" i="15"/>
  <c r="BG17" i="15"/>
  <c r="BE17" i="15"/>
  <c r="BC17" i="15"/>
  <c r="BA17" i="15"/>
  <c r="AY17" i="15"/>
  <c r="BM16" i="15"/>
  <c r="BK16" i="15"/>
  <c r="BI16" i="15"/>
  <c r="BG16" i="15"/>
  <c r="BE16" i="15"/>
  <c r="BC16" i="15"/>
  <c r="BA16" i="15"/>
  <c r="AY16" i="15"/>
  <c r="BM15" i="15"/>
  <c r="BK15" i="15"/>
  <c r="BI15" i="15"/>
  <c r="BG15" i="15"/>
  <c r="BE15" i="15"/>
  <c r="BC15" i="15"/>
  <c r="BA15" i="15"/>
  <c r="AY15" i="15"/>
  <c r="BM14" i="15"/>
  <c r="BK14" i="15"/>
  <c r="BI14" i="15"/>
  <c r="BG14" i="15"/>
  <c r="BE14" i="15"/>
  <c r="BC14" i="15"/>
  <c r="BA14" i="15"/>
  <c r="AY14" i="15"/>
  <c r="BM13" i="15"/>
  <c r="BK13" i="15"/>
  <c r="BI13" i="15"/>
  <c r="BG13" i="15"/>
  <c r="BE13" i="15"/>
  <c r="BC13" i="15"/>
  <c r="BA13" i="15"/>
  <c r="AY13" i="15"/>
  <c r="BM12" i="15"/>
  <c r="BK12" i="15"/>
  <c r="BI12" i="15"/>
  <c r="BG12" i="15"/>
  <c r="BE12" i="15"/>
  <c r="BC12" i="15"/>
  <c r="BA12" i="15"/>
  <c r="AY12" i="15"/>
  <c r="BM11" i="15"/>
  <c r="BK11" i="15"/>
  <c r="BI11" i="15"/>
  <c r="BG11" i="15"/>
  <c r="BE11" i="15"/>
  <c r="BC11" i="15"/>
  <c r="BA11" i="15"/>
  <c r="AY11" i="15"/>
  <c r="BM10" i="15"/>
  <c r="BK10" i="15"/>
  <c r="BI10" i="15"/>
  <c r="BG10" i="15"/>
  <c r="BE10" i="15"/>
  <c r="BC10" i="15"/>
  <c r="BA10" i="15"/>
  <c r="AY10" i="15"/>
  <c r="BM9" i="15"/>
  <c r="BK9" i="15"/>
  <c r="BI9" i="15"/>
  <c r="BG9" i="15"/>
  <c r="BE9" i="15"/>
  <c r="BC9" i="15"/>
  <c r="BA9" i="15"/>
  <c r="AY9" i="15"/>
  <c r="BM8" i="15"/>
  <c r="BM43" i="15" s="1"/>
  <c r="BK8" i="15"/>
  <c r="BK43" i="15" s="1"/>
  <c r="BI8" i="15"/>
  <c r="BI43" i="15" s="1"/>
  <c r="BG8" i="15"/>
  <c r="BG43" i="15" s="1"/>
  <c r="BE8" i="15"/>
  <c r="BE43" i="15" s="1"/>
  <c r="BC8" i="15"/>
  <c r="BC43" i="15" s="1"/>
  <c r="BA8" i="15"/>
  <c r="BA43" i="15" s="1"/>
  <c r="AY8" i="15"/>
  <c r="AY43" i="15" s="1"/>
  <c r="BM7" i="15"/>
  <c r="BM42" i="15" s="1"/>
  <c r="BK7" i="15"/>
  <c r="BK42" i="15" s="1"/>
  <c r="BI7" i="15"/>
  <c r="BI42" i="15" s="1"/>
  <c r="BG7" i="15"/>
  <c r="BG42" i="15" s="1"/>
  <c r="BE7" i="15"/>
  <c r="BE42" i="15" s="1"/>
  <c r="BC7" i="15"/>
  <c r="BC42" i="15" s="1"/>
  <c r="BA7" i="15"/>
  <c r="BA42" i="15" s="1"/>
  <c r="AY7" i="15"/>
  <c r="AY42" i="15" s="1"/>
  <c r="BM5" i="15"/>
  <c r="BM40" i="15" s="1"/>
  <c r="BK5" i="15"/>
  <c r="BK40" i="15" s="1"/>
  <c r="BI5" i="15"/>
  <c r="BI40" i="15" s="1"/>
  <c r="BG5" i="15"/>
  <c r="BG40" i="15" s="1"/>
  <c r="BE5" i="15"/>
  <c r="BE40" i="15" s="1"/>
  <c r="BC5" i="15"/>
  <c r="BC40" i="15" s="1"/>
  <c r="AX36" i="15"/>
  <c r="AX35" i="15"/>
  <c r="AX34" i="15"/>
  <c r="AZ31" i="15"/>
  <c r="AX28" i="15"/>
  <c r="BA33" i="15"/>
  <c r="AY33" i="15"/>
  <c r="AY24" i="15"/>
  <c r="AY5" i="15"/>
  <c r="AY40" i="15" s="1"/>
  <c r="AY20" i="15"/>
  <c r="BA5" i="15"/>
  <c r="BA40" i="15" s="1"/>
  <c r="BO17" i="5" l="1"/>
  <c r="BP17" i="5"/>
  <c r="BQ17" i="5"/>
  <c r="BO20" i="5"/>
  <c r="BP20" i="5"/>
  <c r="BQ20" i="5"/>
  <c r="AY25" i="15" l="1"/>
  <c r="AX24" i="15" l="1"/>
  <c r="E3" i="14" l="1"/>
  <c r="F3" i="14" s="1"/>
  <c r="G3" i="14" s="1"/>
  <c r="BP10" i="5" l="1"/>
  <c r="BP11" i="5"/>
  <c r="BP12" i="5"/>
  <c r="BP13" i="5"/>
  <c r="BP5" i="5"/>
  <c r="BP45" i="5" l="1"/>
  <c r="CS3" i="6"/>
  <c r="CS2" i="6"/>
  <c r="CS1" i="6"/>
  <c r="BP7" i="15" l="1"/>
  <c r="BP42" i="15" s="1"/>
  <c r="CL3" i="8" l="1"/>
  <c r="CU3" i="8" s="1"/>
  <c r="CL2" i="8"/>
  <c r="CU2" i="8" s="1"/>
  <c r="CL1" i="8"/>
  <c r="CU1" i="8" s="1"/>
  <c r="CK3" i="1"/>
  <c r="CU3" i="1" s="1"/>
  <c r="CK2" i="1"/>
  <c r="CK1" i="1"/>
  <c r="CL3" i="5"/>
  <c r="CL2" i="5"/>
  <c r="CL1" i="5"/>
  <c r="CK3" i="6"/>
  <c r="CK2" i="6"/>
  <c r="CK1" i="6"/>
  <c r="CT2" i="1" l="1"/>
  <c r="CS2" i="5"/>
  <c r="BP5" i="8" l="1"/>
  <c r="BP6" i="15" l="1"/>
  <c r="BP41" i="15" s="1"/>
  <c r="BP8" i="15"/>
  <c r="BP43" i="15" s="1"/>
  <c r="BP9" i="15"/>
  <c r="BP10" i="15"/>
  <c r="BP11" i="15"/>
  <c r="BP12" i="15"/>
  <c r="BP13" i="15"/>
  <c r="BP14" i="15"/>
  <c r="BP15" i="15"/>
  <c r="BP16" i="15"/>
  <c r="BP17" i="15"/>
  <c r="BP18" i="15"/>
  <c r="BP22" i="15"/>
  <c r="BP35" i="15"/>
  <c r="BP36" i="15"/>
  <c r="BP37" i="15"/>
  <c r="BP38" i="15"/>
  <c r="BP4" i="15" l="1"/>
  <c r="BP44" i="15" s="1"/>
  <c r="BP29" i="15"/>
  <c r="BP25" i="15"/>
  <c r="BP21" i="15"/>
  <c r="BP28" i="15"/>
  <c r="BP20" i="15"/>
  <c r="BP31" i="15"/>
  <c r="BP27" i="15"/>
  <c r="BP23" i="15"/>
  <c r="BP19" i="15"/>
  <c r="BP33" i="15"/>
  <c r="BP32" i="15"/>
  <c r="BP24" i="15"/>
  <c r="BP34" i="15"/>
  <c r="BP30" i="15"/>
  <c r="BP26" i="15"/>
  <c r="AI39" i="15"/>
  <c r="AJ39" i="15"/>
  <c r="AK39" i="15"/>
  <c r="AL39" i="15"/>
  <c r="AM39" i="15"/>
  <c r="AN39" i="15"/>
  <c r="AO39" i="15"/>
  <c r="AP39" i="15"/>
  <c r="AQ39" i="15"/>
  <c r="AR39" i="15"/>
  <c r="AS39" i="15"/>
  <c r="AU39" i="15"/>
  <c r="AV39" i="15"/>
  <c r="AW39" i="15"/>
  <c r="AH39" i="15"/>
  <c r="D28" i="3"/>
  <c r="S39" i="15"/>
  <c r="D6" i="3" s="1"/>
  <c r="T39" i="15"/>
  <c r="D8" i="3" s="1"/>
  <c r="U39" i="15"/>
  <c r="D11" i="3" s="1"/>
  <c r="V39" i="15"/>
  <c r="D13" i="3" s="1"/>
  <c r="W39" i="15"/>
  <c r="D14" i="3" s="1"/>
  <c r="X39" i="15"/>
  <c r="Y39" i="15"/>
  <c r="Z39" i="15"/>
  <c r="AA39" i="15"/>
  <c r="AB39" i="15"/>
  <c r="AC39" i="15"/>
  <c r="AD39" i="15"/>
  <c r="AE39" i="15"/>
  <c r="AF39" i="15"/>
  <c r="AG39" i="15"/>
  <c r="R39" i="15"/>
  <c r="D5" i="3" s="1"/>
  <c r="C5" i="3"/>
  <c r="C6" i="3"/>
  <c r="C8" i="3"/>
  <c r="C11" i="3"/>
  <c r="C13" i="3"/>
  <c r="C14" i="3"/>
  <c r="C15" i="3"/>
  <c r="C16" i="3"/>
  <c r="C17" i="3"/>
  <c r="C18" i="3"/>
  <c r="C19" i="3"/>
  <c r="C20" i="3"/>
  <c r="C21" i="3"/>
  <c r="C22" i="3"/>
  <c r="C23" i="3"/>
  <c r="F28" i="3" l="1"/>
  <c r="A5" i="18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Z4" i="15"/>
  <c r="AZ44" i="15" s="1"/>
  <c r="AX4" i="15"/>
  <c r="AX44" i="15" s="1"/>
  <c r="BB4" i="15"/>
  <c r="BB44" i="15" s="1"/>
  <c r="BF4" i="15"/>
  <c r="BF44" i="15" s="1"/>
  <c r="BH4" i="15"/>
  <c r="BH44" i="15" s="1"/>
  <c r="BD4" i="15"/>
  <c r="BD44" i="15" s="1"/>
  <c r="C28" i="3" l="1"/>
  <c r="E28" i="3" s="1"/>
  <c r="G28" i="3" s="1"/>
  <c r="AY4" i="15"/>
  <c r="AY44" i="15" s="1"/>
  <c r="BA4" i="15"/>
  <c r="BA44" i="15" s="1"/>
  <c r="BK4" i="15"/>
  <c r="BK44" i="15" s="1"/>
  <c r="BI4" i="15"/>
  <c r="BI44" i="15" s="1"/>
  <c r="BG4" i="15"/>
  <c r="BG44" i="15" s="1"/>
  <c r="BE4" i="15"/>
  <c r="BE44" i="15" s="1"/>
  <c r="BC4" i="15"/>
  <c r="BC44" i="15" s="1"/>
  <c r="BS5" i="8" l="1"/>
  <c r="BO5" i="8"/>
  <c r="BQ5" i="8"/>
  <c r="BT5" i="8"/>
  <c r="BW5" i="8"/>
  <c r="BX5" i="8"/>
  <c r="BZ5" i="8"/>
  <c r="CE5" i="8"/>
  <c r="CH5" i="8" l="1"/>
  <c r="CF5" i="8"/>
  <c r="CI5" i="8" l="1"/>
  <c r="BS7" i="15" l="1"/>
  <c r="BS42" i="15" s="1"/>
  <c r="BS6" i="15" l="1"/>
  <c r="BS41" i="15" s="1"/>
  <c r="BV7" i="15"/>
  <c r="BV42" i="15" s="1"/>
  <c r="BV6" i="15" l="1"/>
  <c r="BV41" i="15" s="1"/>
  <c r="BR38" i="15"/>
  <c r="CT10" i="5"/>
  <c r="DA10" i="5" s="1"/>
  <c r="CU10" i="5"/>
  <c r="CT12" i="5"/>
  <c r="DA12" i="5" s="1"/>
  <c r="CT13" i="5"/>
  <c r="DA13" i="5" s="1"/>
  <c r="BS12" i="15" l="1"/>
  <c r="BV12" i="15"/>
  <c r="BO13" i="5"/>
  <c r="BQ13" i="5"/>
  <c r="BS11" i="15"/>
  <c r="BT13" i="5"/>
  <c r="BU13" i="5"/>
  <c r="BV11" i="15"/>
  <c r="BW13" i="5"/>
  <c r="CH13" i="5" l="1"/>
  <c r="CI13" i="5" s="1"/>
  <c r="DC13" i="5" s="1"/>
  <c r="DB13" i="5" l="1"/>
  <c r="CS1" i="5" l="1"/>
  <c r="B15" i="24" l="1"/>
  <c r="AX15" i="24" s="1"/>
  <c r="B18" i="24"/>
  <c r="AX18" i="24" s="1"/>
  <c r="D18" i="24"/>
  <c r="AZ18" i="24" s="1"/>
  <c r="D15" i="24"/>
  <c r="AZ15" i="24" s="1"/>
  <c r="C15" i="24"/>
  <c r="AY15" i="24" s="1"/>
  <c r="C18" i="24"/>
  <c r="AY18" i="24" s="1"/>
  <c r="BS22" i="15"/>
  <c r="BV22" i="15"/>
  <c r="DC30" i="5" l="1"/>
  <c r="BW10" i="5"/>
  <c r="BW11" i="5"/>
  <c r="BW12" i="5"/>
  <c r="BW17" i="5"/>
  <c r="BW20" i="5"/>
  <c r="BW38" i="15"/>
  <c r="BW5" i="5"/>
  <c r="BT17" i="5"/>
  <c r="BU17" i="5"/>
  <c r="BV13" i="15"/>
  <c r="BV14" i="15"/>
  <c r="BT20" i="5"/>
  <c r="BU20" i="5"/>
  <c r="BV15" i="15"/>
  <c r="BV16" i="15"/>
  <c r="BX16" i="15"/>
  <c r="BY16" i="15"/>
  <c r="BZ16" i="15"/>
  <c r="BV17" i="15"/>
  <c r="BV18" i="15"/>
  <c r="BV19" i="15"/>
  <c r="BV20" i="15"/>
  <c r="BV21" i="15"/>
  <c r="BV23" i="15"/>
  <c r="BV24" i="15"/>
  <c r="BV25" i="15"/>
  <c r="BV26" i="15"/>
  <c r="BV27" i="15"/>
  <c r="BV28" i="15"/>
  <c r="BV29" i="15"/>
  <c r="BV30" i="15"/>
  <c r="BV31" i="15"/>
  <c r="BV32" i="15"/>
  <c r="BV33" i="15"/>
  <c r="BV34" i="15"/>
  <c r="BS35" i="15"/>
  <c r="BV35" i="15"/>
  <c r="BS36" i="15"/>
  <c r="BV36" i="15"/>
  <c r="BS37" i="15"/>
  <c r="BV37" i="15"/>
  <c r="BQ38" i="15"/>
  <c r="BS38" i="15"/>
  <c r="BT38" i="15"/>
  <c r="BU38" i="15"/>
  <c r="BV38" i="15"/>
  <c r="BX38" i="15"/>
  <c r="BY38" i="15"/>
  <c r="BZ38" i="15"/>
  <c r="BW45" i="5" l="1"/>
  <c r="CH20" i="5"/>
  <c r="CI20" i="5" s="1"/>
  <c r="CH17" i="5"/>
  <c r="CI17" i="5" s="1"/>
  <c r="DC17" i="5" s="1"/>
  <c r="DC20" i="5"/>
  <c r="DC35" i="5"/>
  <c r="DC26" i="5"/>
  <c r="DC25" i="5"/>
  <c r="DC39" i="5"/>
  <c r="DC33" i="5"/>
  <c r="DC24" i="5"/>
  <c r="DC38" i="5"/>
  <c r="DC27" i="5"/>
  <c r="DC41" i="5"/>
  <c r="DC36" i="5"/>
  <c r="DC23" i="5"/>
  <c r="DC40" i="5"/>
  <c r="C29" i="24"/>
  <c r="AY29" i="24" s="1"/>
  <c r="DB30" i="5"/>
  <c r="BS33" i="15"/>
  <c r="BS20" i="15"/>
  <c r="BS34" i="15"/>
  <c r="BS26" i="15"/>
  <c r="BS31" i="15"/>
  <c r="BS27" i="15"/>
  <c r="BS23" i="15"/>
  <c r="BS18" i="15"/>
  <c r="BS29" i="15"/>
  <c r="BS25" i="15"/>
  <c r="BS17" i="15"/>
  <c r="BS30" i="15"/>
  <c r="BS21" i="15"/>
  <c r="BS32" i="15"/>
  <c r="BS28" i="15"/>
  <c r="BS24" i="15"/>
  <c r="BS19" i="15"/>
  <c r="BO38" i="15"/>
  <c r="BS15" i="15"/>
  <c r="BS13" i="15"/>
  <c r="BS16" i="15"/>
  <c r="BS14" i="15"/>
  <c r="DB38" i="5" l="1"/>
  <c r="DB26" i="5"/>
  <c r="DB17" i="5"/>
  <c r="DB39" i="5"/>
  <c r="DB35" i="5"/>
  <c r="DB33" i="5"/>
  <c r="DB41" i="5"/>
  <c r="DB23" i="5"/>
  <c r="DB24" i="5"/>
  <c r="DB40" i="5"/>
  <c r="DB27" i="5"/>
  <c r="DB25" i="5"/>
  <c r="DB20" i="5"/>
  <c r="DB36" i="5"/>
  <c r="CI38" i="15"/>
  <c r="CH38" i="15"/>
  <c r="C35" i="24" l="1"/>
  <c r="AY35" i="24" s="1"/>
  <c r="C36" i="24"/>
  <c r="AY36" i="24" s="1"/>
  <c r="C32" i="24"/>
  <c r="AY32" i="24" s="1"/>
  <c r="B44" i="24" l="1"/>
  <c r="AX44" i="24" s="1"/>
  <c r="B45" i="24"/>
  <c r="AX45" i="24" s="1"/>
  <c r="C19" i="24"/>
  <c r="AY19" i="24" s="1"/>
  <c r="C37" i="24"/>
  <c r="AY37" i="24" s="1"/>
  <c r="D32" i="24"/>
  <c r="AZ32" i="24" s="1"/>
  <c r="C12" i="24"/>
  <c r="AY12" i="24" s="1"/>
  <c r="B24" i="24"/>
  <c r="AX24" i="24" s="1"/>
  <c r="D42" i="24"/>
  <c r="AZ42" i="24" s="1"/>
  <c r="C24" i="24"/>
  <c r="AY24" i="24" s="1"/>
  <c r="B42" i="24"/>
  <c r="AX42" i="24" s="1"/>
  <c r="B29" i="24"/>
  <c r="AX29" i="24" s="1"/>
  <c r="B13" i="24"/>
  <c r="AX13" i="24" s="1"/>
  <c r="B12" i="24"/>
  <c r="AX12" i="24" s="1"/>
  <c r="D44" i="24"/>
  <c r="AZ44" i="24" s="1"/>
  <c r="D25" i="24"/>
  <c r="AZ25" i="24" s="1"/>
  <c r="C26" i="24"/>
  <c r="AY26" i="24" s="1"/>
  <c r="C23" i="24"/>
  <c r="AY23" i="24" s="1"/>
  <c r="D27" i="24"/>
  <c r="AZ27" i="24" s="1"/>
  <c r="D12" i="24"/>
  <c r="AZ12" i="24" s="1"/>
  <c r="B43" i="24"/>
  <c r="AX43" i="24" s="1"/>
  <c r="B14" i="24"/>
  <c r="AX14" i="24" s="1"/>
  <c r="D40" i="24"/>
  <c r="AZ40" i="24" s="1"/>
  <c r="B19" i="24"/>
  <c r="AX19" i="24" s="1"/>
  <c r="D13" i="24"/>
  <c r="AZ13" i="24" s="1"/>
  <c r="C14" i="24"/>
  <c r="AY14" i="24" s="1"/>
  <c r="C45" i="24"/>
  <c r="AY45" i="24" s="1"/>
  <c r="D37" i="24"/>
  <c r="AZ37" i="24" s="1"/>
  <c r="D23" i="24"/>
  <c r="AZ23" i="24" s="1"/>
  <c r="C46" i="24"/>
  <c r="AY46" i="24" s="1"/>
  <c r="C13" i="24"/>
  <c r="AY13" i="24" s="1"/>
  <c r="D39" i="24"/>
  <c r="AZ39" i="24" s="1"/>
  <c r="D24" i="24"/>
  <c r="AZ24" i="24" s="1"/>
  <c r="B39" i="24"/>
  <c r="AX39" i="24" s="1"/>
  <c r="C40" i="24"/>
  <c r="AY40" i="24" s="1"/>
  <c r="C39" i="24"/>
  <c r="AY39" i="24" s="1"/>
  <c r="B35" i="24"/>
  <c r="AX35" i="24" s="1"/>
  <c r="B22" i="24"/>
  <c r="AX22" i="24" s="1"/>
  <c r="D29" i="24"/>
  <c r="AZ29" i="24" s="1"/>
  <c r="D43" i="24"/>
  <c r="AZ43" i="24" s="1"/>
  <c r="D14" i="24"/>
  <c r="AZ14" i="24" s="1"/>
  <c r="B40" i="24"/>
  <c r="AX40" i="24" s="1"/>
  <c r="B25" i="24"/>
  <c r="AX25" i="24" s="1"/>
  <c r="B36" i="24"/>
  <c r="AX36" i="24" s="1"/>
  <c r="C44" i="24"/>
  <c r="AY44" i="24" s="1"/>
  <c r="C43" i="24"/>
  <c r="AY43" i="24" s="1"/>
  <c r="B37" i="24"/>
  <c r="AX37" i="24" s="1"/>
  <c r="B23" i="24"/>
  <c r="AX23" i="24" s="1"/>
  <c r="C22" i="24"/>
  <c r="AY22" i="24" s="1"/>
  <c r="B27" i="24"/>
  <c r="AX27" i="24" s="1"/>
  <c r="C25" i="24"/>
  <c r="AY25" i="24" s="1"/>
  <c r="D35" i="24"/>
  <c r="AZ35" i="24" s="1"/>
  <c r="D19" i="24"/>
  <c r="AZ19" i="24" s="1"/>
  <c r="C42" i="24"/>
  <c r="AY42" i="24" s="1"/>
  <c r="D45" i="24"/>
  <c r="AZ45" i="24" s="1"/>
  <c r="D36" i="24"/>
  <c r="AZ36" i="24" s="1"/>
  <c r="D22" i="24"/>
  <c r="AZ22" i="24" s="1"/>
  <c r="C27" i="24"/>
  <c r="AY27" i="24" s="1"/>
  <c r="B32" i="24"/>
  <c r="AX32" i="24" s="1"/>
  <c r="D46" i="24"/>
  <c r="AZ46" i="24" s="1"/>
  <c r="BU10" i="5"/>
  <c r="BU11" i="5"/>
  <c r="BU12" i="5"/>
  <c r="BO10" i="5"/>
  <c r="BQ10" i="5"/>
  <c r="BS8" i="15"/>
  <c r="BS43" i="15" s="1"/>
  <c r="BT10" i="5"/>
  <c r="BV8" i="15"/>
  <c r="BV43" i="15" s="1"/>
  <c r="BO11" i="5"/>
  <c r="BQ11" i="5"/>
  <c r="BS9" i="15"/>
  <c r="BT11" i="5"/>
  <c r="BV9" i="15"/>
  <c r="BO12" i="5"/>
  <c r="BQ12" i="5"/>
  <c r="BS10" i="15"/>
  <c r="BT12" i="5"/>
  <c r="BV10" i="15"/>
  <c r="CH10" i="5" l="1"/>
  <c r="CI10" i="5" s="1"/>
  <c r="DC10" i="5" s="1"/>
  <c r="CH12" i="5"/>
  <c r="CI12" i="5" s="1"/>
  <c r="DC12" i="5" s="1"/>
  <c r="CH11" i="5"/>
  <c r="CI11" i="5" s="1"/>
  <c r="B26" i="24"/>
  <c r="AX26" i="24" s="1"/>
  <c r="D26" i="24"/>
  <c r="AZ26" i="24" s="1"/>
  <c r="DB11" i="5" l="1"/>
  <c r="DC11" i="5"/>
  <c r="DB12" i="5"/>
  <c r="DB10" i="5"/>
  <c r="BV4" i="15"/>
  <c r="BV44" i="15" s="1"/>
  <c r="BZ4" i="15" l="1"/>
  <c r="BZ44" i="15" s="1"/>
  <c r="BY4" i="15"/>
  <c r="BY44" i="15" s="1"/>
  <c r="BU5" i="5"/>
  <c r="BU45" i="5" s="1"/>
  <c r="BT5" i="5"/>
  <c r="BT45" i="5" s="1"/>
  <c r="BQ5" i="5"/>
  <c r="BQ45" i="5" s="1"/>
  <c r="BO5" i="5"/>
  <c r="BO45" i="5" s="1"/>
  <c r="CZ5" i="5"/>
  <c r="CW5" i="5"/>
  <c r="CE5" i="5"/>
  <c r="CE45" i="5" s="1"/>
  <c r="CE30" i="15" s="1"/>
  <c r="CD4" i="15"/>
  <c r="CD44" i="15" s="1"/>
  <c r="CC5" i="5"/>
  <c r="CC45" i="5" s="1"/>
  <c r="CC30" i="15" s="1"/>
  <c r="CC4" i="15" l="1"/>
  <c r="CC44" i="15" s="1"/>
  <c r="CE4" i="15"/>
  <c r="CE44" i="15" s="1"/>
  <c r="BQ4" i="15"/>
  <c r="BQ44" i="15" s="1"/>
  <c r="BS4" i="15"/>
  <c r="BS44" i="15" s="1"/>
  <c r="BU4" i="15"/>
  <c r="BU44" i="15" s="1"/>
  <c r="BR4" i="15"/>
  <c r="BR44" i="15" s="1"/>
  <c r="BT4" i="15"/>
  <c r="BT44" i="15" s="1"/>
  <c r="BX4" i="15"/>
  <c r="BX44" i="15" s="1"/>
  <c r="BO4" i="15"/>
  <c r="BO44" i="15" s="1"/>
  <c r="CF5" i="5"/>
  <c r="CF45" i="5" s="1"/>
  <c r="CF30" i="15" s="1"/>
  <c r="CH5" i="5"/>
  <c r="CH45" i="5" s="1"/>
  <c r="CL10" i="5"/>
  <c r="CM10" i="5"/>
  <c r="CO10" i="5"/>
  <c r="CL12" i="5"/>
  <c r="CM12" i="5"/>
  <c r="CO12" i="5"/>
  <c r="CL23" i="5"/>
  <c r="CM23" i="5"/>
  <c r="CO23" i="5"/>
  <c r="CL24" i="5"/>
  <c r="CM24" i="5"/>
  <c r="CO24" i="5"/>
  <c r="CM33" i="5"/>
  <c r="CO33" i="5"/>
  <c r="CM35" i="5"/>
  <c r="CO35" i="5"/>
  <c r="CM36" i="5"/>
  <c r="CM35" i="1" s="1"/>
  <c r="CO36" i="5"/>
  <c r="CO35" i="1" s="1"/>
  <c r="CL40" i="5"/>
  <c r="CL41" i="5"/>
  <c r="CP41" i="5"/>
  <c r="CL40" i="1" s="1"/>
  <c r="CN40" i="1" s="1"/>
  <c r="CP40" i="1" s="1"/>
  <c r="CM45" i="5"/>
  <c r="CO45" i="5"/>
  <c r="BQ21" i="15"/>
  <c r="BR21" i="15"/>
  <c r="BT21" i="15"/>
  <c r="BU21" i="15"/>
  <c r="BX21" i="15"/>
  <c r="BY21" i="15"/>
  <c r="BZ21" i="15"/>
  <c r="BQ37" i="15"/>
  <c r="BR37" i="15"/>
  <c r="BT37" i="15"/>
  <c r="BU37" i="15"/>
  <c r="BW37" i="15"/>
  <c r="BX37" i="15"/>
  <c r="BY37" i="15"/>
  <c r="BZ37" i="15"/>
  <c r="CF4" i="15" l="1"/>
  <c r="CF44" i="15" s="1"/>
  <c r="CT45" i="6"/>
  <c r="CU47" i="6" s="1"/>
  <c r="BO37" i="15"/>
  <c r="BO21" i="15"/>
  <c r="AX39" i="15"/>
  <c r="BH39" i="15"/>
  <c r="BF39" i="15"/>
  <c r="BD39" i="15"/>
  <c r="BB39" i="15"/>
  <c r="BK39" i="15"/>
  <c r="BI39" i="15"/>
  <c r="BG39" i="15"/>
  <c r="BE39" i="15"/>
  <c r="BC39" i="15"/>
  <c r="BA39" i="15"/>
  <c r="AZ39" i="15"/>
  <c r="AY39" i="15"/>
  <c r="CN23" i="5"/>
  <c r="CP23" i="5" s="1"/>
  <c r="CL12" i="1" s="1"/>
  <c r="CN12" i="1" s="1"/>
  <c r="CP12" i="1" s="1"/>
  <c r="CT5" i="5"/>
  <c r="CN24" i="5"/>
  <c r="CP24" i="5" s="1"/>
  <c r="CL21" i="1" s="1"/>
  <c r="CN21" i="1" s="1"/>
  <c r="CP21" i="1" s="1"/>
  <c r="CN12" i="5"/>
  <c r="CP12" i="5" s="1"/>
  <c r="CN10" i="5"/>
  <c r="CP10" i="5" s="1"/>
  <c r="CT46" i="5" l="1"/>
  <c r="DA5" i="5"/>
  <c r="CH37" i="15"/>
  <c r="CI37" i="15"/>
  <c r="CI5" i="5"/>
  <c r="CI45" i="5" s="1"/>
  <c r="DC45" i="5" l="1"/>
  <c r="DB45" i="5"/>
  <c r="DC5" i="5"/>
  <c r="DB5" i="5"/>
  <c r="BQ34" i="15" l="1"/>
  <c r="BR34" i="15"/>
  <c r="BT34" i="15"/>
  <c r="BU34" i="15"/>
  <c r="BX34" i="15"/>
  <c r="BY34" i="15"/>
  <c r="BZ34" i="15"/>
  <c r="BQ35" i="15"/>
  <c r="BT35" i="15"/>
  <c r="BU35" i="15"/>
  <c r="BW35" i="15"/>
  <c r="BX35" i="15"/>
  <c r="BY35" i="15"/>
  <c r="BZ35" i="15"/>
  <c r="BQ36" i="15"/>
  <c r="BR36" i="15"/>
  <c r="BT36" i="15"/>
  <c r="BU36" i="15"/>
  <c r="BX36" i="15"/>
  <c r="BY36" i="15"/>
  <c r="BZ36" i="15"/>
  <c r="BQ30" i="15"/>
  <c r="BR30" i="15"/>
  <c r="BT30" i="15"/>
  <c r="BU30" i="15"/>
  <c r="BX30" i="15"/>
  <c r="BY30" i="15"/>
  <c r="BZ30" i="15"/>
  <c r="BQ31" i="15"/>
  <c r="BT31" i="15"/>
  <c r="BU31" i="15"/>
  <c r="BX31" i="15"/>
  <c r="BY31" i="15"/>
  <c r="BZ31" i="15"/>
  <c r="BQ32" i="15"/>
  <c r="BR32" i="15"/>
  <c r="BT32" i="15"/>
  <c r="BU32" i="15"/>
  <c r="BW32" i="15"/>
  <c r="BX32" i="15"/>
  <c r="BY32" i="15"/>
  <c r="BZ32" i="15"/>
  <c r="BR35" i="15" l="1"/>
  <c r="BR31" i="15"/>
  <c r="BO32" i="15"/>
  <c r="BO30" i="15"/>
  <c r="BO35" i="15"/>
  <c r="BO31" i="15"/>
  <c r="BO36" i="15"/>
  <c r="BO34" i="15"/>
  <c r="CH35" i="15" l="1"/>
  <c r="CI35" i="15"/>
  <c r="CH32" i="15"/>
  <c r="CI32" i="15"/>
  <c r="BQ12" i="15"/>
  <c r="BR12" i="15"/>
  <c r="BT12" i="15"/>
  <c r="BU12" i="15"/>
  <c r="BX12" i="15"/>
  <c r="BY12" i="15"/>
  <c r="BZ12" i="15"/>
  <c r="BR17" i="15"/>
  <c r="BW17" i="15"/>
  <c r="BX17" i="15"/>
  <c r="BY17" i="15"/>
  <c r="BZ17" i="15"/>
  <c r="BR18" i="15"/>
  <c r="BW18" i="15"/>
  <c r="BX18" i="15"/>
  <c r="BY18" i="15"/>
  <c r="BZ18" i="15"/>
  <c r="BQ19" i="15"/>
  <c r="BR19" i="15"/>
  <c r="BT19" i="15"/>
  <c r="BU19" i="15"/>
  <c r="BX19" i="15"/>
  <c r="BY19" i="15"/>
  <c r="BZ19" i="15"/>
  <c r="BQ20" i="15"/>
  <c r="BR20" i="15"/>
  <c r="BT20" i="15"/>
  <c r="BU20" i="15"/>
  <c r="BX20" i="15"/>
  <c r="BY20" i="15"/>
  <c r="BZ20" i="15"/>
  <c r="BQ22" i="15"/>
  <c r="BR22" i="15"/>
  <c r="BT22" i="15"/>
  <c r="BU22" i="15"/>
  <c r="BX22" i="15"/>
  <c r="BY22" i="15"/>
  <c r="BZ22" i="15"/>
  <c r="BQ23" i="15"/>
  <c r="BR23" i="15"/>
  <c r="BT23" i="15"/>
  <c r="BU23" i="15"/>
  <c r="BW23" i="15"/>
  <c r="BX23" i="15"/>
  <c r="BY23" i="15"/>
  <c r="BZ23" i="15"/>
  <c r="BQ24" i="15"/>
  <c r="BR24" i="15"/>
  <c r="BT24" i="15"/>
  <c r="BU24" i="15"/>
  <c r="BW24" i="15"/>
  <c r="BX24" i="15"/>
  <c r="BY24" i="15"/>
  <c r="BZ24" i="15"/>
  <c r="BQ25" i="15"/>
  <c r="BR25" i="15"/>
  <c r="BT25" i="15"/>
  <c r="BU25" i="15"/>
  <c r="BX25" i="15"/>
  <c r="BY25" i="15"/>
  <c r="BZ25" i="15"/>
  <c r="BQ26" i="15"/>
  <c r="BR26" i="15"/>
  <c r="BT26" i="15"/>
  <c r="BU26" i="15"/>
  <c r="BX26" i="15"/>
  <c r="BY26" i="15"/>
  <c r="BZ26" i="15"/>
  <c r="BQ27" i="15"/>
  <c r="BT27" i="15"/>
  <c r="BU27" i="15"/>
  <c r="BX27" i="15"/>
  <c r="BY27" i="15"/>
  <c r="BZ27" i="15"/>
  <c r="BQ11" i="15"/>
  <c r="BR11" i="15"/>
  <c r="BT11" i="15"/>
  <c r="BU11" i="15"/>
  <c r="BX11" i="15"/>
  <c r="BY11" i="15"/>
  <c r="BZ11" i="15"/>
  <c r="BR27" i="15" l="1"/>
  <c r="BO11" i="15"/>
  <c r="BO26" i="15"/>
  <c r="BO24" i="15"/>
  <c r="BO22" i="15"/>
  <c r="BO19" i="15"/>
  <c r="BO27" i="15"/>
  <c r="BO25" i="15"/>
  <c r="BO23" i="15"/>
  <c r="BO20" i="15"/>
  <c r="BO12" i="15"/>
  <c r="D2" i="3"/>
  <c r="CH23" i="15" l="1"/>
  <c r="CI23" i="15"/>
  <c r="CH24" i="15"/>
  <c r="CI24" i="15"/>
  <c r="BQ7" i="15" l="1"/>
  <c r="BQ42" i="15" s="1"/>
  <c r="BR7" i="15"/>
  <c r="BR42" i="15" s="1"/>
  <c r="BT7" i="15"/>
  <c r="BT42" i="15" s="1"/>
  <c r="BU7" i="15"/>
  <c r="BU42" i="15" s="1"/>
  <c r="BW7" i="15"/>
  <c r="BW42" i="15" s="1"/>
  <c r="BX7" i="15"/>
  <c r="BX42" i="15" s="1"/>
  <c r="BY7" i="15"/>
  <c r="BY42" i="15" s="1"/>
  <c r="BZ7" i="15"/>
  <c r="BZ42" i="15" s="1"/>
  <c r="BQ28" i="15"/>
  <c r="BR28" i="15"/>
  <c r="BT28" i="15"/>
  <c r="BU28" i="15"/>
  <c r="BX28" i="15"/>
  <c r="BY28" i="15"/>
  <c r="BZ28" i="15"/>
  <c r="BQ29" i="15"/>
  <c r="BR29" i="15"/>
  <c r="BT29" i="15"/>
  <c r="BU29" i="15"/>
  <c r="BX29" i="15"/>
  <c r="BY29" i="15"/>
  <c r="BZ29" i="15"/>
  <c r="BQ33" i="15"/>
  <c r="BR33" i="15"/>
  <c r="BT33" i="15"/>
  <c r="BU33" i="15"/>
  <c r="BX33" i="15"/>
  <c r="BY33" i="15"/>
  <c r="BZ33" i="15"/>
  <c r="BO29" i="15" l="1"/>
  <c r="BO7" i="15"/>
  <c r="BO42" i="15" s="1"/>
  <c r="BO33" i="15"/>
  <c r="BO28" i="15"/>
  <c r="CH7" i="15" l="1"/>
  <c r="CH42" i="15" s="1"/>
  <c r="CI7" i="15" l="1"/>
  <c r="CI42" i="15" s="1"/>
  <c r="CR5" i="5"/>
  <c r="CY5" i="8" l="1"/>
  <c r="BQ14" i="15"/>
  <c r="BR14" i="15"/>
  <c r="BT14" i="15"/>
  <c r="BU14" i="15"/>
  <c r="BX14" i="15"/>
  <c r="BY14" i="15"/>
  <c r="BZ14" i="15"/>
  <c r="BO14" i="15" l="1"/>
  <c r="BQ13" i="15" l="1"/>
  <c r="BR13" i="15"/>
  <c r="BT13" i="15"/>
  <c r="BU13" i="15"/>
  <c r="BX13" i="15"/>
  <c r="BY13" i="15"/>
  <c r="BZ13" i="15"/>
  <c r="BQ15" i="15"/>
  <c r="BR15" i="15"/>
  <c r="BT15" i="15"/>
  <c r="BU15" i="15"/>
  <c r="BX15" i="15"/>
  <c r="BY15" i="15"/>
  <c r="BZ15" i="15"/>
  <c r="BO15" i="15" l="1"/>
  <c r="BO13" i="15"/>
  <c r="CV5" i="8" l="1"/>
  <c r="CW5" i="8"/>
  <c r="DB5" i="8"/>
  <c r="BX6" i="15"/>
  <c r="BX41" i="15" s="1"/>
  <c r="BY6" i="15"/>
  <c r="BY41" i="15" s="1"/>
  <c r="BZ6" i="15"/>
  <c r="BZ41" i="15" s="1"/>
  <c r="BQ8" i="15"/>
  <c r="BQ43" i="15" s="1"/>
  <c r="BR8" i="15"/>
  <c r="BR43" i="15" s="1"/>
  <c r="BT8" i="15"/>
  <c r="BT43" i="15" s="1"/>
  <c r="BU8" i="15"/>
  <c r="BU43" i="15" s="1"/>
  <c r="BW8" i="15"/>
  <c r="BW43" i="15" s="1"/>
  <c r="BX8" i="15"/>
  <c r="BX43" i="15" s="1"/>
  <c r="BY8" i="15"/>
  <c r="BY43" i="15" s="1"/>
  <c r="BZ8" i="15"/>
  <c r="BZ43" i="15" s="1"/>
  <c r="BQ9" i="15"/>
  <c r="BR9" i="15"/>
  <c r="BT9" i="15"/>
  <c r="BU9" i="15"/>
  <c r="BW9" i="15"/>
  <c r="BX9" i="15"/>
  <c r="BY9" i="15"/>
  <c r="BZ9" i="15"/>
  <c r="BQ10" i="15"/>
  <c r="BR10" i="15"/>
  <c r="BT10" i="15"/>
  <c r="BU10" i="15"/>
  <c r="BX10" i="15"/>
  <c r="BY10" i="15"/>
  <c r="BZ10" i="15"/>
  <c r="BQ16" i="15"/>
  <c r="BR16" i="15"/>
  <c r="BT16" i="15"/>
  <c r="BU16" i="15"/>
  <c r="BQ17" i="15"/>
  <c r="BT17" i="15"/>
  <c r="BU17" i="15"/>
  <c r="BQ18" i="15"/>
  <c r="BT18" i="15"/>
  <c r="BU18" i="15"/>
  <c r="CL5" i="8"/>
  <c r="CM5" i="8"/>
  <c r="CN5" i="8"/>
  <c r="CO5" i="8"/>
  <c r="CP5" i="8"/>
  <c r="CQ5" i="8"/>
  <c r="BU6" i="15" l="1"/>
  <c r="BU41" i="15" s="1"/>
  <c r="BR6" i="15"/>
  <c r="BR41" i="15" s="1"/>
  <c r="BT6" i="15"/>
  <c r="BT41" i="15" s="1"/>
  <c r="BQ6" i="15"/>
  <c r="BQ41" i="15" s="1"/>
  <c r="BO16" i="15"/>
  <c r="BO9" i="15"/>
  <c r="BO6" i="15"/>
  <c r="BO41" i="15" s="1"/>
  <c r="BO18" i="15"/>
  <c r="BO17" i="15"/>
  <c r="BO10" i="15"/>
  <c r="BO8" i="15"/>
  <c r="BO43" i="15" s="1"/>
  <c r="CI8" i="15" l="1"/>
  <c r="CI43" i="15" s="1"/>
  <c r="CH8" i="15"/>
  <c r="CH43" i="15" s="1"/>
  <c r="CI17" i="15"/>
  <c r="CH17" i="15"/>
  <c r="CI18" i="15"/>
  <c r="CH18" i="15"/>
  <c r="CI9" i="15"/>
  <c r="CH9" i="15"/>
  <c r="DC5" i="8"/>
  <c r="DD5" i="8" l="1"/>
  <c r="BM5" i="5" l="1"/>
  <c r="BM45" i="5" s="1"/>
  <c r="Q45" i="1" s="1"/>
  <c r="BM45" i="1" s="1"/>
  <c r="Q45" i="8" s="1"/>
  <c r="BM45" i="8" s="1"/>
  <c r="Q41" i="24" s="1"/>
  <c r="BM41" i="24" s="1"/>
  <c r="BF5" i="5"/>
  <c r="BF45" i="5" s="1"/>
  <c r="J45" i="1" s="1"/>
  <c r="BF45" i="1" s="1"/>
  <c r="J45" i="8" s="1"/>
  <c r="BF45" i="8" s="1"/>
  <c r="J41" i="24" s="1"/>
  <c r="BF41" i="24" s="1"/>
  <c r="BC5" i="5"/>
  <c r="BC45" i="5" s="1"/>
  <c r="G45" i="1" s="1"/>
  <c r="BC45" i="1" s="1"/>
  <c r="G45" i="8" s="1"/>
  <c r="BC45" i="8" s="1"/>
  <c r="G41" i="24" s="1"/>
  <c r="BC41" i="24" s="1"/>
  <c r="BG5" i="5"/>
  <c r="BG45" i="5" s="1"/>
  <c r="K45" i="1" s="1"/>
  <c r="BG45" i="1" s="1"/>
  <c r="K45" i="8" s="1"/>
  <c r="BG45" i="8" s="1"/>
  <c r="K41" i="24" s="1"/>
  <c r="BG41" i="24" s="1"/>
  <c r="BK5" i="5"/>
  <c r="BK45" i="5" s="1"/>
  <c r="O45" i="1" s="1"/>
  <c r="BK45" i="1" s="1"/>
  <c r="O45" i="8" s="1"/>
  <c r="BK45" i="8" s="1"/>
  <c r="O41" i="24" s="1"/>
  <c r="BK41" i="24" s="1"/>
  <c r="AY5" i="5"/>
  <c r="AY45" i="5" s="1"/>
  <c r="C45" i="1" s="1"/>
  <c r="AY45" i="1" s="1"/>
  <c r="C45" i="8" s="1"/>
  <c r="AY45" i="8" s="1"/>
  <c r="C41" i="24" s="1"/>
  <c r="AY41" i="24" s="1"/>
  <c r="AX5" i="5"/>
  <c r="BB5" i="5"/>
  <c r="BB45" i="5" s="1"/>
  <c r="F45" i="1" s="1"/>
  <c r="BB45" i="1" s="1"/>
  <c r="F45" i="8" s="1"/>
  <c r="BB45" i="8" s="1"/>
  <c r="F41" i="24" s="1"/>
  <c r="BB41" i="24" s="1"/>
  <c r="BD5" i="5"/>
  <c r="BD45" i="5" s="1"/>
  <c r="H45" i="1" s="1"/>
  <c r="BD45" i="1" s="1"/>
  <c r="H45" i="8" s="1"/>
  <c r="BD45" i="8" s="1"/>
  <c r="H41" i="24" s="1"/>
  <c r="BD41" i="24" s="1"/>
  <c r="BH5" i="5"/>
  <c r="BH45" i="5" s="1"/>
  <c r="L45" i="1" s="1"/>
  <c r="BH45" i="1" s="1"/>
  <c r="L45" i="8" s="1"/>
  <c r="BH45" i="8" s="1"/>
  <c r="L41" i="24" s="1"/>
  <c r="BH41" i="24" s="1"/>
  <c r="BL5" i="5"/>
  <c r="BL45" i="5" s="1"/>
  <c r="P45" i="1" s="1"/>
  <c r="BL45" i="1" s="1"/>
  <c r="P45" i="8" s="1"/>
  <c r="BL45" i="8" s="1"/>
  <c r="P41" i="24" s="1"/>
  <c r="BL41" i="24" s="1"/>
  <c r="BE5" i="5"/>
  <c r="BE45" i="5" s="1"/>
  <c r="I45" i="1" s="1"/>
  <c r="BE45" i="1" s="1"/>
  <c r="I45" i="8" s="1"/>
  <c r="BE45" i="8" s="1"/>
  <c r="I41" i="24" s="1"/>
  <c r="BE41" i="24" s="1"/>
  <c r="BI5" i="5"/>
  <c r="BI45" i="5" s="1"/>
  <c r="M45" i="1" s="1"/>
  <c r="BI45" i="1" s="1"/>
  <c r="M45" i="8" s="1"/>
  <c r="BI45" i="8" s="1"/>
  <c r="M41" i="24" s="1"/>
  <c r="BI41" i="24" s="1"/>
  <c r="BA5" i="5"/>
  <c r="BA45" i="5" s="1"/>
  <c r="E45" i="1" s="1"/>
  <c r="BA45" i="1" s="1"/>
  <c r="E45" i="8" s="1"/>
  <c r="BA45" i="8" s="1"/>
  <c r="E41" i="24" s="1"/>
  <c r="BA41" i="24" s="1"/>
  <c r="AZ5" i="5"/>
  <c r="AZ45" i="5" s="1"/>
  <c r="D45" i="1" s="1"/>
  <c r="AZ45" i="1" s="1"/>
  <c r="D45" i="8" s="1"/>
  <c r="AZ45" i="8" s="1"/>
  <c r="D41" i="24" s="1"/>
  <c r="AZ41" i="24" s="1"/>
  <c r="B5" i="1" l="1"/>
  <c r="AX45" i="5"/>
  <c r="B45" i="1" s="1"/>
  <c r="AX45" i="1" s="1"/>
  <c r="B45" i="8" s="1"/>
  <c r="AX45" i="8" s="1"/>
  <c r="B41" i="24" s="1"/>
  <c r="AX41" i="24" s="1"/>
  <c r="E5" i="1"/>
  <c r="BA5" i="1" s="1"/>
  <c r="D5" i="1"/>
  <c r="M5" i="1"/>
  <c r="P5" i="1"/>
  <c r="H5" i="1"/>
  <c r="BD5" i="1" s="1"/>
  <c r="O5" i="1"/>
  <c r="G5" i="1"/>
  <c r="J5" i="1"/>
  <c r="I5" i="1"/>
  <c r="L5" i="1"/>
  <c r="F5" i="1"/>
  <c r="K5" i="1"/>
  <c r="Q5" i="1"/>
  <c r="C5" i="1"/>
  <c r="E5" i="8" l="1"/>
  <c r="H5" i="8"/>
  <c r="BK5" i="1"/>
  <c r="BG5" i="1"/>
  <c r="BM5" i="1"/>
  <c r="BH5" i="1"/>
  <c r="BF5" i="1"/>
  <c r="BI5" i="1"/>
  <c r="BC5" i="1"/>
  <c r="BL5" i="1"/>
  <c r="BB5" i="1"/>
  <c r="AX5" i="1"/>
  <c r="AZ5" i="1"/>
  <c r="BE5" i="1"/>
  <c r="AY5" i="1"/>
  <c r="B46" i="24"/>
  <c r="AX46" i="24" s="1"/>
  <c r="I5" i="8" l="1"/>
  <c r="B5" i="8"/>
  <c r="P5" i="8"/>
  <c r="BL5" i="8" s="1"/>
  <c r="M5" i="8"/>
  <c r="L5" i="8"/>
  <c r="K5" i="8"/>
  <c r="C5" i="8"/>
  <c r="D5" i="8"/>
  <c r="F5" i="8"/>
  <c r="G5" i="8"/>
  <c r="J5" i="8"/>
  <c r="Q5" i="8"/>
  <c r="O5" i="8"/>
  <c r="BD5" i="8"/>
  <c r="BM5" i="8" l="1"/>
  <c r="BH5" i="8"/>
  <c r="BK5" i="8"/>
  <c r="O5" i="24" s="1"/>
  <c r="O47" i="24" s="1"/>
  <c r="BF5" i="8"/>
  <c r="BG5" i="8"/>
  <c r="BI5" i="8"/>
  <c r="P5" i="24"/>
  <c r="BL5" i="24" s="1"/>
  <c r="BL47" i="24" s="1"/>
  <c r="H5" i="24"/>
  <c r="H47" i="24" s="1"/>
  <c r="AY5" i="8"/>
  <c r="BE5" i="8"/>
  <c r="BC5" i="8"/>
  <c r="AZ5" i="8"/>
  <c r="BB5" i="8"/>
  <c r="BA5" i="8"/>
  <c r="AX5" i="8"/>
  <c r="Q5" i="24" l="1"/>
  <c r="BM5" i="24" s="1"/>
  <c r="BM47" i="24" s="1"/>
  <c r="L5" i="24"/>
  <c r="L47" i="24" s="1"/>
  <c r="J5" i="24"/>
  <c r="BF5" i="24" s="1"/>
  <c r="BF47" i="24" s="1"/>
  <c r="K5" i="24"/>
  <c r="BG5" i="24" s="1"/>
  <c r="BG47" i="24" s="1"/>
  <c r="M5" i="24"/>
  <c r="BI5" i="24" s="1"/>
  <c r="BI47" i="24" s="1"/>
  <c r="BK5" i="24"/>
  <c r="BK47" i="24" s="1"/>
  <c r="P47" i="24"/>
  <c r="BD5" i="24"/>
  <c r="BD47" i="24" s="1"/>
  <c r="B5" i="24"/>
  <c r="B47" i="24" s="1"/>
  <c r="E5" i="24"/>
  <c r="E47" i="24" s="1"/>
  <c r="F5" i="24"/>
  <c r="BB5" i="24" s="1"/>
  <c r="BB47" i="24" s="1"/>
  <c r="D5" i="24"/>
  <c r="D47" i="24" s="1"/>
  <c r="C5" i="24"/>
  <c r="I5" i="24"/>
  <c r="G5" i="24"/>
  <c r="CB39" i="15"/>
  <c r="CA39" i="15"/>
  <c r="BH5" i="24" l="1"/>
  <c r="BH47" i="24" s="1"/>
  <c r="Q47" i="24"/>
  <c r="J47" i="24"/>
  <c r="K47" i="24"/>
  <c r="M47" i="24"/>
  <c r="F47" i="24"/>
  <c r="BA5" i="24"/>
  <c r="BA47" i="24" s="1"/>
  <c r="AZ5" i="24"/>
  <c r="AZ47" i="24" s="1"/>
  <c r="AX5" i="24"/>
  <c r="AX47" i="24" s="1"/>
  <c r="AY5" i="24"/>
  <c r="AY47" i="24" s="1"/>
  <c r="C47" i="24"/>
  <c r="I47" i="24"/>
  <c r="BE5" i="24"/>
  <c r="BE47" i="24" s="1"/>
  <c r="G47" i="24"/>
  <c r="BC5" i="24"/>
  <c r="BC47" i="24" s="1"/>
  <c r="BN39" i="15"/>
  <c r="BL4" i="15"/>
  <c r="BM4" i="15"/>
  <c r="BM39" i="15" l="1"/>
  <c r="BM44" i="15"/>
  <c r="BL39" i="15"/>
  <c r="BL44" i="15"/>
  <c r="CP26" i="8"/>
  <c r="CP32" i="8"/>
  <c r="CP34" i="8"/>
  <c r="CP40" i="8"/>
  <c r="CN40" i="8"/>
  <c r="CM40" i="8"/>
  <c r="CN32" i="8"/>
  <c r="CN26" i="8"/>
  <c r="CN23" i="8"/>
  <c r="CP12" i="8"/>
  <c r="CN12" i="8"/>
  <c r="CM12" i="8"/>
  <c r="CO40" i="8" l="1"/>
  <c r="CQ40" i="8" s="1"/>
  <c r="CO12" i="8"/>
  <c r="CD39" i="15"/>
  <c r="CQ12" i="8" l="1"/>
  <c r="CL45" i="5" l="1"/>
  <c r="CN45" i="5" s="1"/>
  <c r="CP45" i="5" s="1"/>
  <c r="BR39" i="15" l="1"/>
  <c r="CG39" i="15" l="1"/>
  <c r="CP23" i="8"/>
  <c r="CM4" i="6" l="1"/>
  <c r="CE39" i="15" l="1"/>
  <c r="CC39" i="15"/>
  <c r="CF39" i="15" l="1"/>
  <c r="BV39" i="15" l="1"/>
  <c r="BU39" i="15" l="1"/>
  <c r="BP39" i="15"/>
  <c r="BX39" i="15"/>
  <c r="BQ39" i="15"/>
  <c r="BO39" i="15" l="1"/>
  <c r="BT39" i="15"/>
  <c r="BZ39" i="15"/>
  <c r="BS39" i="15"/>
  <c r="BY39" i="15"/>
  <c r="CT5" i="8" l="1"/>
  <c r="CL22" i="1" l="1"/>
  <c r="CN22" i="1" s="1"/>
  <c r="CP22" i="1" s="1"/>
  <c r="CL33" i="5"/>
  <c r="CN33" i="5" s="1"/>
  <c r="CP33" i="5" s="1"/>
  <c r="CL36" i="5"/>
  <c r="CN36" i="5" s="1"/>
  <c r="CP36" i="5" l="1"/>
  <c r="CN35" i="1"/>
  <c r="CL35" i="5"/>
  <c r="CN35" i="5" s="1"/>
  <c r="CP35" i="5" s="1"/>
  <c r="CL31" i="1" s="1"/>
  <c r="CN31" i="1" s="1"/>
  <c r="CP31" i="1" s="1"/>
  <c r="CL35" i="1" l="1"/>
  <c r="CP35" i="1"/>
  <c r="F16" i="3"/>
  <c r="F15" i="3"/>
  <c r="F11" i="3"/>
  <c r="F8" i="3"/>
  <c r="F6" i="3"/>
  <c r="CU1" i="1"/>
  <c r="F13" i="3"/>
  <c r="D22" i="3"/>
  <c r="D21" i="3"/>
  <c r="D20" i="3"/>
  <c r="D19" i="3"/>
  <c r="D18" i="3"/>
  <c r="D17" i="3"/>
  <c r="D16" i="3"/>
  <c r="D15" i="3"/>
  <c r="F27" i="3"/>
  <c r="D27" i="3"/>
  <c r="C27" i="3"/>
  <c r="F26" i="3"/>
  <c r="C26" i="3"/>
  <c r="F25" i="3"/>
  <c r="C25" i="3"/>
  <c r="F24" i="3"/>
  <c r="C24" i="3"/>
  <c r="E12" i="3"/>
  <c r="G12" i="3" s="1"/>
  <c r="E10" i="3"/>
  <c r="G10" i="3" s="1"/>
  <c r="E9" i="3"/>
  <c r="G9" i="3" s="1"/>
  <c r="F18" i="3" l="1"/>
  <c r="F20" i="3"/>
  <c r="F22" i="3"/>
  <c r="F17" i="3"/>
  <c r="F19" i="3"/>
  <c r="BN46" i="8"/>
  <c r="F5" i="3"/>
  <c r="D23" i="3"/>
  <c r="D24" i="3"/>
  <c r="E24" i="3" s="1"/>
  <c r="G24" i="3" s="1"/>
  <c r="E27" i="3"/>
  <c r="G27" i="3" s="1"/>
  <c r="CN4" i="5"/>
  <c r="E21" i="3"/>
  <c r="E22" i="3"/>
  <c r="BN46" i="1"/>
  <c r="F14" i="3"/>
  <c r="E11" i="3"/>
  <c r="G11" i="3" s="1"/>
  <c r="E16" i="3"/>
  <c r="G16" i="3" s="1"/>
  <c r="E20" i="3"/>
  <c r="E6" i="3"/>
  <c r="G6" i="3" s="1"/>
  <c r="E18" i="3"/>
  <c r="E8" i="3"/>
  <c r="G8" i="3" s="1"/>
  <c r="E13" i="3"/>
  <c r="G13" i="3" s="1"/>
  <c r="E15" i="3"/>
  <c r="G15" i="3" s="1"/>
  <c r="E17" i="3"/>
  <c r="E19" i="3"/>
  <c r="E14" i="3"/>
  <c r="CM27" i="24" l="1"/>
  <c r="CO27" i="24" s="1"/>
  <c r="CQ27" i="24" s="1"/>
  <c r="CM26" i="8"/>
  <c r="CO26" i="8" s="1"/>
  <c r="CQ26" i="8" s="1"/>
  <c r="G17" i="3"/>
  <c r="E5" i="3"/>
  <c r="G5" i="3" s="1"/>
  <c r="G19" i="3"/>
  <c r="G18" i="3"/>
  <c r="G20" i="3"/>
  <c r="G22" i="3"/>
  <c r="F23" i="3"/>
  <c r="E23" i="3"/>
  <c r="G14" i="3"/>
  <c r="CM42" i="24" l="1"/>
  <c r="CO42" i="24" s="1"/>
  <c r="CQ42" i="24" s="1"/>
  <c r="CM35" i="24"/>
  <c r="CO35" i="24" s="1"/>
  <c r="CQ35" i="24" s="1"/>
  <c r="CM36" i="24"/>
  <c r="CM24" i="24"/>
  <c r="CO24" i="24" s="1"/>
  <c r="CQ24" i="24" s="1"/>
  <c r="CM34" i="8"/>
  <c r="CM32" i="8"/>
  <c r="CO32" i="8" s="1"/>
  <c r="CQ32" i="8" s="1"/>
  <c r="CM23" i="8"/>
  <c r="CO23" i="8" s="1"/>
  <c r="CQ23" i="8" s="1"/>
  <c r="G23" i="3"/>
  <c r="D26" i="3"/>
  <c r="E26" i="3" s="1"/>
  <c r="G26" i="3" s="1"/>
  <c r="D25" i="3"/>
  <c r="E25" i="3" s="1"/>
  <c r="G25" i="3" s="1"/>
  <c r="CN4" i="8" l="1"/>
  <c r="BW12" i="6"/>
  <c r="BW29" i="6"/>
  <c r="CH29" i="6" s="1"/>
  <c r="CI29" i="6" s="1"/>
  <c r="BW42" i="6"/>
  <c r="BW37" i="6"/>
  <c r="BW19" i="6"/>
  <c r="CH19" i="6" s="1"/>
  <c r="CI19" i="6" s="1"/>
  <c r="BW32" i="6"/>
  <c r="AT12" i="15"/>
  <c r="BJ12" i="15" s="1"/>
  <c r="AT20" i="15"/>
  <c r="BJ20" i="15" s="1"/>
  <c r="AT34" i="15"/>
  <c r="BJ34" i="15" s="1"/>
  <c r="BW35" i="6"/>
  <c r="BW34" i="6"/>
  <c r="BW8" i="6"/>
  <c r="CH8" i="6" s="1"/>
  <c r="CI8" i="6" s="1"/>
  <c r="BW24" i="6"/>
  <c r="CH24" i="6" s="1"/>
  <c r="CI24" i="6" s="1"/>
  <c r="BW30" i="6"/>
  <c r="CH30" i="6" s="1"/>
  <c r="CI30" i="6" s="1"/>
  <c r="BW16" i="6"/>
  <c r="BW18" i="6"/>
  <c r="CH18" i="6" s="1"/>
  <c r="CI18" i="6" s="1"/>
  <c r="BW26" i="6"/>
  <c r="BW25" i="6"/>
  <c r="CH25" i="6" s="1"/>
  <c r="CI25" i="6" s="1"/>
  <c r="BW43" i="6"/>
  <c r="AT25" i="15"/>
  <c r="BJ25" i="15" s="1"/>
  <c r="AT33" i="15"/>
  <c r="BJ33" i="15" s="1"/>
  <c r="AT22" i="15"/>
  <c r="BJ22" i="15" s="1"/>
  <c r="AT26" i="15"/>
  <c r="BJ26" i="15" s="1"/>
  <c r="AT27" i="15"/>
  <c r="BJ27" i="15" s="1"/>
  <c r="AT31" i="15"/>
  <c r="BJ31" i="15" s="1"/>
  <c r="AT15" i="15"/>
  <c r="BJ15" i="15" s="1"/>
  <c r="BW6" i="6"/>
  <c r="CH6" i="6" s="1"/>
  <c r="CI6" i="6" s="1"/>
  <c r="BW40" i="6"/>
  <c r="CH40" i="6" s="1"/>
  <c r="CI40" i="6" s="1"/>
  <c r="AT11" i="15"/>
  <c r="BJ11" i="15" s="1"/>
  <c r="AT19" i="15"/>
  <c r="BJ19" i="15" s="1"/>
  <c r="BW20" i="6"/>
  <c r="CH20" i="6" s="1"/>
  <c r="CI20" i="6" s="1"/>
  <c r="AT13" i="15"/>
  <c r="BJ13" i="15" s="1"/>
  <c r="BW22" i="6"/>
  <c r="BW21" i="6"/>
  <c r="BW36" i="6"/>
  <c r="BW7" i="6"/>
  <c r="AT6" i="15"/>
  <c r="BJ6" i="15" s="1"/>
  <c r="BJ41" i="15" s="1"/>
  <c r="AT10" i="15"/>
  <c r="BJ10" i="15" s="1"/>
  <c r="AT14" i="15"/>
  <c r="BJ14" i="15" s="1"/>
  <c r="AT21" i="15"/>
  <c r="BJ21" i="15" s="1"/>
  <c r="BW13" i="6"/>
  <c r="BW10" i="6"/>
  <c r="BW31" i="6"/>
  <c r="CH31" i="6" s="1"/>
  <c r="CI31" i="6" s="1"/>
  <c r="BW15" i="6"/>
  <c r="CH15" i="6" s="1"/>
  <c r="CI15" i="6" s="1"/>
  <c r="BW33" i="6"/>
  <c r="CH33" i="6" s="1"/>
  <c r="CI33" i="6" s="1"/>
  <c r="AT28" i="15"/>
  <c r="BJ28" i="15" s="1"/>
  <c r="AT29" i="15"/>
  <c r="BJ29" i="15" s="1"/>
  <c r="BW11" i="6"/>
  <c r="BW14" i="6"/>
  <c r="BW17" i="6"/>
  <c r="AT30" i="15"/>
  <c r="BJ30" i="15" s="1"/>
  <c r="BW9" i="6"/>
  <c r="CH9" i="6" s="1"/>
  <c r="CI9" i="6" s="1"/>
  <c r="BJ38" i="5"/>
  <c r="N38" i="1" s="1"/>
  <c r="AT16" i="15"/>
  <c r="BJ16" i="15" s="1"/>
  <c r="AT36" i="15"/>
  <c r="BJ36" i="15" s="1"/>
  <c r="BW23" i="6"/>
  <c r="CH23" i="6" s="1"/>
  <c r="CI23" i="6" s="1"/>
  <c r="BW44" i="6"/>
  <c r="CH44" i="6" s="1"/>
  <c r="CI44" i="6" s="1"/>
  <c r="BJ40" i="5"/>
  <c r="N40" i="1" s="1"/>
  <c r="BJ44" i="1" l="1"/>
  <c r="N44" i="8" s="1"/>
  <c r="BJ44" i="8" s="1"/>
  <c r="BJ19" i="5"/>
  <c r="BJ23" i="5"/>
  <c r="BJ37" i="5"/>
  <c r="N37" i="1" s="1"/>
  <c r="BJ34" i="5"/>
  <c r="N34" i="1" s="1"/>
  <c r="BJ36" i="5"/>
  <c r="N36" i="1" s="1"/>
  <c r="BJ10" i="5"/>
  <c r="BJ27" i="5"/>
  <c r="BJ12" i="5"/>
  <c r="BJ28" i="5"/>
  <c r="BJ41" i="5"/>
  <c r="N41" i="1" s="1"/>
  <c r="BJ32" i="5"/>
  <c r="N32" i="1" s="1"/>
  <c r="BJ30" i="5"/>
  <c r="N30" i="1" s="1"/>
  <c r="BJ9" i="5"/>
  <c r="BJ33" i="5"/>
  <c r="N33" i="1" s="1"/>
  <c r="BJ38" i="1"/>
  <c r="N38" i="8" s="1"/>
  <c r="BJ38" i="8" s="1"/>
  <c r="BJ20" i="5"/>
  <c r="BJ21" i="5"/>
  <c r="BJ22" i="5"/>
  <c r="BJ35" i="5"/>
  <c r="N35" i="1" s="1"/>
  <c r="BJ26" i="5"/>
  <c r="BJ14" i="5"/>
  <c r="BJ13" i="5"/>
  <c r="BJ24" i="5"/>
  <c r="BJ8" i="5"/>
  <c r="BJ11" i="5"/>
  <c r="BJ25" i="5"/>
  <c r="BJ18" i="5"/>
  <c r="BJ15" i="5"/>
  <c r="BJ17" i="5"/>
  <c r="BJ16" i="5"/>
  <c r="BJ7" i="5"/>
  <c r="BJ39" i="5"/>
  <c r="N39" i="1" s="1"/>
  <c r="BJ6" i="5"/>
  <c r="BJ40" i="1"/>
  <c r="N40" i="8" s="1"/>
  <c r="BJ40" i="8" s="1"/>
  <c r="N40" i="24" s="1"/>
  <c r="BJ40" i="24" s="1"/>
  <c r="BJ31" i="5"/>
  <c r="N31" i="1" s="1"/>
  <c r="BJ29" i="5"/>
  <c r="N29" i="1" s="1"/>
  <c r="BW34" i="15"/>
  <c r="CH42" i="6"/>
  <c r="CI42" i="6" s="1"/>
  <c r="BW14" i="15"/>
  <c r="CH14" i="6"/>
  <c r="CI14" i="6" s="1"/>
  <c r="BW10" i="15"/>
  <c r="CH10" i="6"/>
  <c r="CI10" i="6" s="1"/>
  <c r="BW29" i="15"/>
  <c r="CH36" i="6"/>
  <c r="CI36" i="6" s="1"/>
  <c r="BW36" i="15"/>
  <c r="CH43" i="6"/>
  <c r="CI43" i="6" s="1"/>
  <c r="DC43" i="6" s="1"/>
  <c r="BW15" i="15"/>
  <c r="CH16" i="6"/>
  <c r="CI16" i="6" s="1"/>
  <c r="BW31" i="15"/>
  <c r="CH37" i="6"/>
  <c r="CI37" i="6" s="1"/>
  <c r="BW6" i="15"/>
  <c r="BW41" i="15" s="1"/>
  <c r="CH7" i="6"/>
  <c r="CI7" i="6" s="1"/>
  <c r="BW13" i="15"/>
  <c r="CH13" i="6"/>
  <c r="CI13" i="6" s="1"/>
  <c r="BW20" i="15"/>
  <c r="CH21" i="6"/>
  <c r="CI21" i="6" s="1"/>
  <c r="BW26" i="15"/>
  <c r="CH34" i="6"/>
  <c r="CI34" i="6" s="1"/>
  <c r="DC34" i="6" s="1"/>
  <c r="BW12" i="15"/>
  <c r="CH12" i="6"/>
  <c r="CI12" i="6" s="1"/>
  <c r="BW16" i="15"/>
  <c r="CH17" i="6"/>
  <c r="CI17" i="6" s="1"/>
  <c r="BW33" i="15"/>
  <c r="BW11" i="15"/>
  <c r="CH11" i="6"/>
  <c r="CI11" i="6" s="1"/>
  <c r="BW21" i="15"/>
  <c r="CH22" i="6"/>
  <c r="CI22" i="6" s="1"/>
  <c r="BW22" i="15"/>
  <c r="CH26" i="6"/>
  <c r="CI26" i="6" s="1"/>
  <c r="BW27" i="15"/>
  <c r="CH35" i="6"/>
  <c r="CI35" i="6" s="1"/>
  <c r="DC35" i="6" s="1"/>
  <c r="BW25" i="15"/>
  <c r="CH32" i="6"/>
  <c r="CI32" i="6" s="1"/>
  <c r="BW30" i="15"/>
  <c r="N43" i="24"/>
  <c r="BJ43" i="24" s="1"/>
  <c r="N42" i="24"/>
  <c r="BJ42" i="24" s="1"/>
  <c r="N44" i="24"/>
  <c r="BJ44" i="24" s="1"/>
  <c r="DD43" i="6"/>
  <c r="AT41" i="15"/>
  <c r="DC15" i="6"/>
  <c r="DD15" i="6"/>
  <c r="DD9" i="6"/>
  <c r="DC9" i="6"/>
  <c r="DC33" i="6"/>
  <c r="DD33" i="6"/>
  <c r="DC31" i="6"/>
  <c r="DD31" i="6"/>
  <c r="DC44" i="6"/>
  <c r="DD44" i="6"/>
  <c r="F21" i="3"/>
  <c r="G21" i="3" s="1"/>
  <c r="DD6" i="6"/>
  <c r="DC6" i="6"/>
  <c r="DD18" i="6"/>
  <c r="DC18" i="6"/>
  <c r="DD8" i="6"/>
  <c r="DC8" i="6"/>
  <c r="DD19" i="6"/>
  <c r="DC19" i="6"/>
  <c r="BW28" i="15"/>
  <c r="DD29" i="6"/>
  <c r="DC29" i="6"/>
  <c r="CH19" i="15"/>
  <c r="DD40" i="6"/>
  <c r="DC40" i="6"/>
  <c r="DC25" i="6"/>
  <c r="DD25" i="6"/>
  <c r="DD23" i="6"/>
  <c r="DC23" i="6"/>
  <c r="DD30" i="6"/>
  <c r="DC30" i="6"/>
  <c r="DD24" i="6"/>
  <c r="DC24" i="6"/>
  <c r="BW19" i="15"/>
  <c r="CI26" i="15" l="1"/>
  <c r="CH26" i="15"/>
  <c r="DD34" i="6"/>
  <c r="BJ16" i="1"/>
  <c r="N16" i="8" s="1"/>
  <c r="BJ16" i="8" s="1"/>
  <c r="N17" i="24" s="1"/>
  <c r="BJ17" i="24" s="1"/>
  <c r="BJ29" i="1"/>
  <c r="N29" i="8" s="1"/>
  <c r="BJ29" i="8" s="1"/>
  <c r="N32" i="24" s="1"/>
  <c r="BJ32" i="24" s="1"/>
  <c r="BJ13" i="1"/>
  <c r="N13" i="8" s="1"/>
  <c r="BJ13" i="8" s="1"/>
  <c r="N14" i="24" s="1"/>
  <c r="BJ14" i="24" s="1"/>
  <c r="BJ34" i="1"/>
  <c r="N34" i="8" s="1"/>
  <c r="BJ34" i="8" s="1"/>
  <c r="N36" i="24" s="1"/>
  <c r="BJ36" i="24" s="1"/>
  <c r="BJ31" i="1"/>
  <c r="N31" i="8" s="1"/>
  <c r="BJ31" i="8" s="1"/>
  <c r="N34" i="24" s="1"/>
  <c r="BJ34" i="24" s="1"/>
  <c r="BJ6" i="1"/>
  <c r="N6" i="8" s="1"/>
  <c r="BJ6" i="8" s="1"/>
  <c r="BJ7" i="1"/>
  <c r="N7" i="8" s="1"/>
  <c r="BJ7" i="8" s="1"/>
  <c r="N6" i="24" s="1"/>
  <c r="BJ6" i="24" s="1"/>
  <c r="BJ15" i="1"/>
  <c r="N15" i="8" s="1"/>
  <c r="BJ15" i="8" s="1"/>
  <c r="N16" i="24" s="1"/>
  <c r="BJ16" i="24" s="1"/>
  <c r="BJ25" i="1"/>
  <c r="N25" i="8" s="1"/>
  <c r="BJ25" i="8" s="1"/>
  <c r="N26" i="24" s="1"/>
  <c r="BJ26" i="24" s="1"/>
  <c r="BJ8" i="1"/>
  <c r="N8" i="8" s="1"/>
  <c r="BJ8" i="8" s="1"/>
  <c r="N7" i="24" s="1"/>
  <c r="BJ7" i="24" s="1"/>
  <c r="BJ14" i="1"/>
  <c r="N14" i="8" s="1"/>
  <c r="BJ14" i="8" s="1"/>
  <c r="N15" i="24" s="1"/>
  <c r="BJ15" i="24" s="1"/>
  <c r="BJ35" i="1"/>
  <c r="N35" i="8" s="1"/>
  <c r="BJ35" i="8" s="1"/>
  <c r="N37" i="24" s="1"/>
  <c r="BJ37" i="24" s="1"/>
  <c r="BJ21" i="1"/>
  <c r="N21" i="8" s="1"/>
  <c r="BJ21" i="8" s="1"/>
  <c r="N22" i="24" s="1"/>
  <c r="BJ22" i="24" s="1"/>
  <c r="BJ9" i="1"/>
  <c r="N9" i="8" s="1"/>
  <c r="BJ9" i="8" s="1"/>
  <c r="N9" i="24" s="1"/>
  <c r="BJ9" i="24" s="1"/>
  <c r="BJ41" i="1"/>
  <c r="N41" i="8" s="1"/>
  <c r="BJ41" i="8" s="1"/>
  <c r="BJ12" i="1"/>
  <c r="N12" i="8" s="1"/>
  <c r="BJ12" i="8" s="1"/>
  <c r="N12" i="24" s="1"/>
  <c r="BJ12" i="24" s="1"/>
  <c r="BJ10" i="1"/>
  <c r="N10" i="8" s="1"/>
  <c r="BJ10" i="8" s="1"/>
  <c r="N10" i="24" s="1"/>
  <c r="BJ10" i="24" s="1"/>
  <c r="BJ37" i="1"/>
  <c r="N37" i="8" s="1"/>
  <c r="BJ37" i="8" s="1"/>
  <c r="BJ30" i="1"/>
  <c r="N30" i="8" s="1"/>
  <c r="BJ30" i="8" s="1"/>
  <c r="N33" i="24" s="1"/>
  <c r="BJ33" i="24" s="1"/>
  <c r="BJ39" i="1"/>
  <c r="N39" i="8" s="1"/>
  <c r="BJ39" i="8" s="1"/>
  <c r="N39" i="24" s="1"/>
  <c r="BJ39" i="24" s="1"/>
  <c r="BJ17" i="1"/>
  <c r="N17" i="8" s="1"/>
  <c r="BJ17" i="8" s="1"/>
  <c r="N18" i="24" s="1"/>
  <c r="BJ18" i="24" s="1"/>
  <c r="BJ18" i="1"/>
  <c r="N18" i="8" s="1"/>
  <c r="BJ18" i="8" s="1"/>
  <c r="N19" i="24" s="1"/>
  <c r="BJ19" i="24" s="1"/>
  <c r="BJ11" i="1"/>
  <c r="N11" i="8" s="1"/>
  <c r="BJ11" i="8" s="1"/>
  <c r="N11" i="24" s="1"/>
  <c r="BJ11" i="24" s="1"/>
  <c r="BJ24" i="1"/>
  <c r="N24" i="8" s="1"/>
  <c r="BJ24" i="8" s="1"/>
  <c r="N25" i="24" s="1"/>
  <c r="BJ25" i="24" s="1"/>
  <c r="BJ26" i="1"/>
  <c r="N26" i="8" s="1"/>
  <c r="BJ26" i="8" s="1"/>
  <c r="N27" i="24" s="1"/>
  <c r="BJ27" i="24" s="1"/>
  <c r="BJ22" i="1"/>
  <c r="N22" i="8" s="1"/>
  <c r="BJ22" i="8" s="1"/>
  <c r="N23" i="24" s="1"/>
  <c r="BJ23" i="24" s="1"/>
  <c r="BJ20" i="1"/>
  <c r="N20" i="8" s="1"/>
  <c r="BJ20" i="8" s="1"/>
  <c r="N21" i="24" s="1"/>
  <c r="BJ21" i="24" s="1"/>
  <c r="BJ33" i="1"/>
  <c r="N33" i="8" s="1"/>
  <c r="BJ33" i="8" s="1"/>
  <c r="BJ32" i="1"/>
  <c r="N32" i="8" s="1"/>
  <c r="BJ32" i="8" s="1"/>
  <c r="N35" i="24" s="1"/>
  <c r="BJ35" i="24" s="1"/>
  <c r="BJ28" i="1"/>
  <c r="N28" i="8" s="1"/>
  <c r="BJ28" i="8" s="1"/>
  <c r="N31" i="24" s="1"/>
  <c r="BJ31" i="24" s="1"/>
  <c r="BJ27" i="1"/>
  <c r="N27" i="8" s="1"/>
  <c r="BJ27" i="8" s="1"/>
  <c r="N30" i="24" s="1"/>
  <c r="BJ30" i="24" s="1"/>
  <c r="BJ36" i="1"/>
  <c r="N36" i="8" s="1"/>
  <c r="BJ36" i="8" s="1"/>
  <c r="N38" i="24" s="1"/>
  <c r="BJ38" i="24" s="1"/>
  <c r="BJ23" i="1"/>
  <c r="N23" i="8" s="1"/>
  <c r="BJ23" i="8" s="1"/>
  <c r="N24" i="24" s="1"/>
  <c r="BJ24" i="24" s="1"/>
  <c r="BJ19" i="1"/>
  <c r="N19" i="8" s="1"/>
  <c r="BJ19" i="8" s="1"/>
  <c r="N20" i="24" s="1"/>
  <c r="BJ20" i="24" s="1"/>
  <c r="CH15" i="15"/>
  <c r="CH20" i="15"/>
  <c r="CH21" i="15"/>
  <c r="CH29" i="15"/>
  <c r="CH27" i="15"/>
  <c r="CH36" i="15"/>
  <c r="CI27" i="15"/>
  <c r="DD35" i="6"/>
  <c r="CI36" i="15"/>
  <c r="DD36" i="6"/>
  <c r="CH33" i="15"/>
  <c r="CH12" i="15"/>
  <c r="CH22" i="15"/>
  <c r="DC22" i="6"/>
  <c r="DD22" i="6"/>
  <c r="CI21" i="15"/>
  <c r="DD20" i="6"/>
  <c r="DC20" i="6"/>
  <c r="CI19" i="15"/>
  <c r="CH14" i="15"/>
  <c r="CH6" i="15"/>
  <c r="CH41" i="15" s="1"/>
  <c r="DD21" i="6"/>
  <c r="CI20" i="15"/>
  <c r="DC21" i="6"/>
  <c r="CH13" i="15"/>
  <c r="CH16" i="15"/>
  <c r="CH28" i="15"/>
  <c r="CH30" i="15"/>
  <c r="CH34" i="15"/>
  <c r="CH25" i="15"/>
  <c r="DC36" i="6"/>
  <c r="CH10" i="15"/>
  <c r="CI15" i="15"/>
  <c r="DD16" i="6"/>
  <c r="DC16" i="6"/>
  <c r="CH31" i="15"/>
  <c r="CH11" i="15"/>
  <c r="CI29" i="15" l="1"/>
  <c r="CI33" i="15"/>
  <c r="CI30" i="15"/>
  <c r="DD14" i="6"/>
  <c r="CI14" i="15"/>
  <c r="DC14" i="6"/>
  <c r="CI28" i="15"/>
  <c r="DC13" i="6"/>
  <c r="DD13" i="6"/>
  <c r="CI13" i="15"/>
  <c r="DD26" i="6"/>
  <c r="CI22" i="15"/>
  <c r="DC26" i="6"/>
  <c r="DD37" i="6"/>
  <c r="DC37" i="6"/>
  <c r="CI31" i="15"/>
  <c r="DD10" i="6"/>
  <c r="DC10" i="6"/>
  <c r="CI10" i="15"/>
  <c r="CI34" i="15"/>
  <c r="DD42" i="6"/>
  <c r="DC42" i="6"/>
  <c r="CI6" i="15"/>
  <c r="CI41" i="15" s="1"/>
  <c r="DD7" i="6"/>
  <c r="DC7" i="6"/>
  <c r="DD12" i="6"/>
  <c r="DC12" i="6"/>
  <c r="CI12" i="15"/>
  <c r="DC11" i="6"/>
  <c r="DD11" i="6"/>
  <c r="CI11" i="15"/>
  <c r="DC32" i="6"/>
  <c r="DD32" i="6"/>
  <c r="CI25" i="15"/>
  <c r="CI16" i="15"/>
  <c r="DC17" i="6"/>
  <c r="DD17" i="6"/>
  <c r="AT4" i="15"/>
  <c r="BJ4" i="15" s="1"/>
  <c r="BW5" i="6"/>
  <c r="BW45" i="6" s="1"/>
  <c r="BJ5" i="6"/>
  <c r="N5" i="5" l="1"/>
  <c r="N45" i="5" s="1"/>
  <c r="BJ45" i="6"/>
  <c r="CH5" i="6"/>
  <c r="BJ39" i="15"/>
  <c r="BJ44" i="15"/>
  <c r="AT44" i="15"/>
  <c r="AT39" i="15"/>
  <c r="BW4" i="15"/>
  <c r="BJ5" i="5" l="1"/>
  <c r="BJ45" i="5" s="1"/>
  <c r="N45" i="1" s="1"/>
  <c r="BJ45" i="1" s="1"/>
  <c r="N45" i="8" s="1"/>
  <c r="BJ45" i="8" s="1"/>
  <c r="N41" i="24" s="1"/>
  <c r="BJ41" i="24" s="1"/>
  <c r="CI5" i="6"/>
  <c r="DC5" i="6" s="1"/>
  <c r="DC45" i="6" s="1"/>
  <c r="CH45" i="6"/>
  <c r="DD5" i="6"/>
  <c r="DD45" i="6" s="1"/>
  <c r="CH4" i="15"/>
  <c r="CH39" i="15" s="1"/>
  <c r="BW39" i="15"/>
  <c r="BW44" i="15"/>
  <c r="N5" i="1" l="1"/>
  <c r="CI4" i="15"/>
  <c r="CI45" i="6"/>
  <c r="CI46" i="6" s="1"/>
  <c r="CH44" i="15"/>
  <c r="BJ5" i="1"/>
  <c r="CI39" i="15" l="1"/>
  <c r="CI44" i="15"/>
  <c r="N5" i="8"/>
  <c r="BJ5" i="8" l="1"/>
  <c r="N5" i="24" l="1"/>
  <c r="BJ5" i="24" l="1"/>
  <c r="BJ47" i="24" s="1"/>
  <c r="N47" i="24"/>
</calcChain>
</file>

<file path=xl/comments1.xml><?xml version="1.0" encoding="utf-8"?>
<comments xmlns="http://schemas.openxmlformats.org/spreadsheetml/2006/main">
  <authors>
    <author>GatoNegro5</author>
  </authors>
  <commentList>
    <comment ref="B22" authorId="0" shapeId="0">
      <text>
        <r>
          <rPr>
            <b/>
            <sz val="9"/>
            <color indexed="81"/>
            <rFont val="Tahoma"/>
            <family val="2"/>
          </rPr>
          <t>GatoNegro5:</t>
        </r>
        <r>
          <rPr>
            <sz val="9"/>
            <color indexed="81"/>
            <rFont val="Tahoma"/>
            <family val="2"/>
          </rPr>
          <t xml:space="preserve">
SALDO MATERIAL PERDIDA
</t>
        </r>
      </text>
    </comment>
  </commentList>
</comments>
</file>

<file path=xl/sharedStrings.xml><?xml version="1.0" encoding="utf-8"?>
<sst xmlns="http://schemas.openxmlformats.org/spreadsheetml/2006/main" count="894" uniqueCount="251">
  <si>
    <t xml:space="preserve">                               S A L D O S   I N I C I A L E S</t>
  </si>
  <si>
    <t xml:space="preserve">                                 L L  E V A N </t>
  </si>
  <si>
    <t xml:space="preserve"> </t>
  </si>
  <si>
    <t xml:space="preserve">                             P  A  G A N </t>
  </si>
  <si>
    <t>SALDOS</t>
  </si>
  <si>
    <t>NOMBRE</t>
  </si>
  <si>
    <t>CAPA SALDO</t>
  </si>
  <si>
    <t>CAPOTE SALDO</t>
  </si>
  <si>
    <t>PICADURA S</t>
  </si>
  <si>
    <t>MAR</t>
  </si>
  <si>
    <t>PAPEL</t>
  </si>
  <si>
    <t>REST</t>
  </si>
  <si>
    <t>TABL</t>
  </si>
  <si>
    <t>MAQ</t>
  </si>
  <si>
    <t>TRAP</t>
  </si>
  <si>
    <t>SILLA</t>
  </si>
  <si>
    <t>PRENS</t>
  </si>
  <si>
    <t>CORT</t>
  </si>
  <si>
    <t xml:space="preserve">CAPA </t>
  </si>
  <si>
    <t xml:space="preserve">CAPOTE </t>
  </si>
  <si>
    <t>PIC</t>
  </si>
  <si>
    <t>CAPA</t>
  </si>
  <si>
    <t>CAPOTE</t>
  </si>
  <si>
    <t>TAB.ENTREG.</t>
  </si>
  <si>
    <t xml:space="preserve">SALDO </t>
  </si>
  <si>
    <t>SALDO</t>
  </si>
  <si>
    <t>VENA</t>
  </si>
  <si>
    <t>RECORTE</t>
  </si>
  <si>
    <t xml:space="preserve">TABACOS RECIBIDOS </t>
  </si>
  <si>
    <t>MATERIALES</t>
  </si>
  <si>
    <t>LLEVAN</t>
  </si>
  <si>
    <t>TOTAL</t>
  </si>
  <si>
    <t>PAGA</t>
  </si>
  <si>
    <t>PICADURA FC</t>
  </si>
  <si>
    <t>SUMINISTROS</t>
  </si>
  <si>
    <t>TABLAS</t>
  </si>
  <si>
    <t>MARCADOR</t>
  </si>
  <si>
    <t>CORTADORES</t>
  </si>
  <si>
    <t>PRECIO CAPA</t>
  </si>
  <si>
    <t>PRECIO CAPOTE</t>
  </si>
  <si>
    <t>PRECIO PICADURA</t>
  </si>
  <si>
    <t>PRECIO TAB.</t>
  </si>
  <si>
    <t>TOTAL A PAGAR</t>
  </si>
  <si>
    <t>PRESTAMOS</t>
  </si>
  <si>
    <t xml:space="preserve">      SUMINISTROS                      </t>
  </si>
  <si>
    <t>AHORROS</t>
  </si>
  <si>
    <t xml:space="preserve">           DESCUENTOS</t>
  </si>
  <si>
    <t xml:space="preserve">                </t>
  </si>
  <si>
    <t>CESTA</t>
  </si>
  <si>
    <t>SALDO INI</t>
  </si>
  <si>
    <t>MAQUINAS</t>
  </si>
  <si>
    <t xml:space="preserve">NOMBRES APELLIDOS </t>
  </si>
  <si>
    <t>PRESTAMOS Y ABONOS FABRIQUINES</t>
  </si>
  <si>
    <t xml:space="preserve">NOMBRE </t>
  </si>
  <si>
    <t>ABONO</t>
  </si>
  <si>
    <t>APELLIDO</t>
  </si>
  <si>
    <t>INICIAL</t>
  </si>
  <si>
    <t>PRESTAMO</t>
  </si>
  <si>
    <t>AHORROS Y RETIROS FABRIQUINES FABRIQUINES</t>
  </si>
  <si>
    <t>RETIRO</t>
  </si>
  <si>
    <t>TOTAL MATERIAL</t>
  </si>
  <si>
    <t xml:space="preserve">OTRAS </t>
  </si>
  <si>
    <t>DEDUCCIONES</t>
  </si>
  <si>
    <t>TABACOS</t>
  </si>
  <si>
    <t xml:space="preserve">           S A L D O S   I N I C I A L E S</t>
  </si>
  <si>
    <t>SILLAS</t>
  </si>
  <si>
    <t>GOMA</t>
  </si>
  <si>
    <t>TRAPOS</t>
  </si>
  <si>
    <t xml:space="preserve">PRESTAMO </t>
  </si>
  <si>
    <t xml:space="preserve">ABONO </t>
  </si>
  <si>
    <t>PICADURA</t>
  </si>
  <si>
    <t>SACAS</t>
  </si>
  <si>
    <t>CODIGO</t>
  </si>
  <si>
    <t>NOMBRE Y APELLIDO</t>
  </si>
  <si>
    <t>LUNES</t>
  </si>
  <si>
    <t>MARTES</t>
  </si>
  <si>
    <t>JUEVES</t>
  </si>
  <si>
    <t>VIERNES</t>
  </si>
  <si>
    <t xml:space="preserve">TOTAL </t>
  </si>
  <si>
    <t>al</t>
  </si>
  <si>
    <t>AHORRO</t>
  </si>
  <si>
    <t xml:space="preserve">TABACOS </t>
  </si>
  <si>
    <t xml:space="preserve">RECORTE </t>
  </si>
  <si>
    <t xml:space="preserve">VENA </t>
  </si>
  <si>
    <t xml:space="preserve">CEDULA </t>
  </si>
  <si>
    <t>TOTAL BS</t>
  </si>
  <si>
    <t>CEDULA</t>
  </si>
  <si>
    <t xml:space="preserve">BS TABACOS </t>
  </si>
  <si>
    <t xml:space="preserve">TOTAL PAGAR </t>
  </si>
  <si>
    <t xml:space="preserve">FIRMA </t>
  </si>
  <si>
    <t>AMARILLAS</t>
  </si>
  <si>
    <t>AZULES</t>
  </si>
  <si>
    <t>ROJAS</t>
  </si>
  <si>
    <t xml:space="preserve">NEGRAS </t>
  </si>
  <si>
    <t xml:space="preserve">TRAEN </t>
  </si>
  <si>
    <t>NEGRAS</t>
  </si>
  <si>
    <t xml:space="preserve">CODIGO </t>
  </si>
  <si>
    <t>MIERCOLES</t>
  </si>
  <si>
    <t xml:space="preserve">SABADO </t>
  </si>
  <si>
    <t xml:space="preserve">DEL </t>
  </si>
  <si>
    <t xml:space="preserve">RECEPCION DE CESTAS DE TABACOS FABRIQUINES </t>
  </si>
  <si>
    <t xml:space="preserve">PICADURA </t>
  </si>
  <si>
    <t>REZAGOS</t>
  </si>
  <si>
    <t xml:space="preserve">REZAGOS </t>
  </si>
  <si>
    <t>PESOS</t>
  </si>
  <si>
    <r>
      <t xml:space="preserve">TOTAL A PAGAR </t>
    </r>
    <r>
      <rPr>
        <b/>
        <u/>
        <sz val="12"/>
        <color indexed="8"/>
        <rFont val="Arial"/>
        <family val="2"/>
      </rPr>
      <t>$</t>
    </r>
  </si>
  <si>
    <t xml:space="preserve">TOTAL A PAGAR PESOS </t>
  </si>
  <si>
    <t xml:space="preserve">PRENSA </t>
  </si>
  <si>
    <t xml:space="preserve">CESTAS </t>
  </si>
  <si>
    <t xml:space="preserve">PRESYAMOS </t>
  </si>
  <si>
    <t xml:space="preserve">Tabacos </t>
  </si>
  <si>
    <t xml:space="preserve">FECHA </t>
  </si>
  <si>
    <t xml:space="preserve">COMPRAS </t>
  </si>
  <si>
    <t>MARCADORES</t>
  </si>
  <si>
    <t>RESORTES</t>
  </si>
  <si>
    <t xml:space="preserve">PICADURA SALDO </t>
  </si>
  <si>
    <t>PACORAS</t>
  </si>
  <si>
    <t xml:space="preserve">PRECIO </t>
  </si>
  <si>
    <t>PRECIO</t>
  </si>
  <si>
    <t>CORTADOR</t>
  </si>
  <si>
    <t>PRENSA</t>
  </si>
  <si>
    <t>CC-60.413.802</t>
  </si>
  <si>
    <t>V-11.017.442</t>
  </si>
  <si>
    <t>V-18.718.244</t>
  </si>
  <si>
    <t xml:space="preserve">PACORA </t>
  </si>
  <si>
    <t>PACORA</t>
  </si>
  <si>
    <t>TOTAL TABACOS</t>
  </si>
  <si>
    <t>TOTAL $</t>
  </si>
  <si>
    <t>V-9.130.173</t>
  </si>
  <si>
    <t>V-28,636.032</t>
  </si>
  <si>
    <t>CC.60.402,510</t>
  </si>
  <si>
    <t>V-29,664.726</t>
  </si>
  <si>
    <t>CC-5.535.335</t>
  </si>
  <si>
    <t>V-5.642.663</t>
  </si>
  <si>
    <t>CC.79.336.610</t>
  </si>
  <si>
    <t>V-23.095.433</t>
  </si>
  <si>
    <t>V-11.021.605</t>
  </si>
  <si>
    <t>CC-60.412.324</t>
  </si>
  <si>
    <t>CC-37.543.611</t>
  </si>
  <si>
    <t>CC-37.221.293</t>
  </si>
  <si>
    <t>V-14,975,665</t>
  </si>
  <si>
    <t>V-8,988,550</t>
  </si>
  <si>
    <t xml:space="preserve">GOMA </t>
  </si>
  <si>
    <t>PAPPEL</t>
  </si>
  <si>
    <t>RESIST</t>
  </si>
  <si>
    <t>MAQUINA</t>
  </si>
  <si>
    <t>V-8.986.394</t>
  </si>
  <si>
    <t>V-11.021.592</t>
  </si>
  <si>
    <t xml:space="preserve">AORROS </t>
  </si>
  <si>
    <t>NOMBRE Y APELLIDOS</t>
  </si>
  <si>
    <t>CC-88.193.514</t>
  </si>
  <si>
    <t>CUCHILLAS</t>
  </si>
  <si>
    <t>V-13.365.579</t>
  </si>
  <si>
    <t>V-15,774,803</t>
  </si>
  <si>
    <t>V-21.033.815</t>
  </si>
  <si>
    <t>V-5.327.891</t>
  </si>
  <si>
    <t>RLO</t>
  </si>
  <si>
    <t>ROLO</t>
  </si>
  <si>
    <t>CUCILLAS</t>
  </si>
  <si>
    <t xml:space="preserve">                                                         </t>
  </si>
  <si>
    <t>V-15.956.387</t>
  </si>
  <si>
    <t>No</t>
  </si>
  <si>
    <t>MES ENERO 2025</t>
  </si>
  <si>
    <t>MES DE ENERO 2025</t>
  </si>
  <si>
    <t xml:space="preserve">PACORAS </t>
  </si>
  <si>
    <t xml:space="preserve">                                                                                                                                       </t>
  </si>
  <si>
    <t xml:space="preserve">                 </t>
  </si>
  <si>
    <t>SEMANA DEL 28 AL 5 DE JULIO DEL 2025</t>
  </si>
  <si>
    <t>FABRIQUINES SEMANA # 26</t>
  </si>
  <si>
    <t>PRODUCCION # 25</t>
  </si>
  <si>
    <t>V-22.633.248</t>
  </si>
  <si>
    <t>V-25.344.223</t>
  </si>
  <si>
    <t>V-17.465.799</t>
  </si>
  <si>
    <t>CC-60.407.054</t>
  </si>
  <si>
    <t>V-15.958.666</t>
  </si>
  <si>
    <t>V-22.680.548</t>
  </si>
  <si>
    <t>V-8991.028</t>
  </si>
  <si>
    <t>CC-1.092.340.667</t>
  </si>
  <si>
    <t xml:space="preserve">ENCAPADO </t>
  </si>
  <si>
    <t>MESENERO 2026</t>
  </si>
  <si>
    <t xml:space="preserve">CONTROL DE REZAGOS </t>
  </si>
  <si>
    <t xml:space="preserve">OBSERVACIONES </t>
  </si>
  <si>
    <t>AC</t>
  </si>
  <si>
    <t>BNA</t>
  </si>
  <si>
    <t>E.R</t>
  </si>
  <si>
    <t>E.R.S</t>
  </si>
  <si>
    <t>E.L</t>
  </si>
  <si>
    <t>E.REYES</t>
  </si>
  <si>
    <t>G.Z</t>
  </si>
  <si>
    <t>G.R</t>
  </si>
  <si>
    <t>H.A</t>
  </si>
  <si>
    <t>H.S</t>
  </si>
  <si>
    <t>H.L</t>
  </si>
  <si>
    <t>J.E.G</t>
  </si>
  <si>
    <t>J,J</t>
  </si>
  <si>
    <t>K.S</t>
  </si>
  <si>
    <t>L.M.A</t>
  </si>
  <si>
    <t>L,R</t>
  </si>
  <si>
    <t>L.V.C</t>
  </si>
  <si>
    <t>L,V</t>
  </si>
  <si>
    <t>L.E.A</t>
  </si>
  <si>
    <t>L.S.S</t>
  </si>
  <si>
    <t>M.E.C</t>
  </si>
  <si>
    <t>P.A</t>
  </si>
  <si>
    <t>P.B</t>
  </si>
  <si>
    <t>R.P</t>
  </si>
  <si>
    <t>S.A</t>
  </si>
  <si>
    <t>R.A</t>
  </si>
  <si>
    <t>H.R.A</t>
  </si>
  <si>
    <t>R.M.D</t>
  </si>
  <si>
    <t>S.SILVA</t>
  </si>
  <si>
    <t>T.R</t>
  </si>
  <si>
    <t>Y.P</t>
  </si>
  <si>
    <t>Y.R.</t>
  </si>
  <si>
    <t>Y.B</t>
  </si>
  <si>
    <t xml:space="preserve">ENCINTADOS </t>
  </si>
  <si>
    <t xml:space="preserve">CORTOS LA MEDIDA </t>
  </si>
  <si>
    <t xml:space="preserve">ROTOS </t>
  </si>
  <si>
    <t xml:space="preserve">DESCONADOS </t>
  </si>
  <si>
    <t>PERILLAS MALAS</t>
  </si>
  <si>
    <t xml:space="preserve">TABACO TRIPUDO </t>
  </si>
  <si>
    <t xml:space="preserve">ALBA SANABRIA </t>
  </si>
  <si>
    <t>A.S</t>
  </si>
  <si>
    <t>R.C</t>
  </si>
  <si>
    <t>R.M.</t>
  </si>
  <si>
    <t>M.M.</t>
  </si>
  <si>
    <t>R.R.</t>
  </si>
  <si>
    <t>R.D.</t>
  </si>
  <si>
    <t>M.S.</t>
  </si>
  <si>
    <t>M.B.</t>
  </si>
  <si>
    <t>V-20.427.079</t>
  </si>
  <si>
    <t xml:space="preserve">SANDRA MORENO </t>
  </si>
  <si>
    <t>V-18.355.048</t>
  </si>
  <si>
    <t>FABRIQUINES SEMANA # 9</t>
  </si>
  <si>
    <t>PRODUCCION # 8</t>
  </si>
  <si>
    <t>PRODUCCION # 6</t>
  </si>
  <si>
    <t>SEMANA # 9 DEL  2 AL 7 DE MARZO  DEL 2026</t>
  </si>
  <si>
    <t>SEMANA 10 DEL 7 AL 14 DE MARZO  2026</t>
  </si>
  <si>
    <t>FABRIQUINES SEMANA # 10</t>
  </si>
  <si>
    <t>PRODUCCION # 7</t>
  </si>
  <si>
    <t>FABRIQUINES SEMANA # 11</t>
  </si>
  <si>
    <t>SEMANA11  DEL 14 AL 21 DE MARZO DEL 2026</t>
  </si>
  <si>
    <t>FABRIQUINES SEMANA # 12</t>
  </si>
  <si>
    <t>PRODUCCION # 9</t>
  </si>
  <si>
    <t>SEMANA 12 DEL 21 AL 28 DE MARZO DEL 2026</t>
  </si>
  <si>
    <t>MES MARZO 2026</t>
  </si>
  <si>
    <t>CC-1.102.348.573</t>
  </si>
  <si>
    <t>SANDRA MILENA ANTOLINES</t>
  </si>
  <si>
    <t>MARIELA MARTINEZ</t>
  </si>
  <si>
    <t xml:space="preserve">MANUEL CONTRERAS </t>
  </si>
  <si>
    <t xml:space="preserve">YEFERSON CONTRERAS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</si>
</sst>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64" formatCode="_(* #,##0.00_);_(* \(#,##0.00\);_(* &quot;-&quot;??_);_(@_)"/>
    <numFmt numFmtId="165" formatCode="_-* #,##0\ _€_-;\-* #,##0\ _€_-;_-* &quot;-&quot;\ _€_-;_-@_-"/>
    <numFmt numFmtId="166" formatCode="_-* #,##0.00\ _€_-;\-* #,##0.00\ _€_-;_-* &quot;-&quot;??\ _€_-;_-@_-"/>
    <numFmt numFmtId="167" formatCode="_-* #,##0.0\ _€_-;\-* #,##0.0\ _€_-;_-* &quot;-&quot;??\ _€_-;_-@_-"/>
    <numFmt numFmtId="168" formatCode="0.0"/>
    <numFmt numFmtId="169" formatCode="#,##0.0"/>
    <numFmt numFmtId="170" formatCode="_-* #,##0.0\ _€_-;\-* #,##0.0\ _€_-;_-* &quot;-&quot;?\ _€_-;_-@_-"/>
    <numFmt numFmtId="171" formatCode="_ * #,##0.0_ ;_ * \-#,##0.0_ ;_ * &quot;-&quot;?_ ;_ @_ "/>
    <numFmt numFmtId="172" formatCode="#,##0.00_ ;\-#,##0.00\ "/>
  </numFmts>
  <fonts count="3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0"/>
      <name val="Arial"/>
      <family val="2"/>
    </font>
    <font>
      <b/>
      <sz val="18"/>
      <name val="Arial"/>
      <family val="2"/>
    </font>
    <font>
      <b/>
      <sz val="18"/>
      <name val="Algerian"/>
      <family val="5"/>
    </font>
    <font>
      <b/>
      <u/>
      <sz val="12"/>
      <color indexed="8"/>
      <name val="Arial"/>
      <family val="2"/>
    </font>
    <font>
      <b/>
      <sz val="12"/>
      <color theme="7" tint="0.59999389629810485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Engravers MT"/>
      <family val="1"/>
    </font>
    <font>
      <sz val="12"/>
      <name val="Engravers MT"/>
      <family val="1"/>
    </font>
    <font>
      <sz val="14"/>
      <color theme="1"/>
      <name val="Algerian"/>
      <family val="5"/>
    </font>
    <font>
      <sz val="16"/>
      <color theme="1"/>
      <name val="Algerian"/>
      <family val="5"/>
    </font>
    <font>
      <b/>
      <sz val="16"/>
      <name val="Arial"/>
      <family val="2"/>
    </font>
    <font>
      <sz val="20"/>
      <name val="Algerian"/>
      <family val="5"/>
    </font>
    <font>
      <sz val="16"/>
      <name val="Arial Black"/>
      <family val="2"/>
    </font>
  </fonts>
  <fills count="2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FE1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418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/>
    <xf numFmtId="0" fontId="2" fillId="4" borderId="5" xfId="0" applyFont="1" applyFill="1" applyBorder="1"/>
    <xf numFmtId="0" fontId="2" fillId="5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6" fillId="6" borderId="0" xfId="0" applyFont="1" applyFill="1"/>
    <xf numFmtId="0" fontId="2" fillId="6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49" fontId="7" fillId="6" borderId="0" xfId="0" applyNumberFormat="1" applyFont="1" applyFill="1" applyAlignment="1">
      <alignment horizontal="center"/>
    </xf>
    <xf numFmtId="0" fontId="8" fillId="6" borderId="0" xfId="0" applyFont="1" applyFill="1"/>
    <xf numFmtId="0" fontId="0" fillId="8" borderId="14" xfId="0" applyFill="1" applyBorder="1"/>
    <xf numFmtId="0" fontId="10" fillId="10" borderId="15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49" fontId="2" fillId="6" borderId="0" xfId="0" applyNumberFormat="1" applyFont="1" applyFill="1" applyAlignment="1">
      <alignment horizontal="center"/>
    </xf>
    <xf numFmtId="165" fontId="6" fillId="6" borderId="0" xfId="0" applyNumberFormat="1" applyFont="1" applyFill="1"/>
    <xf numFmtId="165" fontId="8" fillId="6" borderId="0" xfId="0" applyNumberFormat="1" applyFont="1" applyFill="1"/>
    <xf numFmtId="165" fontId="0" fillId="6" borderId="0" xfId="0" applyNumberFormat="1" applyFill="1"/>
    <xf numFmtId="165" fontId="0" fillId="0" borderId="0" xfId="0" applyNumberFormat="1"/>
    <xf numFmtId="0" fontId="5" fillId="6" borderId="0" xfId="0" applyFont="1" applyFill="1"/>
    <xf numFmtId="0" fontId="5" fillId="0" borderId="0" xfId="0" applyFont="1"/>
    <xf numFmtId="166" fontId="0" fillId="0" borderId="0" xfId="0" applyNumberFormat="1"/>
    <xf numFmtId="0" fontId="6" fillId="0" borderId="0" xfId="0" applyFont="1" applyAlignment="1">
      <alignment horizontal="center"/>
    </xf>
    <xf numFmtId="166" fontId="0" fillId="6" borderId="0" xfId="1" applyFont="1" applyFill="1"/>
    <xf numFmtId="0" fontId="4" fillId="6" borderId="0" xfId="0" applyFont="1" applyFill="1"/>
    <xf numFmtId="166" fontId="11" fillId="0" borderId="0" xfId="1" applyFont="1"/>
    <xf numFmtId="0" fontId="4" fillId="6" borderId="5" xfId="0" applyFont="1" applyFill="1" applyBorder="1"/>
    <xf numFmtId="2" fontId="9" fillId="11" borderId="16" xfId="0" applyNumberFormat="1" applyFont="1" applyFill="1" applyBorder="1"/>
    <xf numFmtId="2" fontId="9" fillId="11" borderId="15" xfId="0" applyNumberFormat="1" applyFont="1" applyFill="1" applyBorder="1"/>
    <xf numFmtId="2" fontId="10" fillId="11" borderId="8" xfId="0" applyNumberFormat="1" applyFont="1" applyFill="1" applyBorder="1"/>
    <xf numFmtId="2" fontId="10" fillId="11" borderId="5" xfId="0" applyNumberFormat="1" applyFont="1" applyFill="1" applyBorder="1"/>
    <xf numFmtId="0" fontId="6" fillId="0" borderId="0" xfId="0" applyFont="1" applyAlignment="1">
      <alignment horizontal="left"/>
    </xf>
    <xf numFmtId="0" fontId="14" fillId="12" borderId="0" xfId="0" applyFont="1" applyFill="1"/>
    <xf numFmtId="0" fontId="6" fillId="0" borderId="5" xfId="0" applyFont="1" applyBorder="1"/>
    <xf numFmtId="0" fontId="6" fillId="16" borderId="5" xfId="0" applyFont="1" applyFill="1" applyBorder="1" applyAlignment="1">
      <alignment horizontal="center" vertical="center"/>
    </xf>
    <xf numFmtId="0" fontId="6" fillId="16" borderId="5" xfId="0" applyFont="1" applyFill="1" applyBorder="1"/>
    <xf numFmtId="0" fontId="1" fillId="0" borderId="0" xfId="0" applyFont="1"/>
    <xf numFmtId="0" fontId="1" fillId="0" borderId="5" xfId="0" applyFont="1" applyBorder="1"/>
    <xf numFmtId="0" fontId="0" fillId="0" borderId="5" xfId="0" applyBorder="1"/>
    <xf numFmtId="167" fontId="0" fillId="0" borderId="0" xfId="0" applyNumberFormat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8" fillId="0" borderId="5" xfId="0" applyFont="1" applyBorder="1"/>
    <xf numFmtId="0" fontId="16" fillId="0" borderId="5" xfId="0" applyFont="1" applyBorder="1"/>
    <xf numFmtId="0" fontId="8" fillId="0" borderId="0" xfId="0" applyFont="1"/>
    <xf numFmtId="0" fontId="0" fillId="0" borderId="26" xfId="0" applyBorder="1"/>
    <xf numFmtId="0" fontId="0" fillId="0" borderId="8" xfId="0" applyBorder="1"/>
    <xf numFmtId="0" fontId="12" fillId="0" borderId="5" xfId="0" applyFont="1" applyBorder="1"/>
    <xf numFmtId="0" fontId="1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5" fillId="0" borderId="9" xfId="0" applyFont="1" applyBorder="1"/>
    <xf numFmtId="0" fontId="15" fillId="0" borderId="18" xfId="0" applyFont="1" applyBorder="1"/>
    <xf numFmtId="16" fontId="15" fillId="0" borderId="18" xfId="0" applyNumberFormat="1" applyFont="1" applyBorder="1"/>
    <xf numFmtId="0" fontId="0" fillId="0" borderId="18" xfId="0" applyBorder="1"/>
    <xf numFmtId="0" fontId="15" fillId="0" borderId="13" xfId="0" applyFont="1" applyBorder="1"/>
    <xf numFmtId="0" fontId="15" fillId="0" borderId="26" xfId="0" applyFont="1" applyBorder="1"/>
    <xf numFmtId="0" fontId="15" fillId="0" borderId="26" xfId="0" applyFont="1" applyBorder="1" applyAlignment="1">
      <alignment horizontal="center"/>
    </xf>
    <xf numFmtId="16" fontId="15" fillId="0" borderId="26" xfId="0" applyNumberFormat="1" applyFont="1" applyBorder="1"/>
    <xf numFmtId="0" fontId="0" fillId="0" borderId="23" xfId="0" applyBorder="1"/>
    <xf numFmtId="0" fontId="17" fillId="0" borderId="0" xfId="0" applyFont="1" applyAlignment="1">
      <alignment horizontal="center"/>
    </xf>
    <xf numFmtId="4" fontId="0" fillId="0" borderId="0" xfId="0" applyNumberFormat="1"/>
    <xf numFmtId="0" fontId="4" fillId="6" borderId="0" xfId="0" applyFont="1" applyFill="1" applyAlignment="1">
      <alignment horizontal="left"/>
    </xf>
    <xf numFmtId="0" fontId="6" fillId="6" borderId="5" xfId="0" applyFont="1" applyFill="1" applyBorder="1"/>
    <xf numFmtId="166" fontId="8" fillId="0" borderId="5" xfId="1" applyFont="1" applyBorder="1" applyAlignment="1">
      <alignment horizontal="center"/>
    </xf>
    <xf numFmtId="166" fontId="8" fillId="0" borderId="5" xfId="1" applyFont="1" applyBorder="1"/>
    <xf numFmtId="166" fontId="8" fillId="6" borderId="0" xfId="1" applyFont="1" applyFill="1"/>
    <xf numFmtId="169" fontId="6" fillId="6" borderId="7" xfId="0" applyNumberFormat="1" applyFont="1" applyFill="1" applyBorder="1" applyAlignment="1">
      <alignment horizontal="center"/>
    </xf>
    <xf numFmtId="168" fontId="6" fillId="6" borderId="7" xfId="0" applyNumberFormat="1" applyFont="1" applyFill="1" applyBorder="1"/>
    <xf numFmtId="168" fontId="6" fillId="6" borderId="5" xfId="0" applyNumberFormat="1" applyFont="1" applyFill="1" applyBorder="1"/>
    <xf numFmtId="166" fontId="8" fillId="0" borderId="0" xfId="1" applyFont="1"/>
    <xf numFmtId="0" fontId="8" fillId="11" borderId="5" xfId="0" applyFont="1" applyFill="1" applyBorder="1"/>
    <xf numFmtId="0" fontId="6" fillId="0" borderId="0" xfId="0" applyFont="1"/>
    <xf numFmtId="0" fontId="6" fillId="19" borderId="1" xfId="0" applyFont="1" applyFill="1" applyBorder="1"/>
    <xf numFmtId="0" fontId="8" fillId="19" borderId="1" xfId="0" applyFont="1" applyFill="1" applyBorder="1"/>
    <xf numFmtId="0" fontId="8" fillId="19" borderId="2" xfId="0" applyFont="1" applyFill="1" applyBorder="1"/>
    <xf numFmtId="0" fontId="6" fillId="18" borderId="3" xfId="0" applyFont="1" applyFill="1" applyBorder="1" applyAlignment="1">
      <alignment horizontal="left"/>
    </xf>
    <xf numFmtId="0" fontId="6" fillId="18" borderId="4" xfId="0" applyFont="1" applyFill="1" applyBorder="1" applyAlignment="1">
      <alignment horizontal="left"/>
    </xf>
    <xf numFmtId="0" fontId="6" fillId="18" borderId="4" xfId="0" applyFont="1" applyFill="1" applyBorder="1"/>
    <xf numFmtId="0" fontId="6" fillId="18" borderId="5" xfId="0" applyFont="1" applyFill="1" applyBorder="1"/>
    <xf numFmtId="0" fontId="8" fillId="17" borderId="14" xfId="0" applyFont="1" applyFill="1" applyBorder="1"/>
    <xf numFmtId="0" fontId="8" fillId="21" borderId="6" xfId="0" applyFont="1" applyFill="1" applyBorder="1"/>
    <xf numFmtId="2" fontId="19" fillId="21" borderId="6" xfId="0" applyNumberFormat="1" applyFont="1" applyFill="1" applyBorder="1"/>
    <xf numFmtId="2" fontId="20" fillId="21" borderId="6" xfId="0" applyNumberFormat="1" applyFont="1" applyFill="1" applyBorder="1" applyAlignment="1">
      <alignment horizontal="center"/>
    </xf>
    <xf numFmtId="2" fontId="20" fillId="21" borderId="15" xfId="0" applyNumberFormat="1" applyFont="1" applyFill="1" applyBorder="1" applyAlignment="1">
      <alignment horizontal="center"/>
    </xf>
    <xf numFmtId="2" fontId="20" fillId="22" borderId="15" xfId="0" applyNumberFormat="1" applyFont="1" applyFill="1" applyBorder="1" applyAlignment="1">
      <alignment horizontal="left"/>
    </xf>
    <xf numFmtId="2" fontId="20" fillId="15" borderId="15" xfId="0" applyNumberFormat="1" applyFont="1" applyFill="1" applyBorder="1" applyAlignment="1">
      <alignment horizontal="center"/>
    </xf>
    <xf numFmtId="0" fontId="19" fillId="15" borderId="15" xfId="0" applyFont="1" applyFill="1" applyBorder="1"/>
    <xf numFmtId="0" fontId="19" fillId="15" borderId="17" xfId="0" applyFont="1" applyFill="1" applyBorder="1"/>
    <xf numFmtId="49" fontId="6" fillId="6" borderId="0" xfId="0" applyNumberFormat="1" applyFont="1" applyFill="1" applyAlignment="1">
      <alignment horizontal="center"/>
    </xf>
    <xf numFmtId="0" fontId="6" fillId="13" borderId="7" xfId="0" applyFont="1" applyFill="1" applyBorder="1"/>
    <xf numFmtId="0" fontId="6" fillId="19" borderId="7" xfId="0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horizontal="center" vertical="center"/>
    </xf>
    <xf numFmtId="0" fontId="6" fillId="20" borderId="8" xfId="0" applyFont="1" applyFill="1" applyBorder="1"/>
    <xf numFmtId="0" fontId="6" fillId="20" borderId="5" xfId="0" applyFont="1" applyFill="1" applyBorder="1"/>
    <xf numFmtId="0" fontId="6" fillId="17" borderId="7" xfId="0" applyFont="1" applyFill="1" applyBorder="1"/>
    <xf numFmtId="2" fontId="20" fillId="21" borderId="18" xfId="0" applyNumberFormat="1" applyFont="1" applyFill="1" applyBorder="1" applyAlignment="1">
      <alignment horizontal="center"/>
    </xf>
    <xf numFmtId="2" fontId="20" fillId="22" borderId="8" xfId="0" applyNumberFormat="1" applyFont="1" applyFill="1" applyBorder="1" applyAlignment="1">
      <alignment horizontal="center"/>
    </xf>
    <xf numFmtId="2" fontId="20" fillId="22" borderId="9" xfId="0" applyNumberFormat="1" applyFont="1" applyFill="1" applyBorder="1" applyAlignment="1">
      <alignment horizontal="center"/>
    </xf>
    <xf numFmtId="2" fontId="20" fillId="15" borderId="8" xfId="0" applyNumberFormat="1" applyFont="1" applyFill="1" applyBorder="1"/>
    <xf numFmtId="2" fontId="20" fillId="15" borderId="5" xfId="0" applyNumberFormat="1" applyFont="1" applyFill="1" applyBorder="1"/>
    <xf numFmtId="0" fontId="20" fillId="15" borderId="5" xfId="0" applyFont="1" applyFill="1" applyBorder="1"/>
    <xf numFmtId="0" fontId="20" fillId="15" borderId="21" xfId="0" applyFont="1" applyFill="1" applyBorder="1"/>
    <xf numFmtId="0" fontId="6" fillId="6" borderId="0" xfId="0" applyFont="1" applyFill="1" applyAlignment="1">
      <alignment horizontal="left"/>
    </xf>
    <xf numFmtId="4" fontId="6" fillId="6" borderId="0" xfId="0" applyNumberFormat="1" applyFont="1" applyFill="1"/>
    <xf numFmtId="166" fontId="8" fillId="6" borderId="5" xfId="1" applyFont="1" applyFill="1" applyBorder="1" applyAlignment="1">
      <alignment horizontal="center"/>
    </xf>
    <xf numFmtId="4" fontId="8" fillId="6" borderId="5" xfId="1" applyNumberFormat="1" applyFont="1" applyFill="1" applyBorder="1" applyAlignment="1">
      <alignment horizontal="center"/>
    </xf>
    <xf numFmtId="170" fontId="8" fillId="0" borderId="0" xfId="0" applyNumberFormat="1" applyFont="1"/>
    <xf numFmtId="0" fontId="8" fillId="14" borderId="0" xfId="0" applyFont="1" applyFill="1"/>
    <xf numFmtId="2" fontId="8" fillId="17" borderId="14" xfId="0" applyNumberFormat="1" applyFont="1" applyFill="1" applyBorder="1"/>
    <xf numFmtId="2" fontId="8" fillId="0" borderId="12" xfId="0" applyNumberFormat="1" applyFont="1" applyBorder="1"/>
    <xf numFmtId="2" fontId="8" fillId="21" borderId="6" xfId="0" applyNumberFormat="1" applyFont="1" applyFill="1" applyBorder="1"/>
    <xf numFmtId="2" fontId="20" fillId="23" borderId="6" xfId="0" applyNumberFormat="1" applyFont="1" applyFill="1" applyBorder="1" applyAlignment="1">
      <alignment horizontal="center"/>
    </xf>
    <xf numFmtId="2" fontId="20" fillId="23" borderId="15" xfId="0" applyNumberFormat="1" applyFont="1" applyFill="1" applyBorder="1" applyAlignment="1">
      <alignment horizontal="center"/>
    </xf>
    <xf numFmtId="2" fontId="20" fillId="23" borderId="15" xfId="0" applyNumberFormat="1" applyFont="1" applyFill="1" applyBorder="1" applyAlignment="1">
      <alignment horizontal="left"/>
    </xf>
    <xf numFmtId="2" fontId="19" fillId="15" borderId="16" xfId="0" applyNumberFormat="1" applyFont="1" applyFill="1" applyBorder="1"/>
    <xf numFmtId="2" fontId="19" fillId="15" borderId="15" xfId="0" applyNumberFormat="1" applyFont="1" applyFill="1" applyBorder="1"/>
    <xf numFmtId="2" fontId="6" fillId="20" borderId="8" xfId="0" applyNumberFormat="1" applyFont="1" applyFill="1" applyBorder="1"/>
    <xf numFmtId="2" fontId="6" fillId="20" borderId="5" xfId="0" applyNumberFormat="1" applyFont="1" applyFill="1" applyBorder="1"/>
    <xf numFmtId="2" fontId="6" fillId="17" borderId="7" xfId="0" applyNumberFormat="1" applyFont="1" applyFill="1" applyBorder="1"/>
    <xf numFmtId="0" fontId="21" fillId="12" borderId="0" xfId="0" applyFont="1" applyFill="1"/>
    <xf numFmtId="0" fontId="19" fillId="0" borderId="0" xfId="0" applyFont="1"/>
    <xf numFmtId="0" fontId="6" fillId="0" borderId="7" xfId="0" applyFont="1" applyBorder="1"/>
    <xf numFmtId="2" fontId="20" fillId="22" borderId="18" xfId="0" applyNumberFormat="1" applyFont="1" applyFill="1" applyBorder="1" applyAlignment="1">
      <alignment horizontal="center"/>
    </xf>
    <xf numFmtId="0" fontId="6" fillId="15" borderId="16" xfId="0" applyFont="1" applyFill="1" applyBorder="1" applyAlignment="1">
      <alignment horizontal="center"/>
    </xf>
    <xf numFmtId="0" fontId="6" fillId="15" borderId="15" xfId="0" applyFont="1" applyFill="1" applyBorder="1" applyAlignment="1">
      <alignment horizontal="center"/>
    </xf>
    <xf numFmtId="0" fontId="6" fillId="15" borderId="17" xfId="0" applyFont="1" applyFill="1" applyBorder="1" applyAlignment="1">
      <alignment horizontal="center"/>
    </xf>
    <xf numFmtId="0" fontId="20" fillId="15" borderId="15" xfId="0" applyFont="1" applyFill="1" applyBorder="1"/>
    <xf numFmtId="167" fontId="6" fillId="0" borderId="0" xfId="0" applyNumberFormat="1" applyFont="1"/>
    <xf numFmtId="170" fontId="6" fillId="0" borderId="0" xfId="0" applyNumberFormat="1" applyFont="1"/>
    <xf numFmtId="167" fontId="8" fillId="0" borderId="0" xfId="1" applyNumberFormat="1" applyFont="1" applyAlignment="1">
      <alignment horizontal="center"/>
    </xf>
    <xf numFmtId="0" fontId="22" fillId="6" borderId="0" xfId="0" applyFont="1" applyFill="1" applyAlignment="1">
      <alignment horizontal="center"/>
    </xf>
    <xf numFmtId="49" fontId="22" fillId="6" borderId="0" xfId="0" applyNumberFormat="1" applyFont="1" applyFill="1" applyAlignment="1">
      <alignment horizontal="center"/>
    </xf>
    <xf numFmtId="168" fontId="6" fillId="6" borderId="0" xfId="0" applyNumberFormat="1" applyFont="1" applyFill="1"/>
    <xf numFmtId="0" fontId="8" fillId="9" borderId="3" xfId="0" applyFont="1" applyFill="1" applyBorder="1"/>
    <xf numFmtId="0" fontId="8" fillId="9" borderId="19" xfId="0" applyFont="1" applyFill="1" applyBorder="1"/>
    <xf numFmtId="0" fontId="8" fillId="9" borderId="4" xfId="0" applyFont="1" applyFill="1" applyBorder="1"/>
    <xf numFmtId="0" fontId="8" fillId="9" borderId="20" xfId="0" applyFont="1" applyFill="1" applyBorder="1"/>
    <xf numFmtId="0" fontId="8" fillId="11" borderId="7" xfId="0" applyFont="1" applyFill="1" applyBorder="1"/>
    <xf numFmtId="169" fontId="8" fillId="6" borderId="7" xfId="0" applyNumberFormat="1" applyFont="1" applyFill="1" applyBorder="1" applyAlignment="1">
      <alignment horizontal="center"/>
    </xf>
    <xf numFmtId="167" fontId="8" fillId="6" borderId="7" xfId="0" applyNumberFormat="1" applyFont="1" applyFill="1" applyBorder="1" applyAlignment="1">
      <alignment horizontal="center"/>
    </xf>
    <xf numFmtId="168" fontId="8" fillId="6" borderId="7" xfId="0" applyNumberFormat="1" applyFont="1" applyFill="1" applyBorder="1"/>
    <xf numFmtId="167" fontId="8" fillId="6" borderId="7" xfId="0" applyNumberFormat="1" applyFont="1" applyFill="1" applyBorder="1"/>
    <xf numFmtId="168" fontId="8" fillId="6" borderId="5" xfId="0" applyNumberFormat="1" applyFont="1" applyFill="1" applyBorder="1"/>
    <xf numFmtId="2" fontId="8" fillId="15" borderId="15" xfId="0" applyNumberFormat="1" applyFont="1" applyFill="1" applyBorder="1"/>
    <xf numFmtId="2" fontId="6" fillId="15" borderId="5" xfId="0" applyNumberFormat="1" applyFont="1" applyFill="1" applyBorder="1"/>
    <xf numFmtId="4" fontId="6" fillId="6" borderId="5" xfId="0" applyNumberFormat="1" applyFont="1" applyFill="1" applyBorder="1" applyAlignment="1">
      <alignment horizontal="center"/>
    </xf>
    <xf numFmtId="0" fontId="0" fillId="0" borderId="27" xfId="0" applyBorder="1"/>
    <xf numFmtId="0" fontId="8" fillId="0" borderId="12" xfId="0" applyFont="1" applyBorder="1"/>
    <xf numFmtId="0" fontId="25" fillId="18" borderId="5" xfId="0" applyFont="1" applyFill="1" applyBorder="1"/>
    <xf numFmtId="0" fontId="8" fillId="21" borderId="12" xfId="0" applyFont="1" applyFill="1" applyBorder="1"/>
    <xf numFmtId="2" fontId="20" fillId="15" borderId="15" xfId="0" applyNumberFormat="1" applyFont="1" applyFill="1" applyBorder="1" applyAlignment="1">
      <alignment horizontal="left"/>
    </xf>
    <xf numFmtId="2" fontId="19" fillId="0" borderId="18" xfId="0" applyNumberFormat="1" applyFont="1" applyBorder="1" applyAlignment="1">
      <alignment horizontal="center"/>
    </xf>
    <xf numFmtId="0" fontId="6" fillId="15" borderId="0" xfId="0" applyFont="1" applyFill="1" applyAlignment="1">
      <alignment horizontal="center"/>
    </xf>
    <xf numFmtId="16" fontId="6" fillId="15" borderId="0" xfId="0" applyNumberFormat="1" applyFont="1" applyFill="1" applyAlignment="1">
      <alignment horizontal="center"/>
    </xf>
    <xf numFmtId="0" fontId="8" fillId="24" borderId="0" xfId="0" applyFont="1" applyFill="1"/>
    <xf numFmtId="0" fontId="8" fillId="20" borderId="0" xfId="0" applyFont="1" applyFill="1"/>
    <xf numFmtId="0" fontId="13" fillId="12" borderId="0" xfId="0" applyFont="1" applyFill="1"/>
    <xf numFmtId="167" fontId="0" fillId="0" borderId="5" xfId="0" applyNumberFormat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3" fontId="8" fillId="0" borderId="8" xfId="0" applyNumberFormat="1" applyFont="1" applyBorder="1" applyAlignment="1">
      <alignment horizontal="center"/>
    </xf>
    <xf numFmtId="38" fontId="8" fillId="0" borderId="5" xfId="1" applyNumberFormat="1" applyFont="1" applyFill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15" borderId="5" xfId="0" applyFont="1" applyFill="1" applyBorder="1"/>
    <xf numFmtId="167" fontId="8" fillId="15" borderId="7" xfId="0" applyNumberFormat="1" applyFont="1" applyFill="1" applyBorder="1" applyAlignment="1">
      <alignment horizontal="center"/>
    </xf>
    <xf numFmtId="4" fontId="6" fillId="6" borderId="5" xfId="0" applyNumberFormat="1" applyFont="1" applyFill="1" applyBorder="1"/>
    <xf numFmtId="170" fontId="6" fillId="6" borderId="5" xfId="0" applyNumberFormat="1" applyFont="1" applyFill="1" applyBorder="1"/>
    <xf numFmtId="4" fontId="6" fillId="0" borderId="5" xfId="0" applyNumberFormat="1" applyFont="1" applyBorder="1"/>
    <xf numFmtId="169" fontId="6" fillId="15" borderId="7" xfId="0" applyNumberFormat="1" applyFont="1" applyFill="1" applyBorder="1" applyAlignment="1">
      <alignment horizontal="center"/>
    </xf>
    <xf numFmtId="168" fontId="6" fillId="15" borderId="7" xfId="0" applyNumberFormat="1" applyFont="1" applyFill="1" applyBorder="1"/>
    <xf numFmtId="168" fontId="6" fillId="15" borderId="5" xfId="0" applyNumberFormat="1" applyFont="1" applyFill="1" applyBorder="1"/>
    <xf numFmtId="2" fontId="6" fillId="15" borderId="9" xfId="0" applyNumberFormat="1" applyFont="1" applyFill="1" applyBorder="1"/>
    <xf numFmtId="0" fontId="19" fillId="6" borderId="0" xfId="0" applyFont="1" applyFill="1"/>
    <xf numFmtId="0" fontId="20" fillId="6" borderId="0" xfId="0" applyFont="1" applyFill="1"/>
    <xf numFmtId="4" fontId="8" fillId="0" borderId="5" xfId="1" applyNumberFormat="1" applyFont="1" applyFill="1" applyBorder="1" applyAlignment="1">
      <alignment horizontal="center"/>
    </xf>
    <xf numFmtId="0" fontId="26" fillId="0" borderId="0" xfId="0" applyFont="1"/>
    <xf numFmtId="3" fontId="26" fillId="0" borderId="8" xfId="0" applyNumberFormat="1" applyFont="1" applyBorder="1" applyAlignment="1">
      <alignment horizontal="center"/>
    </xf>
    <xf numFmtId="38" fontId="26" fillId="0" borderId="5" xfId="1" applyNumberFormat="1" applyFont="1" applyFill="1" applyBorder="1" applyAlignment="1">
      <alignment horizontal="center"/>
    </xf>
    <xf numFmtId="0" fontId="4" fillId="6" borderId="27" xfId="0" applyFont="1" applyFill="1" applyBorder="1"/>
    <xf numFmtId="167" fontId="0" fillId="0" borderId="27" xfId="0" applyNumberFormat="1" applyBorder="1" applyAlignment="1">
      <alignment horizontal="center"/>
    </xf>
    <xf numFmtId="4" fontId="8" fillId="6" borderId="5" xfId="0" applyNumberFormat="1" applyFont="1" applyFill="1" applyBorder="1" applyAlignment="1">
      <alignment horizontal="center"/>
    </xf>
    <xf numFmtId="4" fontId="8" fillId="0" borderId="5" xfId="0" applyNumberFormat="1" applyFont="1" applyBorder="1" applyAlignment="1">
      <alignment horizontal="center"/>
    </xf>
    <xf numFmtId="0" fontId="6" fillId="16" borderId="8" xfId="0" applyFont="1" applyFill="1" applyBorder="1"/>
    <xf numFmtId="0" fontId="6" fillId="6" borderId="0" xfId="0" applyFont="1" applyFill="1" applyAlignment="1">
      <alignment horizontal="center"/>
    </xf>
    <xf numFmtId="2" fontId="6" fillId="20" borderId="6" xfId="0" applyNumberFormat="1" applyFont="1" applyFill="1" applyBorder="1" applyAlignment="1">
      <alignment horizontal="center"/>
    </xf>
    <xf numFmtId="0" fontId="6" fillId="9" borderId="5" xfId="0" applyFont="1" applyFill="1" applyBorder="1"/>
    <xf numFmtId="170" fontId="6" fillId="15" borderId="5" xfId="0" applyNumberFormat="1" applyFont="1" applyFill="1" applyBorder="1"/>
    <xf numFmtId="167" fontId="8" fillId="15" borderId="5" xfId="0" applyNumberFormat="1" applyFont="1" applyFill="1" applyBorder="1"/>
    <xf numFmtId="4" fontId="6" fillId="15" borderId="5" xfId="0" applyNumberFormat="1" applyFont="1" applyFill="1" applyBorder="1"/>
    <xf numFmtId="4" fontId="6" fillId="15" borderId="5" xfId="0" applyNumberFormat="1" applyFont="1" applyFill="1" applyBorder="1" applyAlignment="1">
      <alignment horizontal="center"/>
    </xf>
    <xf numFmtId="169" fontId="8" fillId="0" borderId="7" xfId="0" applyNumberFormat="1" applyFont="1" applyBorder="1" applyAlignment="1">
      <alignment horizontal="center"/>
    </xf>
    <xf numFmtId="167" fontId="8" fillId="0" borderId="7" xfId="0" applyNumberFormat="1" applyFont="1" applyBorder="1" applyAlignment="1">
      <alignment horizontal="center"/>
    </xf>
    <xf numFmtId="167" fontId="8" fillId="0" borderId="7" xfId="0" applyNumberFormat="1" applyFont="1" applyBorder="1"/>
    <xf numFmtId="167" fontId="8" fillId="0" borderId="0" xfId="0" applyNumberFormat="1" applyFont="1"/>
    <xf numFmtId="4" fontId="4" fillId="6" borderId="5" xfId="0" applyNumberFormat="1" applyFont="1" applyFill="1" applyBorder="1"/>
    <xf numFmtId="0" fontId="0" fillId="0" borderId="24" xfId="0" applyBorder="1"/>
    <xf numFmtId="0" fontId="8" fillId="0" borderId="0" xfId="0" applyFont="1" applyAlignment="1">
      <alignment horizontal="center"/>
    </xf>
    <xf numFmtId="0" fontId="2" fillId="0" borderId="7" xfId="0" applyFont="1" applyBorder="1"/>
    <xf numFmtId="4" fontId="8" fillId="0" borderId="5" xfId="0" applyNumberFormat="1" applyFont="1" applyBorder="1"/>
    <xf numFmtId="0" fontId="6" fillId="14" borderId="0" xfId="0" applyFont="1" applyFill="1"/>
    <xf numFmtId="0" fontId="6" fillId="14" borderId="0" xfId="0" applyFont="1" applyFill="1" applyAlignment="1">
      <alignment horizontal="center"/>
    </xf>
    <xf numFmtId="49" fontId="18" fillId="14" borderId="0" xfId="0" applyNumberFormat="1" applyFont="1" applyFill="1" applyAlignment="1">
      <alignment horizontal="center"/>
    </xf>
    <xf numFmtId="165" fontId="6" fillId="14" borderId="0" xfId="0" applyNumberFormat="1" applyFont="1" applyFill="1"/>
    <xf numFmtId="165" fontId="8" fillId="14" borderId="0" xfId="0" applyNumberFormat="1" applyFont="1" applyFill="1"/>
    <xf numFmtId="0" fontId="6" fillId="20" borderId="6" xfId="0" applyFont="1" applyFill="1" applyBorder="1" applyAlignment="1">
      <alignment horizontal="center"/>
    </xf>
    <xf numFmtId="0" fontId="8" fillId="18" borderId="0" xfId="0" applyFont="1" applyFill="1"/>
    <xf numFmtId="0" fontId="6" fillId="18" borderId="7" xfId="0" applyFont="1" applyFill="1" applyBorder="1"/>
    <xf numFmtId="0" fontId="8" fillId="19" borderId="0" xfId="0" applyFont="1" applyFill="1"/>
    <xf numFmtId="0" fontId="6" fillId="19" borderId="7" xfId="0" applyFont="1" applyFill="1" applyBorder="1"/>
    <xf numFmtId="0" fontId="6" fillId="14" borderId="7" xfId="0" applyFont="1" applyFill="1" applyBorder="1"/>
    <xf numFmtId="0" fontId="6" fillId="24" borderId="1" xfId="0" applyFont="1" applyFill="1" applyBorder="1"/>
    <xf numFmtId="0" fontId="8" fillId="24" borderId="1" xfId="0" applyFont="1" applyFill="1" applyBorder="1"/>
    <xf numFmtId="0" fontId="8" fillId="24" borderId="2" xfId="0" applyFont="1" applyFill="1" applyBorder="1"/>
    <xf numFmtId="0" fontId="6" fillId="24" borderId="7" xfId="0" applyFont="1" applyFill="1" applyBorder="1"/>
    <xf numFmtId="0" fontId="8" fillId="25" borderId="0" xfId="0" applyFont="1" applyFill="1"/>
    <xf numFmtId="0" fontId="6" fillId="25" borderId="7" xfId="0" applyFont="1" applyFill="1" applyBorder="1"/>
    <xf numFmtId="0" fontId="6" fillId="20" borderId="7" xfId="0" applyFont="1" applyFill="1" applyBorder="1"/>
    <xf numFmtId="2" fontId="8" fillId="24" borderId="1" xfId="0" applyNumberFormat="1" applyFont="1" applyFill="1" applyBorder="1"/>
    <xf numFmtId="2" fontId="8" fillId="24" borderId="2" xfId="0" applyNumberFormat="1" applyFont="1" applyFill="1" applyBorder="1"/>
    <xf numFmtId="2" fontId="6" fillId="25" borderId="3" xfId="0" applyNumberFormat="1" applyFont="1" applyFill="1" applyBorder="1" applyAlignment="1">
      <alignment horizontal="left"/>
    </xf>
    <xf numFmtId="2" fontId="6" fillId="25" borderId="4" xfId="0" applyNumberFormat="1" applyFont="1" applyFill="1" applyBorder="1" applyAlignment="1">
      <alignment horizontal="left"/>
    </xf>
    <xf numFmtId="2" fontId="6" fillId="25" borderId="4" xfId="0" applyNumberFormat="1" applyFont="1" applyFill="1" applyBorder="1"/>
    <xf numFmtId="2" fontId="6" fillId="25" borderId="5" xfId="0" applyNumberFormat="1" applyFont="1" applyFill="1" applyBorder="1"/>
    <xf numFmtId="2" fontId="6" fillId="25" borderId="7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2" fillId="0" borderId="0" xfId="0" applyFont="1"/>
    <xf numFmtId="0" fontId="8" fillId="9" borderId="24" xfId="0" applyFont="1" applyFill="1" applyBorder="1"/>
    <xf numFmtId="0" fontId="8" fillId="9" borderId="11" xfId="0" applyFont="1" applyFill="1" applyBorder="1"/>
    <xf numFmtId="0" fontId="8" fillId="9" borderId="25" xfId="0" applyFont="1" applyFill="1" applyBorder="1"/>
    <xf numFmtId="0" fontId="6" fillId="9" borderId="7" xfId="0" applyFont="1" applyFill="1" applyBorder="1"/>
    <xf numFmtId="0" fontId="6" fillId="9" borderId="25" xfId="0" applyFont="1" applyFill="1" applyBorder="1"/>
    <xf numFmtId="0" fontId="6" fillId="0" borderId="9" xfId="0" applyFont="1" applyBorder="1"/>
    <xf numFmtId="168" fontId="6" fillId="15" borderId="10" xfId="0" applyNumberFormat="1" applyFont="1" applyFill="1" applyBorder="1"/>
    <xf numFmtId="168" fontId="6" fillId="15" borderId="13" xfId="0" applyNumberFormat="1" applyFont="1" applyFill="1" applyBorder="1"/>
    <xf numFmtId="0" fontId="6" fillId="0" borderId="24" xfId="0" applyFont="1" applyBorder="1"/>
    <xf numFmtId="4" fontId="8" fillId="6" borderId="5" xfId="0" applyNumberFormat="1" applyFont="1" applyFill="1" applyBorder="1"/>
    <xf numFmtId="4" fontId="8" fillId="6" borderId="7" xfId="0" applyNumberFormat="1" applyFont="1" applyFill="1" applyBorder="1" applyAlignment="1">
      <alignment horizontal="center"/>
    </xf>
    <xf numFmtId="4" fontId="8" fillId="6" borderId="7" xfId="0" applyNumberFormat="1" applyFont="1" applyFill="1" applyBorder="1"/>
    <xf numFmtId="4" fontId="8" fillId="15" borderId="7" xfId="0" applyNumberFormat="1" applyFont="1" applyFill="1" applyBorder="1" applyAlignment="1">
      <alignment horizontal="center"/>
    </xf>
    <xf numFmtId="4" fontId="8" fillId="15" borderId="7" xfId="0" applyNumberFormat="1" applyFont="1" applyFill="1" applyBorder="1"/>
    <xf numFmtId="4" fontId="8" fillId="0" borderId="7" xfId="0" applyNumberFormat="1" applyFont="1" applyBorder="1"/>
    <xf numFmtId="0" fontId="27" fillId="12" borderId="0" xfId="0" applyFont="1" applyFill="1"/>
    <xf numFmtId="0" fontId="20" fillId="0" borderId="0" xfId="0" applyFont="1"/>
    <xf numFmtId="0" fontId="21" fillId="0" borderId="0" xfId="0" applyFont="1"/>
    <xf numFmtId="2" fontId="20" fillId="15" borderId="9" xfId="0" applyNumberFormat="1" applyFont="1" applyFill="1" applyBorder="1"/>
    <xf numFmtId="2" fontId="8" fillId="15" borderId="5" xfId="0" applyNumberFormat="1" applyFont="1" applyFill="1" applyBorder="1"/>
    <xf numFmtId="167" fontId="0" fillId="0" borderId="5" xfId="0" applyNumberFormat="1" applyBorder="1"/>
    <xf numFmtId="171" fontId="1" fillId="0" borderId="0" xfId="0" applyNumberFormat="1" applyFont="1"/>
    <xf numFmtId="0" fontId="0" fillId="0" borderId="0" xfId="0" applyAlignment="1">
      <alignment horizontal="center"/>
    </xf>
    <xf numFmtId="166" fontId="8" fillId="0" borderId="7" xfId="0" applyNumberFormat="1" applyFont="1" applyBorder="1" applyAlignment="1">
      <alignment horizontal="center"/>
    </xf>
    <xf numFmtId="43" fontId="20" fillId="0" borderId="9" xfId="0" applyNumberFormat="1" applyFont="1" applyBorder="1" applyAlignment="1">
      <alignment horizontal="center"/>
    </xf>
    <xf numFmtId="4" fontId="8" fillId="0" borderId="23" xfId="0" applyNumberFormat="1" applyFont="1" applyBorder="1" applyAlignment="1">
      <alignment horizontal="center"/>
    </xf>
    <xf numFmtId="166" fontId="8" fillId="0" borderId="9" xfId="0" applyNumberFormat="1" applyFont="1" applyBorder="1" applyAlignment="1">
      <alignment horizontal="center"/>
    </xf>
    <xf numFmtId="43" fontId="19" fillId="0" borderId="5" xfId="0" applyNumberFormat="1" applyFont="1" applyBorder="1" applyAlignment="1">
      <alignment horizontal="center"/>
    </xf>
    <xf numFmtId="43" fontId="20" fillId="0" borderId="5" xfId="0" applyNumberFormat="1" applyFont="1" applyBorder="1" applyAlignment="1">
      <alignment horizontal="center"/>
    </xf>
    <xf numFmtId="4" fontId="6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0" fontId="9" fillId="8" borderId="15" xfId="0" applyFont="1" applyFill="1" applyBorder="1"/>
    <xf numFmtId="0" fontId="10" fillId="8" borderId="9" xfId="0" applyFont="1" applyFill="1" applyBorder="1"/>
    <xf numFmtId="166" fontId="8" fillId="0" borderId="0" xfId="0" applyNumberFormat="1" applyFont="1" applyAlignment="1">
      <alignment horizontal="center"/>
    </xf>
    <xf numFmtId="2" fontId="6" fillId="14" borderId="22" xfId="0" applyNumberFormat="1" applyFont="1" applyFill="1" applyBorder="1"/>
    <xf numFmtId="2" fontId="6" fillId="0" borderId="0" xfId="0" applyNumberFormat="1" applyFont="1"/>
    <xf numFmtId="2" fontId="6" fillId="6" borderId="0" xfId="0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26" fillId="13" borderId="0" xfId="0" applyFont="1" applyFill="1"/>
    <xf numFmtId="0" fontId="12" fillId="13" borderId="0" xfId="0" applyFont="1" applyFill="1" applyAlignment="1">
      <alignment horizontal="center"/>
    </xf>
    <xf numFmtId="0" fontId="12" fillId="13" borderId="0" xfId="0" applyFont="1" applyFill="1"/>
    <xf numFmtId="0" fontId="12" fillId="13" borderId="7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13" borderId="5" xfId="0" applyFont="1" applyFill="1" applyBorder="1"/>
    <xf numFmtId="0" fontId="12" fillId="13" borderId="8" xfId="0" applyFont="1" applyFill="1" applyBorder="1"/>
    <xf numFmtId="0" fontId="6" fillId="0" borderId="25" xfId="0" applyFont="1" applyBorder="1"/>
    <xf numFmtId="172" fontId="8" fillId="0" borderId="5" xfId="1" applyNumberFormat="1" applyFont="1" applyFill="1" applyBorder="1"/>
    <xf numFmtId="0" fontId="0" fillId="0" borderId="0" xfId="0" applyFill="1"/>
    <xf numFmtId="0" fontId="0" fillId="0" borderId="0" xfId="0" applyBorder="1"/>
    <xf numFmtId="4" fontId="8" fillId="6" borderId="8" xfId="1" applyNumberFormat="1" applyFont="1" applyFill="1" applyBorder="1" applyAlignment="1">
      <alignment horizontal="center"/>
    </xf>
    <xf numFmtId="4" fontId="8" fillId="6" borderId="9" xfId="1" applyNumberFormat="1" applyFont="1" applyFill="1" applyBorder="1" applyAlignment="1">
      <alignment horizontal="center"/>
    </xf>
    <xf numFmtId="4" fontId="8" fillId="0" borderId="5" xfId="0" applyNumberFormat="1" applyFont="1" applyFill="1" applyBorder="1" applyAlignment="1">
      <alignment horizontal="center"/>
    </xf>
    <xf numFmtId="0" fontId="3" fillId="16" borderId="9" xfId="0" applyFont="1" applyFill="1" applyBorder="1"/>
    <xf numFmtId="0" fontId="0" fillId="0" borderId="0" xfId="0" applyFill="1" applyBorder="1"/>
    <xf numFmtId="4" fontId="26" fillId="0" borderId="8" xfId="0" applyNumberFormat="1" applyFont="1" applyFill="1" applyBorder="1"/>
    <xf numFmtId="4" fontId="8" fillId="0" borderId="5" xfId="0" applyNumberFormat="1" applyFont="1" applyFill="1" applyBorder="1"/>
    <xf numFmtId="2" fontId="6" fillId="0" borderId="11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/>
    <xf numFmtId="0" fontId="6" fillId="0" borderId="7" xfId="0" applyFont="1" applyFill="1" applyBorder="1"/>
    <xf numFmtId="4" fontId="6" fillId="0" borderId="5" xfId="0" applyNumberFormat="1" applyFont="1" applyFill="1" applyBorder="1"/>
    <xf numFmtId="4" fontId="8" fillId="0" borderId="5" xfId="0" applyNumberFormat="1" applyFont="1" applyFill="1" applyBorder="1" applyAlignment="1">
      <alignment horizontal="center" vertical="center"/>
    </xf>
    <xf numFmtId="4" fontId="8" fillId="0" borderId="7" xfId="0" applyNumberFormat="1" applyFont="1" applyFill="1" applyBorder="1" applyAlignment="1">
      <alignment horizontal="center" vertical="center"/>
    </xf>
    <xf numFmtId="4" fontId="6" fillId="0" borderId="7" xfId="0" applyNumberFormat="1" applyFont="1" applyFill="1" applyBorder="1" applyAlignment="1">
      <alignment horizontal="center"/>
    </xf>
    <xf numFmtId="0" fontId="26" fillId="0" borderId="8" xfId="0" applyFont="1" applyFill="1" applyBorder="1"/>
    <xf numFmtId="166" fontId="26" fillId="0" borderId="8" xfId="0" applyNumberFormat="1" applyFont="1" applyFill="1" applyBorder="1"/>
    <xf numFmtId="0" fontId="26" fillId="0" borderId="5" xfId="0" applyFont="1" applyFill="1" applyBorder="1"/>
    <xf numFmtId="166" fontId="8" fillId="0" borderId="5" xfId="0" applyNumberFormat="1" applyFont="1" applyFill="1" applyBorder="1"/>
    <xf numFmtId="0" fontId="8" fillId="0" borderId="5" xfId="0" applyFont="1" applyFill="1" applyBorder="1" applyAlignment="1">
      <alignment horizontal="center"/>
    </xf>
    <xf numFmtId="43" fontId="8" fillId="0" borderId="5" xfId="0" applyNumberFormat="1" applyFont="1" applyFill="1" applyBorder="1"/>
    <xf numFmtId="0" fontId="8" fillId="0" borderId="5" xfId="0" applyFont="1" applyFill="1" applyBorder="1"/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/>
    <xf numFmtId="3" fontId="8" fillId="0" borderId="5" xfId="0" applyNumberFormat="1" applyFont="1" applyFill="1" applyBorder="1"/>
    <xf numFmtId="166" fontId="8" fillId="0" borderId="5" xfId="1" applyFont="1" applyFill="1" applyBorder="1" applyAlignment="1">
      <alignment horizontal="center"/>
    </xf>
    <xf numFmtId="166" fontId="8" fillId="0" borderId="9" xfId="1" applyFont="1" applyFill="1" applyBorder="1" applyAlignment="1">
      <alignment horizontal="center"/>
    </xf>
    <xf numFmtId="2" fontId="6" fillId="24" borderId="1" xfId="0" applyNumberFormat="1" applyFont="1" applyFill="1" applyBorder="1"/>
    <xf numFmtId="2" fontId="6" fillId="24" borderId="7" xfId="0" applyNumberFormat="1" applyFont="1" applyFill="1" applyBorder="1" applyAlignment="1">
      <alignment horizontal="center" vertical="center"/>
    </xf>
    <xf numFmtId="43" fontId="8" fillId="0" borderId="0" xfId="0" applyNumberFormat="1" applyFont="1"/>
    <xf numFmtId="164" fontId="0" fillId="0" borderId="0" xfId="0" applyNumberFormat="1" applyFill="1"/>
    <xf numFmtId="2" fontId="26" fillId="0" borderId="5" xfId="0" applyNumberFormat="1" applyFont="1" applyFill="1" applyBorder="1"/>
    <xf numFmtId="4" fontId="8" fillId="0" borderId="7" xfId="0" applyNumberFormat="1" applyFont="1" applyFill="1" applyBorder="1" applyAlignment="1">
      <alignment horizontal="center"/>
    </xf>
    <xf numFmtId="2" fontId="8" fillId="0" borderId="5" xfId="0" applyNumberFormat="1" applyFont="1" applyFill="1" applyBorder="1"/>
    <xf numFmtId="4" fontId="6" fillId="0" borderId="5" xfId="0" applyNumberFormat="1" applyFont="1" applyFill="1" applyBorder="1" applyAlignment="1">
      <alignment horizontal="center"/>
    </xf>
    <xf numFmtId="166" fontId="8" fillId="0" borderId="5" xfId="0" applyNumberFormat="1" applyFont="1" applyFill="1" applyBorder="1" applyAlignment="1">
      <alignment horizontal="center"/>
    </xf>
    <xf numFmtId="169" fontId="8" fillId="0" borderId="5" xfId="0" applyNumberFormat="1" applyFont="1" applyFill="1" applyBorder="1" applyAlignment="1">
      <alignment horizontal="center"/>
    </xf>
    <xf numFmtId="164" fontId="0" fillId="0" borderId="0" xfId="0" applyNumberFormat="1"/>
    <xf numFmtId="0" fontId="6" fillId="26" borderId="0" xfId="0" applyFont="1" applyFill="1" applyAlignment="1">
      <alignment horizontal="left"/>
    </xf>
    <xf numFmtId="0" fontId="6" fillId="26" borderId="0" xfId="0" applyFont="1" applyFill="1" applyAlignment="1">
      <alignment horizontal="center"/>
    </xf>
    <xf numFmtId="0" fontId="8" fillId="26" borderId="0" xfId="0" applyFont="1" applyFill="1"/>
    <xf numFmtId="2" fontId="6" fillId="26" borderId="0" xfId="0" applyNumberFormat="1" applyFont="1" applyFill="1" applyAlignment="1">
      <alignment horizontal="left"/>
    </xf>
    <xf numFmtId="38" fontId="8" fillId="0" borderId="5" xfId="0" applyNumberFormat="1" applyFont="1" applyFill="1" applyBorder="1" applyAlignment="1">
      <alignment horizontal="center"/>
    </xf>
    <xf numFmtId="167" fontId="0" fillId="0" borderId="28" xfId="0" applyNumberFormat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0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166" fontId="0" fillId="0" borderId="5" xfId="0" applyNumberFormat="1" applyBorder="1"/>
    <xf numFmtId="4" fontId="6" fillId="0" borderId="5" xfId="1" applyNumberFormat="1" applyFont="1" applyFill="1" applyBorder="1" applyAlignment="1">
      <alignment horizontal="center"/>
    </xf>
    <xf numFmtId="0" fontId="28" fillId="0" borderId="5" xfId="0" applyFont="1" applyBorder="1"/>
    <xf numFmtId="2" fontId="12" fillId="13" borderId="0" xfId="0" applyNumberFormat="1" applyFont="1" applyFill="1" applyAlignment="1">
      <alignment horizontal="center"/>
    </xf>
    <xf numFmtId="166" fontId="6" fillId="0" borderId="5" xfId="1" applyFont="1" applyFill="1" applyBorder="1" applyAlignment="1">
      <alignment horizontal="center"/>
    </xf>
    <xf numFmtId="166" fontId="6" fillId="0" borderId="5" xfId="1" applyFont="1" applyBorder="1"/>
    <xf numFmtId="4" fontId="8" fillId="0" borderId="0" xfId="0" applyNumberFormat="1" applyFont="1" applyFill="1"/>
    <xf numFmtId="167" fontId="0" fillId="0" borderId="0" xfId="0" applyNumberFormat="1" applyFill="1"/>
    <xf numFmtId="0" fontId="6" fillId="26" borderId="0" xfId="0" applyFont="1" applyFill="1"/>
    <xf numFmtId="166" fontId="6" fillId="0" borderId="5" xfId="0" applyNumberFormat="1" applyFont="1" applyFill="1" applyBorder="1" applyAlignment="1">
      <alignment horizontal="center"/>
    </xf>
    <xf numFmtId="170" fontId="6" fillId="15" borderId="9" xfId="0" applyNumberFormat="1" applyFont="1" applyFill="1" applyBorder="1"/>
    <xf numFmtId="168" fontId="6" fillId="15" borderId="24" xfId="0" applyNumberFormat="1" applyFont="1" applyFill="1" applyBorder="1"/>
    <xf numFmtId="166" fontId="8" fillId="26" borderId="0" xfId="1" applyFont="1" applyFill="1"/>
    <xf numFmtId="166" fontId="6" fillId="0" borderId="5" xfId="1" applyFont="1" applyFill="1" applyBorder="1"/>
    <xf numFmtId="166" fontId="8" fillId="0" borderId="5" xfId="1" applyFont="1" applyFill="1" applyBorder="1"/>
    <xf numFmtId="166" fontId="0" fillId="0" borderId="0" xfId="1" applyFont="1"/>
    <xf numFmtId="0" fontId="3" fillId="6" borderId="5" xfId="0" applyFont="1" applyFill="1" applyBorder="1"/>
    <xf numFmtId="0" fontId="15" fillId="0" borderId="5" xfId="0" applyFont="1" applyBorder="1"/>
    <xf numFmtId="16" fontId="15" fillId="0" borderId="5" xfId="0" applyNumberFormat="1" applyFont="1" applyBorder="1"/>
    <xf numFmtId="49" fontId="15" fillId="0" borderId="5" xfId="0" applyNumberFormat="1" applyFont="1" applyBorder="1"/>
    <xf numFmtId="0" fontId="15" fillId="0" borderId="5" xfId="0" applyFont="1" applyBorder="1" applyAlignment="1">
      <alignment horizontal="center"/>
    </xf>
    <xf numFmtId="0" fontId="6" fillId="6" borderId="0" xfId="0" applyFont="1" applyFill="1" applyBorder="1"/>
    <xf numFmtId="4" fontId="12" fillId="0" borderId="5" xfId="0" applyNumberFormat="1" applyFont="1" applyFill="1" applyBorder="1"/>
    <xf numFmtId="4" fontId="12" fillId="0" borderId="8" xfId="0" applyNumberFormat="1" applyFont="1" applyFill="1" applyBorder="1" applyAlignment="1">
      <alignment horizontal="center"/>
    </xf>
    <xf numFmtId="4" fontId="26" fillId="0" borderId="5" xfId="0" applyNumberFormat="1" applyFont="1" applyFill="1" applyBorder="1" applyAlignment="1">
      <alignment horizontal="center"/>
    </xf>
    <xf numFmtId="4" fontId="26" fillId="0" borderId="7" xfId="0" applyNumberFormat="1" applyFont="1" applyFill="1" applyBorder="1" applyAlignment="1">
      <alignment horizontal="center" vertical="center"/>
    </xf>
    <xf numFmtId="0" fontId="1" fillId="0" borderId="0" xfId="0" applyFont="1" applyFill="1"/>
    <xf numFmtId="4" fontId="6" fillId="14" borderId="5" xfId="0" applyNumberFormat="1" applyFont="1" applyFill="1" applyBorder="1"/>
    <xf numFmtId="0" fontId="6" fillId="13" borderId="0" xfId="0" applyFont="1" applyFill="1"/>
    <xf numFmtId="49" fontId="18" fillId="13" borderId="0" xfId="0" applyNumberFormat="1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8" fillId="13" borderId="0" xfId="0" applyFont="1" applyFill="1"/>
    <xf numFmtId="2" fontId="6" fillId="13" borderId="22" xfId="0" applyNumberFormat="1" applyFont="1" applyFill="1" applyBorder="1"/>
    <xf numFmtId="2" fontId="6" fillId="13" borderId="1" xfId="0" applyNumberFormat="1" applyFont="1" applyFill="1" applyBorder="1"/>
    <xf numFmtId="2" fontId="8" fillId="13" borderId="1" xfId="0" applyNumberFormat="1" applyFont="1" applyFill="1" applyBorder="1"/>
    <xf numFmtId="2" fontId="8" fillId="13" borderId="2" xfId="0" applyNumberFormat="1" applyFont="1" applyFill="1" applyBorder="1"/>
    <xf numFmtId="0" fontId="31" fillId="0" borderId="0" xfId="0" applyFont="1"/>
    <xf numFmtId="0" fontId="32" fillId="0" borderId="0" xfId="0" applyFont="1"/>
    <xf numFmtId="0" fontId="33" fillId="0" borderId="5" xfId="0" applyFont="1" applyBorder="1"/>
    <xf numFmtId="0" fontId="34" fillId="0" borderId="5" xfId="0" applyFont="1" applyBorder="1"/>
    <xf numFmtId="0" fontId="35" fillId="6" borderId="5" xfId="0" applyFont="1" applyFill="1" applyBorder="1"/>
    <xf numFmtId="0" fontId="35" fillId="0" borderId="5" xfId="0" applyFont="1" applyFill="1" applyBorder="1"/>
    <xf numFmtId="0" fontId="36" fillId="0" borderId="0" xfId="0" applyFont="1"/>
    <xf numFmtId="0" fontId="37" fillId="0" borderId="0" xfId="0" applyFont="1"/>
    <xf numFmtId="2" fontId="6" fillId="26" borderId="0" xfId="0" applyNumberFormat="1" applyFont="1" applyFill="1" applyAlignment="1">
      <alignment horizontal="center"/>
    </xf>
    <xf numFmtId="4" fontId="12" fillId="0" borderId="10" xfId="0" applyNumberFormat="1" applyFont="1" applyFill="1" applyBorder="1"/>
    <xf numFmtId="4" fontId="12" fillId="0" borderId="31" xfId="0" applyNumberFormat="1" applyFont="1" applyFill="1" applyBorder="1" applyAlignment="1">
      <alignment horizontal="center"/>
    </xf>
    <xf numFmtId="0" fontId="8" fillId="15" borderId="10" xfId="0" applyFont="1" applyFill="1" applyBorder="1"/>
    <xf numFmtId="4" fontId="6" fillId="15" borderId="10" xfId="0" applyNumberFormat="1" applyFont="1" applyFill="1" applyBorder="1" applyAlignment="1">
      <alignment horizontal="center"/>
    </xf>
    <xf numFmtId="167" fontId="8" fillId="15" borderId="11" xfId="0" applyNumberFormat="1" applyFont="1" applyFill="1" applyBorder="1" applyAlignment="1">
      <alignment horizontal="center"/>
    </xf>
    <xf numFmtId="4" fontId="6" fillId="15" borderId="10" xfId="0" applyNumberFormat="1" applyFont="1" applyFill="1" applyBorder="1"/>
    <xf numFmtId="170" fontId="6" fillId="15" borderId="10" xfId="0" applyNumberFormat="1" applyFont="1" applyFill="1" applyBorder="1"/>
    <xf numFmtId="4" fontId="6" fillId="0" borderId="10" xfId="0" applyNumberFormat="1" applyFont="1" applyFill="1" applyBorder="1"/>
    <xf numFmtId="3" fontId="8" fillId="0" borderId="10" xfId="0" applyNumberFormat="1" applyFont="1" applyFill="1" applyBorder="1"/>
    <xf numFmtId="166" fontId="8" fillId="0" borderId="10" xfId="0" applyNumberFormat="1" applyFont="1" applyFill="1" applyBorder="1"/>
    <xf numFmtId="0" fontId="8" fillId="0" borderId="10" xfId="0" applyFont="1" applyFill="1" applyBorder="1" applyAlignment="1">
      <alignment horizontal="center"/>
    </xf>
    <xf numFmtId="43" fontId="8" fillId="0" borderId="10" xfId="0" applyNumberFormat="1" applyFont="1" applyFill="1" applyBorder="1"/>
    <xf numFmtId="166" fontId="8" fillId="0" borderId="10" xfId="0" applyNumberFormat="1" applyFont="1" applyFill="1" applyBorder="1" applyAlignment="1">
      <alignment horizontal="center"/>
    </xf>
    <xf numFmtId="4" fontId="6" fillId="0" borderId="10" xfId="0" applyNumberFormat="1" applyFont="1" applyBorder="1"/>
    <xf numFmtId="0" fontId="12" fillId="0" borderId="10" xfId="0" applyFont="1" applyBorder="1"/>
    <xf numFmtId="3" fontId="26" fillId="0" borderId="31" xfId="0" applyNumberFormat="1" applyFont="1" applyBorder="1" applyAlignment="1">
      <alignment horizontal="center"/>
    </xf>
    <xf numFmtId="4" fontId="26" fillId="0" borderId="31" xfId="0" applyNumberFormat="1" applyFont="1" applyFill="1" applyBorder="1"/>
    <xf numFmtId="0" fontId="26" fillId="0" borderId="31" xfId="0" applyFont="1" applyFill="1" applyBorder="1"/>
    <xf numFmtId="166" fontId="26" fillId="0" borderId="31" xfId="0" applyNumberFormat="1" applyFont="1" applyFill="1" applyBorder="1"/>
    <xf numFmtId="0" fontId="26" fillId="0" borderId="10" xfId="0" applyFont="1" applyFill="1" applyBorder="1"/>
    <xf numFmtId="38" fontId="26" fillId="0" borderId="10" xfId="1" applyNumberFormat="1" applyFont="1" applyFill="1" applyBorder="1" applyAlignment="1">
      <alignment horizontal="center"/>
    </xf>
    <xf numFmtId="2" fontId="26" fillId="0" borderId="10" xfId="0" applyNumberFormat="1" applyFont="1" applyFill="1" applyBorder="1"/>
    <xf numFmtId="166" fontId="8" fillId="15" borderId="5" xfId="1" applyFont="1" applyFill="1" applyBorder="1" applyAlignment="1">
      <alignment horizontal="center"/>
    </xf>
    <xf numFmtId="4" fontId="26" fillId="0" borderId="31" xfId="0" applyNumberFormat="1" applyFont="1" applyFill="1" applyBorder="1" applyAlignment="1">
      <alignment horizontal="center"/>
    </xf>
    <xf numFmtId="4" fontId="26" fillId="0" borderId="24" xfId="0" applyNumberFormat="1" applyFont="1" applyFill="1" applyBorder="1" applyAlignment="1">
      <alignment horizontal="center" vertical="center"/>
    </xf>
    <xf numFmtId="4" fontId="8" fillId="0" borderId="24" xfId="0" applyNumberFormat="1" applyFont="1" applyFill="1" applyBorder="1" applyAlignment="1">
      <alignment horizontal="center" vertical="center"/>
    </xf>
    <xf numFmtId="4" fontId="8" fillId="0" borderId="31" xfId="0" applyNumberFormat="1" applyFont="1" applyFill="1" applyBorder="1" applyAlignment="1">
      <alignment horizontal="center"/>
    </xf>
    <xf numFmtId="4" fontId="8" fillId="0" borderId="31" xfId="1" applyNumberFormat="1" applyFont="1" applyFill="1" applyBorder="1" applyAlignment="1">
      <alignment horizontal="center"/>
    </xf>
    <xf numFmtId="4" fontId="8" fillId="6" borderId="31" xfId="1" applyNumberFormat="1" applyFont="1" applyFill="1" applyBorder="1" applyAlignment="1">
      <alignment horizontal="center"/>
    </xf>
    <xf numFmtId="4" fontId="8" fillId="0" borderId="31" xfId="0" applyNumberFormat="1" applyFont="1" applyBorder="1" applyAlignment="1">
      <alignment horizontal="center"/>
    </xf>
    <xf numFmtId="4" fontId="8" fillId="6" borderId="31" xfId="0" applyNumberFormat="1" applyFont="1" applyFill="1" applyBorder="1" applyAlignment="1">
      <alignment horizontal="center"/>
    </xf>
    <xf numFmtId="166" fontId="8" fillId="0" borderId="24" xfId="0" applyNumberFormat="1" applyFont="1" applyBorder="1" applyAlignment="1">
      <alignment horizontal="center"/>
    </xf>
    <xf numFmtId="166" fontId="8" fillId="0" borderId="31" xfId="1" applyFont="1" applyBorder="1" applyAlignment="1">
      <alignment horizontal="center"/>
    </xf>
    <xf numFmtId="166" fontId="8" fillId="6" borderId="31" xfId="1" applyFont="1" applyFill="1" applyBorder="1" applyAlignment="1">
      <alignment horizontal="center"/>
    </xf>
    <xf numFmtId="166" fontId="6" fillId="0" borderId="31" xfId="0" applyNumberFormat="1" applyFont="1" applyBorder="1" applyAlignment="1">
      <alignment horizontal="center"/>
    </xf>
    <xf numFmtId="43" fontId="20" fillId="0" borderId="32" xfId="0" applyNumberFormat="1" applyFont="1" applyBorder="1" applyAlignment="1">
      <alignment horizontal="center"/>
    </xf>
    <xf numFmtId="0" fontId="23" fillId="6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6" fillId="20" borderId="6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9FFAFF"/>
      <color rgb="FF99FF99"/>
      <color rgb="FFCCFFFF"/>
      <color rgb="FF9FE1FF"/>
      <color rgb="FFA4E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57150</xdr:rowOff>
    </xdr:from>
    <xdr:to>
      <xdr:col>6</xdr:col>
      <xdr:colOff>704850</xdr:colOff>
      <xdr:row>1</xdr:row>
      <xdr:rowOff>104776</xdr:rowOff>
    </xdr:to>
    <xdr:sp macro="" textlink="">
      <xdr:nvSpPr>
        <xdr:cNvPr id="1034" name="WordArt 10">
          <a:extLst>
            <a:ext uri="{FF2B5EF4-FFF2-40B4-BE49-F238E27FC236}">
              <a16:creationId xmlns:a16="http://schemas.microsoft.com/office/drawing/2014/main" xmlns="" id="{00000000-0008-0000-0000-00000A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19175" y="57150"/>
          <a:ext cx="4829175" cy="4476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760"/>
            </a:avLst>
          </a:prstTxWarp>
        </a:bodyPr>
        <a:lstStyle/>
        <a:p>
          <a:pPr algn="dist" rtl="0"/>
          <a:r>
            <a:rPr lang="es-VE" sz="1200" spc="-6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>
                    <a:alpha val="80000"/>
                  </a:srgbClr>
                </a:outerShdw>
              </a:effectLst>
              <a:latin typeface="Arial Black"/>
            </a:rPr>
            <a:t>RESUMEN DE ENERO DEL 2017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VIMIENTO%20FABRIQUINES%20DICIEMBRE%20%20%20%2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DE RAZAGOS"/>
      <sheetName val="ENTREGA CESTAS "/>
      <sheetName val="ENTREGA MATERIAL "/>
      <sheetName val="RECP-TAB-FAB"/>
      <sheetName val="ACUM-RES"/>
      <sheetName val="ACUM-DET"/>
      <sheetName val="SEMANA DEL 1 AL 6-12-25"/>
      <sheetName val="SEMANA DEL 6 AL 13"/>
      <sheetName val="SEMANA DEL 13 AL 20 "/>
      <sheetName val="SEMANA DEL 20 AL 27-"/>
      <sheetName val="SEMANA DEL 28 AL-5-7"/>
      <sheetName val="PRESTAMOS"/>
      <sheetName val="AHOR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 xml:space="preserve">ALCIDES CORREA </v>
          </cell>
        </row>
        <row r="6">
          <cell r="A6" t="str">
            <v xml:space="preserve">BLANCA ALVARADO </v>
          </cell>
        </row>
        <row r="7">
          <cell r="A7" t="str">
            <v>ESPERANZA REY</v>
          </cell>
        </row>
        <row r="8">
          <cell r="A8" t="str">
            <v xml:space="preserve">ELIZABETH REYES SERRANO </v>
          </cell>
        </row>
        <row r="9">
          <cell r="A9" t="str">
            <v>ELVIRA LOPEZ</v>
          </cell>
        </row>
        <row r="10">
          <cell r="A10" t="str">
            <v>ERNESTO REYES</v>
          </cell>
        </row>
        <row r="11">
          <cell r="A11" t="str">
            <v xml:space="preserve">GUILLERMO ZAMBRANO </v>
          </cell>
        </row>
        <row r="13">
          <cell r="A13" t="str">
            <v>HUGO ALMEIDA</v>
          </cell>
        </row>
        <row r="14">
          <cell r="A14" t="str">
            <v>HILDA SERRANO</v>
          </cell>
        </row>
        <row r="15">
          <cell r="A15" t="str">
            <v xml:space="preserve">HUMBERTO LUNA </v>
          </cell>
        </row>
        <row r="16">
          <cell r="A16" t="str">
            <v>JOSE EBLAN GIRON</v>
          </cell>
        </row>
        <row r="17">
          <cell r="A17" t="str">
            <v xml:space="preserve">JOSE JURADO </v>
          </cell>
        </row>
        <row r="18">
          <cell r="A18" t="str">
            <v xml:space="preserve">KARINA SILVA </v>
          </cell>
        </row>
        <row r="19">
          <cell r="A19" t="str">
            <v>LUZ MERY ABAUNZA</v>
          </cell>
        </row>
        <row r="20">
          <cell r="A20" t="str">
            <v>LUIS ROJAS</v>
          </cell>
        </row>
        <row r="21">
          <cell r="A21" t="str">
            <v xml:space="preserve">LUIS VALDERRAMA </v>
          </cell>
        </row>
        <row r="22">
          <cell r="A22" t="str">
            <v>LILIANA  VEGA</v>
          </cell>
        </row>
        <row r="23">
          <cell r="A23" t="str">
            <v xml:space="preserve">LUIS ERNESTO ALMEIDA </v>
          </cell>
        </row>
        <row r="24">
          <cell r="A24" t="str">
            <v xml:space="preserve">LEIDY SERRANO </v>
          </cell>
        </row>
        <row r="25">
          <cell r="A25" t="str">
            <v xml:space="preserve">MAYERLIN BOLIVAR </v>
          </cell>
        </row>
        <row r="26">
          <cell r="A26" t="str">
            <v xml:space="preserve">MARTHA SILVA </v>
          </cell>
        </row>
        <row r="27">
          <cell r="A27" t="str">
            <v xml:space="preserve">MARIA MEDINA </v>
          </cell>
        </row>
        <row r="30">
          <cell r="A30" t="str">
            <v xml:space="preserve">PETTER BENAVIDES </v>
          </cell>
        </row>
        <row r="31">
          <cell r="A31" t="str">
            <v xml:space="preserve">RAMON PARRA </v>
          </cell>
        </row>
        <row r="32">
          <cell r="A32" t="str">
            <v>SULAY ALMEIDA</v>
          </cell>
        </row>
        <row r="34">
          <cell r="A34" t="str">
            <v xml:space="preserve">RENE ALMEIDA </v>
          </cell>
        </row>
        <row r="35">
          <cell r="A35" t="str">
            <v>RUBIELA MARTINEZ</v>
          </cell>
        </row>
        <row r="36">
          <cell r="A36" t="str">
            <v xml:space="preserve">ROSMIRA DURAN </v>
          </cell>
        </row>
        <row r="38">
          <cell r="A38" t="str">
            <v xml:space="preserve">ROSALBA MATAGIRA </v>
          </cell>
        </row>
        <row r="40">
          <cell r="A40" t="str">
            <v>STELLA SILVA</v>
          </cell>
        </row>
        <row r="43">
          <cell r="A43" t="str">
            <v xml:space="preserve">YENDER PADILLA </v>
          </cell>
        </row>
        <row r="44">
          <cell r="A44" t="str">
            <v>YARIRETH ROA</v>
          </cell>
        </row>
        <row r="45">
          <cell r="A45" t="str">
            <v xml:space="preserve">YOLI BECERRA </v>
          </cell>
        </row>
        <row r="46">
          <cell r="A46" t="str">
            <v xml:space="preserve">MUESTRAS SRA MARIA </v>
          </cell>
        </row>
        <row r="47">
          <cell r="A47">
            <v>0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V54"/>
  <sheetViews>
    <sheetView topLeftCell="A5" workbookViewId="0">
      <selection activeCell="C7" sqref="C7"/>
    </sheetView>
  </sheetViews>
  <sheetFormatPr baseColWidth="10" defaultRowHeight="12.75" x14ac:dyDescent="0.2"/>
  <cols>
    <col min="1" max="1" width="8.5703125" customWidth="1"/>
    <col min="2" max="2" width="38.42578125" customWidth="1"/>
    <col min="3" max="3" width="15.140625" customWidth="1"/>
    <col min="4" max="4" width="8.140625" customWidth="1"/>
    <col min="5" max="5" width="9.7109375" customWidth="1"/>
    <col min="6" max="6" width="8.85546875" customWidth="1"/>
    <col min="7" max="7" width="9.7109375" customWidth="1"/>
    <col min="8" max="8" width="8" customWidth="1"/>
    <col min="9" max="9" width="9.5703125" customWidth="1"/>
    <col min="10" max="10" width="13" customWidth="1"/>
    <col min="11" max="11" width="48.28515625" customWidth="1"/>
    <col min="12" max="12" width="8.7109375" customWidth="1"/>
  </cols>
  <sheetData>
    <row r="1" spans="1:13" ht="21.75" x14ac:dyDescent="0.35">
      <c r="A1" s="350" t="s">
        <v>2</v>
      </c>
      <c r="B1" s="372" t="s">
        <v>180</v>
      </c>
      <c r="C1" s="350"/>
      <c r="D1" s="350"/>
      <c r="E1" s="350" t="s">
        <v>99</v>
      </c>
      <c r="F1" s="351"/>
      <c r="G1" s="351"/>
      <c r="H1" s="350" t="s">
        <v>79</v>
      </c>
      <c r="I1" s="352"/>
      <c r="J1" s="350"/>
      <c r="K1" s="371" t="s">
        <v>181</v>
      </c>
    </row>
    <row r="2" spans="1:13" ht="18.75" x14ac:dyDescent="0.3">
      <c r="A2" s="350"/>
      <c r="B2" s="350"/>
      <c r="C2" s="350"/>
      <c r="D2" s="350"/>
      <c r="E2" s="353"/>
      <c r="F2" s="351"/>
      <c r="G2" s="351"/>
      <c r="H2" s="350"/>
      <c r="I2" s="351"/>
      <c r="J2" s="350"/>
      <c r="K2" s="350"/>
    </row>
    <row r="3" spans="1:13" ht="15.75" x14ac:dyDescent="0.25">
      <c r="A3" s="51" t="s">
        <v>72</v>
      </c>
      <c r="B3" s="51" t="s">
        <v>73</v>
      </c>
      <c r="C3" s="51" t="s">
        <v>96</v>
      </c>
      <c r="D3" s="57" t="s">
        <v>74</v>
      </c>
      <c r="E3" s="57" t="s">
        <v>75</v>
      </c>
      <c r="F3" s="57" t="s">
        <v>97</v>
      </c>
      <c r="G3" s="57" t="s">
        <v>76</v>
      </c>
      <c r="H3" s="57" t="s">
        <v>77</v>
      </c>
      <c r="I3" s="57" t="s">
        <v>98</v>
      </c>
      <c r="J3" s="57" t="s">
        <v>78</v>
      </c>
      <c r="K3" s="57"/>
      <c r="L3" s="67"/>
      <c r="M3" s="67"/>
    </row>
    <row r="4" spans="1:13" ht="24.95" customHeight="1" x14ac:dyDescent="0.3">
      <c r="A4" s="233">
        <v>1</v>
      </c>
      <c r="B4" s="70" t="str">
        <f>+'SEMANA DEL 2 AL 7-3-26'!A5</f>
        <v xml:space="preserve">ALCIDES CORREA </v>
      </c>
      <c r="C4" s="373" t="s">
        <v>182</v>
      </c>
      <c r="D4" s="48"/>
      <c r="E4" s="46"/>
      <c r="F4" s="46"/>
      <c r="G4" s="46"/>
      <c r="H4" s="46"/>
      <c r="I4" s="46"/>
      <c r="J4" s="46"/>
      <c r="K4" s="46"/>
      <c r="L4" s="44"/>
    </row>
    <row r="5" spans="1:13" ht="24.95" customHeight="1" x14ac:dyDescent="0.3">
      <c r="A5" s="233">
        <f>+A4+1</f>
        <v>2</v>
      </c>
      <c r="B5" s="70" t="str">
        <f>+'SEMANA DEL 2 AL 7-3-26'!A7</f>
        <v xml:space="preserve">BLANCA ALVARADO </v>
      </c>
      <c r="C5" s="373" t="s">
        <v>183</v>
      </c>
      <c r="D5" s="55"/>
      <c r="E5" s="46"/>
      <c r="F5" s="46"/>
      <c r="G5" s="46"/>
      <c r="H5" s="46"/>
      <c r="I5" s="46"/>
      <c r="J5" s="46"/>
      <c r="K5" s="46"/>
    </row>
    <row r="6" spans="1:13" ht="24.95" customHeight="1" x14ac:dyDescent="0.3">
      <c r="A6" s="233">
        <f t="shared" ref="A6:A46" si="0">+A5+1</f>
        <v>3</v>
      </c>
      <c r="B6" s="70" t="str">
        <f>+'SEMANA DEL 2 AL 7-3-26'!A8</f>
        <v>ESPERANZA REY</v>
      </c>
      <c r="C6" s="373" t="s">
        <v>184</v>
      </c>
      <c r="D6" s="55"/>
      <c r="E6" s="46"/>
      <c r="F6" s="46"/>
      <c r="G6" s="46"/>
      <c r="H6" s="46"/>
      <c r="I6" s="46"/>
      <c r="J6" s="46"/>
      <c r="K6" s="46"/>
    </row>
    <row r="7" spans="1:13" ht="24.95" customHeight="1" x14ac:dyDescent="0.3">
      <c r="A7" s="233">
        <f t="shared" si="0"/>
        <v>4</v>
      </c>
      <c r="B7" s="70" t="str">
        <f>+'SEMANA DEL 2 AL 7-3-26'!A9</f>
        <v xml:space="preserve">ELIZABETH REYES SERRANO </v>
      </c>
      <c r="C7" s="373" t="s">
        <v>185</v>
      </c>
      <c r="D7" s="48"/>
      <c r="E7" s="46"/>
      <c r="F7" s="46"/>
      <c r="G7" s="46"/>
      <c r="H7" s="46"/>
      <c r="I7" s="46"/>
      <c r="J7" s="45"/>
      <c r="K7" s="46"/>
    </row>
    <row r="8" spans="1:13" ht="24.95" customHeight="1" x14ac:dyDescent="0.3">
      <c r="A8" s="233">
        <f t="shared" si="0"/>
        <v>5</v>
      </c>
      <c r="B8" s="70" t="str">
        <f>+'SEMANA DEL 2 AL 7-3-26'!A10</f>
        <v>ELVIRA LOPEZ</v>
      </c>
      <c r="C8" s="373" t="s">
        <v>186</v>
      </c>
      <c r="D8" s="55"/>
      <c r="E8" s="46"/>
      <c r="F8" s="46"/>
      <c r="G8" s="46"/>
      <c r="H8" s="46"/>
      <c r="I8" s="46"/>
      <c r="J8" s="46"/>
      <c r="K8" s="46"/>
    </row>
    <row r="9" spans="1:13" ht="24.95" customHeight="1" x14ac:dyDescent="0.3">
      <c r="A9" s="233">
        <f t="shared" si="0"/>
        <v>6</v>
      </c>
      <c r="B9" s="70" t="str">
        <f>+'SEMANA DEL 2 AL 7-3-26'!A11</f>
        <v>ERNESTO REYES</v>
      </c>
      <c r="C9" s="373" t="s">
        <v>187</v>
      </c>
      <c r="D9" s="55"/>
      <c r="E9" s="46"/>
      <c r="F9" s="46"/>
      <c r="G9" s="46"/>
      <c r="H9" s="46"/>
      <c r="I9" s="46"/>
      <c r="J9" s="46"/>
      <c r="K9" s="46"/>
    </row>
    <row r="10" spans="1:13" ht="24.95" customHeight="1" x14ac:dyDescent="0.3">
      <c r="A10" s="233">
        <f t="shared" si="0"/>
        <v>7</v>
      </c>
      <c r="B10" s="70" t="str">
        <f>+'SEMANA DEL 2 AL 7-3-26'!A12</f>
        <v xml:space="preserve">GUILLERMO ZAMBRANO </v>
      </c>
      <c r="C10" s="373" t="s">
        <v>188</v>
      </c>
      <c r="D10" s="48"/>
      <c r="E10" s="46"/>
      <c r="F10" s="46"/>
      <c r="G10" s="46"/>
      <c r="H10" s="46"/>
      <c r="I10" s="46"/>
      <c r="J10" s="46"/>
      <c r="K10" s="46"/>
    </row>
    <row r="11" spans="1:13" ht="24.95" customHeight="1" x14ac:dyDescent="0.3">
      <c r="A11" s="233">
        <f>+A10+1</f>
        <v>8</v>
      </c>
      <c r="B11" s="70" t="e">
        <f>+'SEMANA DEL 2 AL 7-3-26'!#REF!</f>
        <v>#REF!</v>
      </c>
      <c r="C11" s="373" t="s">
        <v>189</v>
      </c>
      <c r="D11" s="55"/>
      <c r="E11" s="46"/>
      <c r="F11" s="46"/>
      <c r="G11" s="46"/>
      <c r="H11" s="46"/>
      <c r="I11" s="46"/>
      <c r="J11" s="46"/>
      <c r="K11" s="46"/>
    </row>
    <row r="12" spans="1:13" ht="24.95" customHeight="1" x14ac:dyDescent="0.3">
      <c r="A12" s="233">
        <f>+A11+1</f>
        <v>9</v>
      </c>
      <c r="B12" s="70" t="str">
        <f>+'SEMANA DEL 2 AL 7-3-26'!A13</f>
        <v>HUGO ALMEIDA</v>
      </c>
      <c r="C12" s="373" t="s">
        <v>190</v>
      </c>
      <c r="D12" s="55"/>
      <c r="E12" s="46"/>
      <c r="F12" s="46"/>
      <c r="G12" s="46"/>
      <c r="H12" s="46"/>
      <c r="I12" s="46"/>
      <c r="J12" s="46"/>
      <c r="K12" s="46"/>
    </row>
    <row r="13" spans="1:13" ht="24.95" customHeight="1" x14ac:dyDescent="0.3">
      <c r="A13" s="233">
        <f t="shared" si="0"/>
        <v>10</v>
      </c>
      <c r="B13" s="70" t="str">
        <f>+'SEMANA DEL 2 AL 7-3-26'!A14</f>
        <v>HILDA SERRANO</v>
      </c>
      <c r="C13" s="373" t="s">
        <v>191</v>
      </c>
      <c r="D13" s="55"/>
      <c r="E13" s="46"/>
      <c r="F13" s="46"/>
      <c r="G13" s="46"/>
      <c r="H13" s="46"/>
      <c r="I13" s="46"/>
      <c r="J13" s="46"/>
      <c r="K13" s="46"/>
    </row>
    <row r="14" spans="1:13" ht="24.95" customHeight="1" x14ac:dyDescent="0.3">
      <c r="A14" s="233">
        <f t="shared" si="0"/>
        <v>11</v>
      </c>
      <c r="B14" s="70" t="str">
        <f>+'SEMANA DEL 2 AL 7-3-26'!A15</f>
        <v xml:space="preserve">HUMBERTO LUNA </v>
      </c>
      <c r="C14" s="373" t="s">
        <v>192</v>
      </c>
      <c r="D14" s="55"/>
      <c r="E14" s="46"/>
      <c r="F14" s="46"/>
      <c r="G14" s="46"/>
      <c r="H14" s="46"/>
      <c r="I14" s="46"/>
      <c r="J14" s="46"/>
      <c r="K14" s="46"/>
    </row>
    <row r="15" spans="1:13" ht="24.95" customHeight="1" x14ac:dyDescent="0.3">
      <c r="A15" s="233">
        <f t="shared" si="0"/>
        <v>12</v>
      </c>
      <c r="B15" s="70" t="str">
        <f>+'SEMANA DEL 2 AL 7-3-26'!A16</f>
        <v>JOSE EBLAN GIRON</v>
      </c>
      <c r="C15" s="373" t="s">
        <v>193</v>
      </c>
      <c r="D15" s="48"/>
      <c r="E15" s="45"/>
      <c r="F15" s="45"/>
      <c r="G15" s="45"/>
      <c r="H15" s="45"/>
      <c r="I15" s="45"/>
      <c r="J15" s="45"/>
      <c r="K15" s="46"/>
      <c r="L15" s="44"/>
    </row>
    <row r="16" spans="1:13" ht="24.95" customHeight="1" x14ac:dyDescent="0.3">
      <c r="A16" s="233">
        <f t="shared" si="0"/>
        <v>13</v>
      </c>
      <c r="B16" s="70" t="str">
        <f>+'SEMANA DEL 2 AL 7-3-26'!A17</f>
        <v xml:space="preserve">JOSE JURADO </v>
      </c>
      <c r="C16" s="373" t="s">
        <v>194</v>
      </c>
      <c r="D16" s="48"/>
      <c r="E16" s="45"/>
      <c r="F16" s="45"/>
      <c r="G16" s="45"/>
      <c r="H16" s="45"/>
      <c r="I16" s="45"/>
      <c r="J16" s="45"/>
      <c r="K16" s="46"/>
      <c r="L16" s="44"/>
    </row>
    <row r="17" spans="1:12" ht="24.95" customHeight="1" x14ac:dyDescent="0.3">
      <c r="A17" s="233">
        <f t="shared" si="0"/>
        <v>14</v>
      </c>
      <c r="B17" s="70" t="str">
        <f>+'SEMANA DEL 2 AL 7-3-26'!A18</f>
        <v xml:space="preserve">KARINA SILVA </v>
      </c>
      <c r="C17" s="373" t="s">
        <v>195</v>
      </c>
      <c r="D17" s="48"/>
      <c r="E17" s="45"/>
      <c r="F17" s="45"/>
      <c r="G17" s="45"/>
      <c r="H17" s="45"/>
      <c r="I17" s="45"/>
      <c r="J17" s="45"/>
      <c r="K17" s="46"/>
      <c r="L17" s="44"/>
    </row>
    <row r="18" spans="1:12" ht="24.95" customHeight="1" x14ac:dyDescent="0.3">
      <c r="A18" s="233">
        <f t="shared" si="0"/>
        <v>15</v>
      </c>
      <c r="B18" s="70" t="str">
        <f>+'SEMANA DEL 2 AL 7-3-26'!A19</f>
        <v>LUZ MERY ABAUNZA</v>
      </c>
      <c r="C18" s="373" t="s">
        <v>196</v>
      </c>
      <c r="D18" s="48"/>
      <c r="E18" s="45"/>
      <c r="F18" s="45"/>
      <c r="G18" s="45"/>
      <c r="H18" s="45"/>
      <c r="I18" s="45"/>
      <c r="J18" s="45"/>
      <c r="K18" s="46"/>
      <c r="L18" s="44"/>
    </row>
    <row r="19" spans="1:12" ht="24.95" customHeight="1" x14ac:dyDescent="0.3">
      <c r="A19" s="233">
        <f t="shared" si="0"/>
        <v>16</v>
      </c>
      <c r="B19" s="70" t="str">
        <f>+'SEMANA DEL 2 AL 7-3-26'!A20</f>
        <v>LUIS ROJAS</v>
      </c>
      <c r="C19" s="373" t="s">
        <v>197</v>
      </c>
      <c r="D19" s="48"/>
      <c r="E19" s="45"/>
      <c r="F19" s="45"/>
      <c r="G19" s="45"/>
      <c r="H19" s="45"/>
      <c r="I19" s="45"/>
      <c r="J19" s="45"/>
      <c r="K19" s="46"/>
      <c r="L19" s="44"/>
    </row>
    <row r="20" spans="1:12" ht="24.95" customHeight="1" x14ac:dyDescent="0.3">
      <c r="A20" s="233">
        <f t="shared" si="0"/>
        <v>17</v>
      </c>
      <c r="B20" s="70" t="str">
        <f>+'SEMANA DEL 2 AL 7-3-26'!A21</f>
        <v xml:space="preserve">LUIS VALDERRAMA </v>
      </c>
      <c r="C20" s="373" t="s">
        <v>198</v>
      </c>
      <c r="D20" s="48"/>
      <c r="E20" s="45"/>
      <c r="F20" s="45"/>
      <c r="G20" s="45"/>
      <c r="H20" s="45"/>
      <c r="I20" s="45"/>
      <c r="J20" s="45"/>
      <c r="K20" s="46"/>
      <c r="L20" s="44"/>
    </row>
    <row r="21" spans="1:12" ht="24.95" customHeight="1" x14ac:dyDescent="0.3">
      <c r="A21" s="233">
        <f t="shared" si="0"/>
        <v>18</v>
      </c>
      <c r="B21" s="70" t="str">
        <f>+'SEMANA DEL 2 AL 7-3-26'!A22</f>
        <v>LILIANA  VEGA</v>
      </c>
      <c r="C21" s="373" t="s">
        <v>199</v>
      </c>
      <c r="D21" s="48"/>
      <c r="E21" s="45"/>
      <c r="F21" s="45"/>
      <c r="G21" s="45"/>
      <c r="H21" s="45"/>
      <c r="I21" s="45"/>
      <c r="J21" s="45"/>
      <c r="K21" s="46"/>
      <c r="L21" s="44"/>
    </row>
    <row r="22" spans="1:12" ht="24.95" customHeight="1" x14ac:dyDescent="0.3">
      <c r="A22" s="233">
        <f t="shared" si="0"/>
        <v>19</v>
      </c>
      <c r="B22" s="70" t="str">
        <f>+'SEMANA DEL 2 AL 7-3-26'!A23</f>
        <v xml:space="preserve">LUIS ERNESTO ALMEIDA </v>
      </c>
      <c r="C22" s="373" t="s">
        <v>200</v>
      </c>
      <c r="D22" s="48"/>
      <c r="E22" s="45"/>
      <c r="F22" s="45"/>
      <c r="G22" s="45"/>
      <c r="H22" s="45"/>
      <c r="I22" s="45"/>
      <c r="J22" s="45"/>
      <c r="K22" s="46"/>
      <c r="L22" s="44"/>
    </row>
    <row r="23" spans="1:12" ht="24.95" customHeight="1" x14ac:dyDescent="0.3">
      <c r="A23" s="233">
        <f t="shared" si="0"/>
        <v>20</v>
      </c>
      <c r="B23" s="70" t="str">
        <f>+'SEMANA DEL 2 AL 7-3-26'!A24</f>
        <v xml:space="preserve">LEIDY SERRANO </v>
      </c>
      <c r="C23" s="373" t="s">
        <v>201</v>
      </c>
      <c r="D23" s="48"/>
      <c r="E23" s="45"/>
      <c r="F23" s="45"/>
      <c r="G23" s="45"/>
      <c r="H23" s="45"/>
      <c r="I23" s="45"/>
      <c r="J23" s="45"/>
      <c r="K23" s="46"/>
      <c r="L23" s="44"/>
    </row>
    <row r="24" spans="1:12" ht="24.95" customHeight="1" x14ac:dyDescent="0.3">
      <c r="A24" s="233">
        <f t="shared" si="0"/>
        <v>21</v>
      </c>
      <c r="B24" s="70" t="str">
        <f>+'SEMANA DEL 2 AL 7-3-26'!A25</f>
        <v xml:space="preserve">MAYERLIN BOLIVAR </v>
      </c>
      <c r="C24" s="373" t="s">
        <v>229</v>
      </c>
      <c r="D24" s="48"/>
      <c r="E24" s="45"/>
      <c r="F24" s="45"/>
      <c r="G24" s="45"/>
      <c r="H24" s="45"/>
      <c r="I24" s="45"/>
      <c r="J24" s="45"/>
      <c r="K24" s="46"/>
      <c r="L24" s="44"/>
    </row>
    <row r="25" spans="1:12" ht="24.95" customHeight="1" x14ac:dyDescent="0.3">
      <c r="A25" s="233">
        <f t="shared" si="0"/>
        <v>22</v>
      </c>
      <c r="B25" s="70" t="str">
        <f>+'SEMANA DEL 2 AL 7-3-26'!A26</f>
        <v xml:space="preserve">MARTHA SILVA </v>
      </c>
      <c r="C25" s="373" t="s">
        <v>228</v>
      </c>
      <c r="D25" s="48"/>
      <c r="E25" s="45"/>
      <c r="F25" s="45"/>
      <c r="G25" s="45"/>
      <c r="H25" s="45"/>
      <c r="I25" s="45"/>
      <c r="J25" s="45"/>
      <c r="K25" s="46"/>
      <c r="L25" s="44"/>
    </row>
    <row r="26" spans="1:12" ht="24.95" customHeight="1" x14ac:dyDescent="0.3">
      <c r="A26" s="233">
        <f>+A25+1</f>
        <v>23</v>
      </c>
      <c r="B26" s="70" t="str">
        <f>+'SEMANA DEL 2 AL 7-3-26'!A29</f>
        <v xml:space="preserve">MARIA MEDINA </v>
      </c>
      <c r="C26" s="373" t="s">
        <v>225</v>
      </c>
      <c r="D26" s="48"/>
      <c r="E26" s="45"/>
      <c r="F26" s="45"/>
      <c r="G26" s="45"/>
      <c r="H26" s="45"/>
      <c r="I26" s="45"/>
      <c r="J26" s="45"/>
      <c r="K26" s="46"/>
      <c r="L26" s="44"/>
    </row>
    <row r="27" spans="1:12" ht="24.95" customHeight="1" x14ac:dyDescent="0.3">
      <c r="A27" s="233">
        <f t="shared" si="0"/>
        <v>24</v>
      </c>
      <c r="B27" s="70" t="e">
        <f>+'SEMANA DEL 2 AL 7-3-26'!#REF!</f>
        <v>#REF!</v>
      </c>
      <c r="C27" s="373" t="s">
        <v>202</v>
      </c>
      <c r="D27" s="48"/>
      <c r="E27" s="45"/>
      <c r="F27" s="45"/>
      <c r="G27" s="45"/>
      <c r="H27" s="45"/>
      <c r="I27" s="45"/>
      <c r="J27" s="45"/>
      <c r="K27" s="46"/>
      <c r="L27" s="44"/>
    </row>
    <row r="28" spans="1:12" ht="24.95" customHeight="1" x14ac:dyDescent="0.3">
      <c r="A28" s="233">
        <f t="shared" si="0"/>
        <v>25</v>
      </c>
      <c r="B28" s="70" t="e">
        <f>+'SEMANA DEL 2 AL 7-3-26'!#REF!</f>
        <v>#REF!</v>
      </c>
      <c r="C28" s="373" t="s">
        <v>203</v>
      </c>
      <c r="D28" s="48"/>
      <c r="E28" s="45"/>
      <c r="F28" s="45"/>
      <c r="G28" s="45"/>
      <c r="H28" s="45"/>
      <c r="I28" s="45"/>
      <c r="J28" s="45"/>
      <c r="K28" s="46"/>
      <c r="L28" s="44"/>
    </row>
    <row r="29" spans="1:12" ht="24.95" customHeight="1" x14ac:dyDescent="0.3">
      <c r="A29" s="233">
        <f t="shared" si="0"/>
        <v>26</v>
      </c>
      <c r="B29" s="70" t="str">
        <f>+'SEMANA DEL 2 AL 7-3-26'!A30</f>
        <v xml:space="preserve">PETTER BENAVIDES </v>
      </c>
      <c r="C29" s="373" t="s">
        <v>204</v>
      </c>
      <c r="D29" s="48"/>
      <c r="E29" s="45"/>
      <c r="F29" s="45"/>
      <c r="G29" s="45"/>
      <c r="H29" s="45"/>
      <c r="I29" s="45"/>
      <c r="J29" s="45"/>
      <c r="K29" s="46"/>
      <c r="L29" s="44"/>
    </row>
    <row r="30" spans="1:12" ht="24.95" customHeight="1" x14ac:dyDescent="0.3">
      <c r="A30" s="233">
        <f t="shared" si="0"/>
        <v>27</v>
      </c>
      <c r="B30" s="70" t="str">
        <f>+'SEMANA DEL 2 AL 7-3-26'!A31</f>
        <v xml:space="preserve">RAMON PARRA </v>
      </c>
      <c r="C30" s="373" t="s">
        <v>205</v>
      </c>
      <c r="D30" s="48"/>
      <c r="E30" s="45"/>
      <c r="F30" s="45"/>
      <c r="G30" s="45"/>
      <c r="H30" s="45"/>
      <c r="I30" s="45"/>
      <c r="J30" s="45"/>
      <c r="K30" s="46"/>
      <c r="L30" s="44"/>
    </row>
    <row r="31" spans="1:12" ht="24.95" customHeight="1" x14ac:dyDescent="0.3">
      <c r="A31" s="233">
        <f t="shared" si="0"/>
        <v>28</v>
      </c>
      <c r="B31" s="70" t="str">
        <f>+'SEMANA DEL 2 AL 7-3-26'!A32</f>
        <v>SULAY ALMEIDA</v>
      </c>
      <c r="C31" s="373" t="s">
        <v>206</v>
      </c>
      <c r="D31" s="48"/>
      <c r="E31" s="45"/>
      <c r="F31" s="45"/>
      <c r="G31" s="45"/>
      <c r="H31" s="45"/>
      <c r="I31" s="45"/>
      <c r="J31" s="45"/>
      <c r="K31" s="46"/>
      <c r="L31" s="44"/>
    </row>
    <row r="32" spans="1:12" ht="24.95" customHeight="1" x14ac:dyDescent="0.3">
      <c r="A32" s="233">
        <f t="shared" si="0"/>
        <v>29</v>
      </c>
      <c r="B32" s="70" t="e">
        <f>+'SEMANA DEL 2 AL 7-3-26'!#REF!</f>
        <v>#REF!</v>
      </c>
      <c r="C32" s="373" t="s">
        <v>207</v>
      </c>
      <c r="D32" s="48"/>
      <c r="E32" s="45"/>
      <c r="F32" s="45"/>
      <c r="G32" s="45"/>
      <c r="H32" s="45"/>
      <c r="I32" s="45"/>
      <c r="J32" s="45"/>
      <c r="K32" s="46"/>
      <c r="L32" s="44"/>
    </row>
    <row r="33" spans="1:22" ht="24.95" customHeight="1" x14ac:dyDescent="0.3">
      <c r="A33" s="233">
        <f t="shared" si="0"/>
        <v>30</v>
      </c>
      <c r="B33" s="70" t="str">
        <f>+'SEMANA DEL 2 AL 7-3-26'!A33</f>
        <v xml:space="preserve">RENE ALMEIDA </v>
      </c>
      <c r="C33" s="373" t="s">
        <v>208</v>
      </c>
      <c r="D33" s="48"/>
      <c r="E33" s="45"/>
      <c r="F33" s="45"/>
      <c r="G33" s="45"/>
      <c r="H33" s="45"/>
      <c r="I33" s="45"/>
      <c r="J33" s="45"/>
      <c r="K33" s="46"/>
      <c r="L33" s="44"/>
    </row>
    <row r="34" spans="1:22" ht="24.95" customHeight="1" x14ac:dyDescent="0.3">
      <c r="A34" s="233">
        <f t="shared" si="0"/>
        <v>31</v>
      </c>
      <c r="B34" s="70" t="str">
        <f>+'SEMANA DEL 2 AL 7-3-26'!A34</f>
        <v>RUBIELA MARTINEZ</v>
      </c>
      <c r="C34" s="373" t="s">
        <v>209</v>
      </c>
      <c r="D34" s="48"/>
      <c r="E34" s="45"/>
      <c r="F34" s="45"/>
      <c r="G34" s="45"/>
      <c r="H34" s="45"/>
      <c r="I34" s="45"/>
      <c r="J34" s="45"/>
      <c r="K34" s="46"/>
      <c r="L34" s="44"/>
    </row>
    <row r="35" spans="1:22" ht="24.95" customHeight="1" x14ac:dyDescent="0.3">
      <c r="A35" s="233">
        <f t="shared" si="0"/>
        <v>32</v>
      </c>
      <c r="B35" s="70" t="str">
        <f>+'SEMANA DEL 2 AL 7-3-26'!A35</f>
        <v xml:space="preserve">ROSMIRA DURAN </v>
      </c>
      <c r="C35" s="373" t="s">
        <v>227</v>
      </c>
      <c r="D35" s="48"/>
      <c r="E35" s="45"/>
      <c r="F35" s="45"/>
      <c r="G35" s="45"/>
      <c r="H35" s="45"/>
      <c r="I35" s="45"/>
      <c r="J35" s="45"/>
      <c r="K35" s="46"/>
      <c r="L35" s="44"/>
    </row>
    <row r="36" spans="1:22" ht="24.95" customHeight="1" x14ac:dyDescent="0.3">
      <c r="A36" s="233">
        <f t="shared" si="0"/>
        <v>33</v>
      </c>
      <c r="B36" s="70" t="e">
        <f>+'SEMANA DEL 2 AL 7-3-26'!#REF!</f>
        <v>#REF!</v>
      </c>
      <c r="C36" s="373" t="s">
        <v>226</v>
      </c>
      <c r="D36" s="48"/>
      <c r="E36" s="45"/>
      <c r="F36" s="45"/>
      <c r="G36" s="45"/>
      <c r="H36" s="45"/>
      <c r="I36" s="45"/>
      <c r="J36" s="45"/>
      <c r="K36" s="46"/>
      <c r="L36" s="44"/>
    </row>
    <row r="37" spans="1:22" ht="24.95" customHeight="1" x14ac:dyDescent="0.3">
      <c r="A37" s="233">
        <f t="shared" si="0"/>
        <v>34</v>
      </c>
      <c r="B37" s="70" t="str">
        <f>+'SEMANA DEL 2 AL 7-3-26'!A36</f>
        <v xml:space="preserve">ROSALBA MATAGIRA </v>
      </c>
      <c r="C37" s="374" t="s">
        <v>224</v>
      </c>
      <c r="D37" s="46"/>
      <c r="E37" s="46"/>
      <c r="F37" s="46"/>
      <c r="G37" s="46"/>
      <c r="H37" s="46"/>
      <c r="I37" s="46"/>
      <c r="J37" s="46"/>
      <c r="K37" s="46"/>
    </row>
    <row r="38" spans="1:22" ht="24.95" customHeight="1" x14ac:dyDescent="0.3">
      <c r="A38" s="233">
        <f t="shared" si="0"/>
        <v>35</v>
      </c>
      <c r="B38" s="70" t="e">
        <f>+'SEMANA DEL 2 AL 7-3-26'!#REF!</f>
        <v>#REF!</v>
      </c>
      <c r="C38" s="374" t="s">
        <v>223</v>
      </c>
      <c r="D38" s="46"/>
      <c r="E38" s="46"/>
      <c r="F38" s="46"/>
      <c r="G38" s="46"/>
      <c r="H38" s="46"/>
      <c r="I38" s="46"/>
      <c r="J38" s="46"/>
      <c r="K38" s="46"/>
    </row>
    <row r="39" spans="1:22" ht="24.95" customHeight="1" x14ac:dyDescent="0.3">
      <c r="A39" s="233">
        <f t="shared" si="0"/>
        <v>36</v>
      </c>
      <c r="B39" s="70" t="str">
        <f>+'SEMANA DEL 2 AL 7-3-26'!A37</f>
        <v>STELLA SILVA</v>
      </c>
      <c r="C39" s="374" t="s">
        <v>210</v>
      </c>
      <c r="D39" s="46"/>
      <c r="E39" s="46"/>
      <c r="F39" s="46"/>
      <c r="G39" s="46"/>
      <c r="H39" s="46"/>
      <c r="I39" s="46"/>
      <c r="J39" s="46"/>
      <c r="K39" s="46"/>
    </row>
    <row r="40" spans="1:22" ht="24.95" customHeight="1" x14ac:dyDescent="0.3">
      <c r="A40" s="233">
        <f t="shared" si="0"/>
        <v>37</v>
      </c>
      <c r="B40" s="70" t="e">
        <f>+'SEMANA DEL 2 AL 7-3-26'!#REF!</f>
        <v>#REF!</v>
      </c>
      <c r="C40" s="374" t="s">
        <v>222</v>
      </c>
      <c r="D40" s="46"/>
      <c r="E40" s="46"/>
      <c r="F40" s="46"/>
      <c r="G40" s="46"/>
      <c r="H40" s="46"/>
      <c r="I40" s="46"/>
      <c r="J40" s="46"/>
      <c r="K40" s="46"/>
    </row>
    <row r="41" spans="1:22" ht="24.95" customHeight="1" x14ac:dyDescent="0.3">
      <c r="A41" s="233">
        <f t="shared" si="0"/>
        <v>38</v>
      </c>
      <c r="B41" s="70" t="e">
        <f>+'SEMANA DEL 2 AL 7-3-26'!#REF!</f>
        <v>#REF!</v>
      </c>
      <c r="C41" s="374" t="s">
        <v>211</v>
      </c>
      <c r="D41" s="46"/>
      <c r="E41" s="46"/>
      <c r="F41" s="46"/>
      <c r="G41" s="46"/>
      <c r="H41" s="46"/>
      <c r="I41" s="46"/>
      <c r="J41" s="46"/>
      <c r="K41" s="46"/>
    </row>
    <row r="42" spans="1:22" ht="24.95" customHeight="1" x14ac:dyDescent="0.3">
      <c r="A42" s="233">
        <f t="shared" si="0"/>
        <v>39</v>
      </c>
      <c r="B42" s="70" t="str">
        <f>+'SEMANA DEL 2 AL 7-3-26'!A40</f>
        <v xml:space="preserve">YENDER PADILLA </v>
      </c>
      <c r="C42" s="374" t="s">
        <v>212</v>
      </c>
      <c r="D42" s="46"/>
      <c r="E42" s="46"/>
      <c r="F42" s="46"/>
      <c r="G42" s="46"/>
      <c r="H42" s="46"/>
      <c r="I42" s="46"/>
      <c r="J42" s="46"/>
      <c r="K42" s="46"/>
    </row>
    <row r="43" spans="1:22" ht="24.95" customHeight="1" x14ac:dyDescent="0.3">
      <c r="A43" s="233">
        <f t="shared" si="0"/>
        <v>40</v>
      </c>
      <c r="B43" s="70" t="str">
        <f>+'SEMANA DEL 2 AL 7-3-26'!A42</f>
        <v>YARIRETH ROA</v>
      </c>
      <c r="C43" s="374" t="s">
        <v>213</v>
      </c>
      <c r="D43" s="46"/>
      <c r="E43" s="46"/>
      <c r="F43" s="46"/>
      <c r="G43" s="46"/>
      <c r="H43" s="46"/>
      <c r="I43" s="46"/>
      <c r="J43" s="46"/>
      <c r="K43" s="46"/>
    </row>
    <row r="44" spans="1:22" ht="24.95" customHeight="1" x14ac:dyDescent="0.3">
      <c r="A44" s="233">
        <f t="shared" si="0"/>
        <v>41</v>
      </c>
      <c r="B44" s="70" t="str">
        <f>+'SEMANA DEL 2 AL 7-3-26'!A43</f>
        <v xml:space="preserve">YOLI BECERRA </v>
      </c>
      <c r="C44" s="374" t="s">
        <v>214</v>
      </c>
      <c r="D44" s="46"/>
      <c r="E44" s="46"/>
      <c r="F44" s="46"/>
      <c r="G44" s="46"/>
      <c r="H44" s="46"/>
      <c r="I44" s="46"/>
      <c r="J44" s="46"/>
      <c r="K44" s="46"/>
    </row>
    <row r="45" spans="1:22" ht="24.95" customHeight="1" x14ac:dyDescent="0.3">
      <c r="A45" s="233">
        <f t="shared" si="0"/>
        <v>42</v>
      </c>
      <c r="B45" s="70" t="str">
        <f>+'SEMANA DEL 2 AL 7-3-26'!A44</f>
        <v xml:space="preserve">MUESTRAS SRA MARIA </v>
      </c>
      <c r="C45" s="374"/>
      <c r="D45" s="46"/>
      <c r="E45" s="46"/>
      <c r="F45" s="46"/>
      <c r="G45" s="46"/>
      <c r="H45" s="46"/>
      <c r="I45" s="46"/>
      <c r="J45" s="46"/>
      <c r="K45" s="46"/>
    </row>
    <row r="46" spans="1:22" ht="24.95" customHeight="1" x14ac:dyDescent="0.25">
      <c r="A46" s="233">
        <f t="shared" si="0"/>
        <v>43</v>
      </c>
      <c r="B46" s="70">
        <f>+'SEMANA DEL 2 AL 7-3-26'!A45</f>
        <v>0</v>
      </c>
      <c r="C46" s="46"/>
      <c r="D46" s="46"/>
      <c r="E46" s="46"/>
      <c r="F46" s="46"/>
      <c r="G46" s="46"/>
      <c r="H46" s="46"/>
      <c r="I46" s="46"/>
      <c r="J46" s="46"/>
      <c r="K46" s="46"/>
    </row>
    <row r="47" spans="1:22" ht="24.95" customHeight="1" x14ac:dyDescent="0.25">
      <c r="A47" s="233"/>
      <c r="B47" s="70">
        <f>+'SEMANA DEL 2 AL 7-3-26'!A47</f>
        <v>0</v>
      </c>
      <c r="C47" s="46"/>
      <c r="D47" s="46"/>
      <c r="E47" s="46"/>
      <c r="F47" s="46"/>
      <c r="G47" s="46"/>
      <c r="H47" s="46"/>
      <c r="I47" s="46"/>
      <c r="J47" s="46"/>
      <c r="K47" s="4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52" ht="15" customHeight="1" x14ac:dyDescent="0.2"/>
    <row r="53" ht="15" customHeight="1" x14ac:dyDescent="0.2"/>
    <row r="54" ht="15" customHeight="1" x14ac:dyDescent="0.2"/>
  </sheetData>
  <pageMargins left="0.70866141732283472" right="0.70866141732283472" top="0.74803149606299213" bottom="0.74803149606299213" header="0.31496062992125984" footer="0.31496062992125984"/>
  <pageSetup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10" sqref="D10"/>
    </sheetView>
  </sheetViews>
  <sheetFormatPr baseColWidth="10" defaultRowHeight="12.75" x14ac:dyDescent="0.2"/>
  <cols>
    <col min="1" max="1" width="49.85546875" customWidth="1"/>
  </cols>
  <sheetData>
    <row r="1" spans="1:5" ht="28.5" x14ac:dyDescent="0.45">
      <c r="A1" s="375" t="s">
        <v>180</v>
      </c>
      <c r="B1" s="375"/>
      <c r="C1" s="375"/>
      <c r="D1" s="375"/>
      <c r="E1" s="375"/>
    </row>
    <row r="3" spans="1:5" ht="24.75" x14ac:dyDescent="0.5">
      <c r="A3" s="376" t="s">
        <v>215</v>
      </c>
    </row>
    <row r="4" spans="1:5" ht="24.75" x14ac:dyDescent="0.5">
      <c r="A4" s="376" t="s">
        <v>216</v>
      </c>
    </row>
    <row r="5" spans="1:5" ht="24.75" x14ac:dyDescent="0.5">
      <c r="A5" s="376" t="s">
        <v>217</v>
      </c>
    </row>
    <row r="6" spans="1:5" ht="24.75" x14ac:dyDescent="0.5">
      <c r="A6" s="376" t="s">
        <v>218</v>
      </c>
    </row>
    <row r="7" spans="1:5" ht="24.75" customHeight="1" x14ac:dyDescent="0.5">
      <c r="A7" s="376" t="s">
        <v>219</v>
      </c>
    </row>
    <row r="8" spans="1:5" ht="24.75" customHeight="1" x14ac:dyDescent="0.5">
      <c r="A8" s="376" t="s">
        <v>220</v>
      </c>
    </row>
    <row r="9" spans="1:5" ht="24.75" customHeight="1" x14ac:dyDescent="0.2"/>
    <row r="10" spans="1:5" ht="24.75" customHeight="1" x14ac:dyDescent="0.2"/>
    <row r="11" spans="1:5" ht="24.75" customHeight="1" x14ac:dyDescent="0.2"/>
    <row r="12" spans="1:5" ht="24.75" customHeight="1" x14ac:dyDescent="0.2"/>
    <row r="13" spans="1:5" ht="24.75" customHeight="1" x14ac:dyDescent="0.2"/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V199"/>
  <sheetViews>
    <sheetView workbookViewId="0">
      <selection sqref="A1:K43"/>
    </sheetView>
  </sheetViews>
  <sheetFormatPr baseColWidth="10" defaultRowHeight="12.75" x14ac:dyDescent="0.2"/>
  <cols>
    <col min="1" max="1" width="8.5703125" customWidth="1"/>
    <col min="2" max="2" width="38.42578125" customWidth="1"/>
    <col min="3" max="3" width="9" customWidth="1"/>
    <col min="4" max="4" width="9.28515625" customWidth="1"/>
    <col min="5" max="5" width="8.7109375" customWidth="1"/>
    <col min="6" max="6" width="9.140625" customWidth="1"/>
    <col min="7" max="7" width="9.5703125" customWidth="1"/>
    <col min="8" max="8" width="8.28515625" customWidth="1"/>
    <col min="9" max="9" width="9.140625" customWidth="1"/>
    <col min="10" max="10" width="8.140625" customWidth="1"/>
    <col min="11" max="11" width="48.28515625" customWidth="1"/>
    <col min="12" max="12" width="8.7109375" customWidth="1"/>
  </cols>
  <sheetData>
    <row r="1" spans="1:13" ht="18.75" x14ac:dyDescent="0.3">
      <c r="A1" s="350" t="s">
        <v>2</v>
      </c>
      <c r="B1" s="350"/>
      <c r="C1" s="350"/>
      <c r="D1" s="350"/>
      <c r="E1" s="350" t="s">
        <v>99</v>
      </c>
      <c r="F1" s="351"/>
      <c r="G1" s="351"/>
      <c r="H1" s="350" t="s">
        <v>79</v>
      </c>
      <c r="I1" s="352"/>
      <c r="J1" s="350"/>
      <c r="K1" s="350"/>
    </row>
    <row r="2" spans="1:13" ht="18.75" x14ac:dyDescent="0.3">
      <c r="A2" s="350"/>
      <c r="B2" s="350"/>
      <c r="C2" s="350"/>
      <c r="D2" s="350"/>
      <c r="E2" s="353"/>
      <c r="F2" s="351"/>
      <c r="G2" s="351"/>
      <c r="H2" s="350"/>
      <c r="I2" s="351"/>
      <c r="J2" s="350"/>
      <c r="K2" s="350"/>
    </row>
    <row r="3" spans="1:13" ht="15.75" x14ac:dyDescent="0.25">
      <c r="A3" s="51" t="s">
        <v>72</v>
      </c>
      <c r="B3" s="51" t="s">
        <v>73</v>
      </c>
      <c r="C3" s="51" t="s">
        <v>96</v>
      </c>
      <c r="D3" s="57" t="s">
        <v>74</v>
      </c>
      <c r="E3" s="57" t="s">
        <v>75</v>
      </c>
      <c r="F3" s="57" t="s">
        <v>97</v>
      </c>
      <c r="G3" s="57" t="s">
        <v>76</v>
      </c>
      <c r="H3" s="57" t="s">
        <v>77</v>
      </c>
      <c r="I3" s="57" t="s">
        <v>98</v>
      </c>
      <c r="J3" s="57" t="s">
        <v>78</v>
      </c>
      <c r="K3" s="57"/>
      <c r="L3" s="67"/>
      <c r="M3" s="67"/>
    </row>
    <row r="4" spans="1:13" ht="30" customHeight="1" x14ac:dyDescent="0.25">
      <c r="A4" s="233">
        <v>1</v>
      </c>
      <c r="B4" s="70" t="str">
        <f>+'SEMANA DEL 2 AL 7-3-26'!A5</f>
        <v xml:space="preserve">ALCIDES CORREA </v>
      </c>
      <c r="C4" s="34"/>
      <c r="D4" s="48"/>
      <c r="E4" s="46"/>
      <c r="F4" s="46"/>
      <c r="G4" s="46"/>
      <c r="H4" s="46"/>
      <c r="I4" s="46"/>
      <c r="J4" s="46"/>
      <c r="K4" s="46"/>
      <c r="L4" s="44"/>
    </row>
    <row r="5" spans="1:13" ht="30" customHeight="1" x14ac:dyDescent="0.25">
      <c r="A5" s="233">
        <f>+A4+1</f>
        <v>2</v>
      </c>
      <c r="B5" s="70" t="str">
        <f>+'SEMANA DEL 2 AL 7-3-26'!A6</f>
        <v xml:space="preserve">ALBA SANABRIA </v>
      </c>
      <c r="C5" s="34"/>
      <c r="D5" s="55"/>
      <c r="E5" s="46"/>
      <c r="F5" s="46"/>
      <c r="G5" s="46"/>
      <c r="H5" s="46"/>
      <c r="I5" s="46"/>
      <c r="J5" s="46"/>
      <c r="K5" s="46"/>
    </row>
    <row r="6" spans="1:13" ht="30" customHeight="1" x14ac:dyDescent="0.25">
      <c r="A6" s="233">
        <f t="shared" ref="A6:A50" si="0">+A5+1</f>
        <v>3</v>
      </c>
      <c r="B6" s="70" t="str">
        <f>+'SEMANA DEL 2 AL 7-3-26'!A7</f>
        <v xml:space="preserve">BLANCA ALVARADO </v>
      </c>
      <c r="C6" s="34"/>
      <c r="D6" s="55"/>
      <c r="E6" s="46"/>
      <c r="F6" s="46"/>
      <c r="G6" s="46"/>
      <c r="H6" s="46"/>
      <c r="I6" s="46"/>
      <c r="J6" s="46"/>
      <c r="K6" s="46"/>
    </row>
    <row r="7" spans="1:13" ht="30" customHeight="1" x14ac:dyDescent="0.25">
      <c r="A7" s="233">
        <f t="shared" si="0"/>
        <v>4</v>
      </c>
      <c r="B7" s="70" t="str">
        <f>+'SEMANA DEL 2 AL 7-3-26'!A8</f>
        <v>ESPERANZA REY</v>
      </c>
      <c r="C7" s="34"/>
      <c r="D7" s="48"/>
      <c r="E7" s="46"/>
      <c r="F7" s="46"/>
      <c r="G7" s="46"/>
      <c r="H7" s="46"/>
      <c r="I7" s="46"/>
      <c r="J7" s="45"/>
      <c r="K7" s="46"/>
    </row>
    <row r="8" spans="1:13" ht="30" customHeight="1" x14ac:dyDescent="0.25">
      <c r="A8" s="233">
        <f t="shared" si="0"/>
        <v>5</v>
      </c>
      <c r="B8" s="70" t="str">
        <f>+'SEMANA DEL 2 AL 7-3-26'!A9</f>
        <v xml:space="preserve">ELIZABETH REYES SERRANO </v>
      </c>
      <c r="C8" s="34"/>
      <c r="D8" s="55"/>
      <c r="E8" s="46"/>
      <c r="F8" s="46"/>
      <c r="G8" s="46"/>
      <c r="H8" s="46"/>
      <c r="I8" s="46"/>
      <c r="J8" s="46"/>
      <c r="K8" s="46"/>
    </row>
    <row r="9" spans="1:13" ht="30" customHeight="1" x14ac:dyDescent="0.25">
      <c r="A9" s="233">
        <f t="shared" si="0"/>
        <v>6</v>
      </c>
      <c r="B9" s="70" t="str">
        <f>+'SEMANA DEL 2 AL 7-3-26'!A10</f>
        <v>ELVIRA LOPEZ</v>
      </c>
      <c r="C9" s="34"/>
      <c r="D9" s="55"/>
      <c r="E9" s="46"/>
      <c r="F9" s="46"/>
      <c r="G9" s="46"/>
      <c r="H9" s="46"/>
      <c r="I9" s="46"/>
      <c r="J9" s="46"/>
      <c r="K9" s="46"/>
    </row>
    <row r="10" spans="1:13" ht="30" customHeight="1" x14ac:dyDescent="0.25">
      <c r="A10" s="233">
        <f t="shared" si="0"/>
        <v>7</v>
      </c>
      <c r="B10" s="70" t="str">
        <f>+'SEMANA DEL 2 AL 7-3-26'!A11</f>
        <v>ERNESTO REYES</v>
      </c>
      <c r="C10" s="34"/>
      <c r="D10" s="48"/>
      <c r="E10" s="46"/>
      <c r="F10" s="46"/>
      <c r="G10" s="46"/>
      <c r="H10" s="46"/>
      <c r="I10" s="46"/>
      <c r="J10" s="46"/>
      <c r="K10" s="46"/>
    </row>
    <row r="11" spans="1:13" ht="30" customHeight="1" x14ac:dyDescent="0.25">
      <c r="A11" s="233">
        <f t="shared" si="0"/>
        <v>8</v>
      </c>
      <c r="B11" s="70" t="str">
        <f>+'SEMANA DEL 2 AL 7-3-26'!A12</f>
        <v xml:space="preserve">GUILLERMO ZAMBRANO </v>
      </c>
      <c r="C11" s="34"/>
      <c r="D11" s="55"/>
      <c r="E11" s="46"/>
      <c r="F11" s="46"/>
      <c r="G11" s="46"/>
      <c r="H11" s="46"/>
      <c r="I11" s="46"/>
      <c r="J11" s="46"/>
      <c r="K11" s="46"/>
    </row>
    <row r="12" spans="1:13" ht="30" customHeight="1" x14ac:dyDescent="0.25">
      <c r="A12" s="233">
        <f t="shared" si="0"/>
        <v>9</v>
      </c>
      <c r="B12" s="70" t="str">
        <f>+'SEMANA DEL 2 AL 7-3-26'!A13</f>
        <v>HUGO ALMEIDA</v>
      </c>
      <c r="C12" s="34"/>
      <c r="D12" s="55"/>
      <c r="E12" s="46"/>
      <c r="F12" s="46"/>
      <c r="G12" s="46"/>
      <c r="H12" s="46"/>
      <c r="I12" s="46"/>
      <c r="J12" s="46"/>
      <c r="K12" s="46"/>
    </row>
    <row r="13" spans="1:13" ht="30" customHeight="1" x14ac:dyDescent="0.25">
      <c r="A13" s="233">
        <f t="shared" si="0"/>
        <v>10</v>
      </c>
      <c r="B13" s="70" t="str">
        <f>+'SEMANA DEL 2 AL 7-3-26'!A14</f>
        <v>HILDA SERRANO</v>
      </c>
      <c r="C13" s="34"/>
      <c r="D13" s="55"/>
      <c r="E13" s="46"/>
      <c r="F13" s="46"/>
      <c r="G13" s="46"/>
      <c r="H13" s="46"/>
      <c r="I13" s="46"/>
      <c r="J13" s="46"/>
      <c r="K13" s="46"/>
    </row>
    <row r="14" spans="1:13" ht="30" customHeight="1" x14ac:dyDescent="0.25">
      <c r="A14" s="233">
        <f t="shared" si="0"/>
        <v>11</v>
      </c>
      <c r="B14" s="70" t="str">
        <f>+'SEMANA DEL 2 AL 7-3-26'!A15</f>
        <v xml:space="preserve">HUMBERTO LUNA </v>
      </c>
      <c r="C14" s="34"/>
      <c r="D14" s="55"/>
      <c r="E14" s="46"/>
      <c r="F14" s="46"/>
      <c r="G14" s="46"/>
      <c r="H14" s="46"/>
      <c r="I14" s="46"/>
      <c r="J14" s="46"/>
      <c r="K14" s="46"/>
    </row>
    <row r="15" spans="1:13" ht="30" customHeight="1" x14ac:dyDescent="0.25">
      <c r="A15" s="233">
        <f t="shared" si="0"/>
        <v>12</v>
      </c>
      <c r="B15" s="70" t="str">
        <f>+'SEMANA DEL 2 AL 7-3-26'!A16</f>
        <v>JOSE EBLAN GIRON</v>
      </c>
      <c r="C15" s="34"/>
      <c r="D15" s="48"/>
      <c r="E15" s="45"/>
      <c r="F15" s="45"/>
      <c r="G15" s="45"/>
      <c r="H15" s="45"/>
      <c r="I15" s="45"/>
      <c r="J15" s="45"/>
      <c r="K15" s="46"/>
      <c r="L15" s="44"/>
    </row>
    <row r="16" spans="1:13" ht="30" customHeight="1" x14ac:dyDescent="0.25">
      <c r="A16" s="233">
        <f t="shared" si="0"/>
        <v>13</v>
      </c>
      <c r="B16" s="70" t="str">
        <f>+'SEMANA DEL 2 AL 7-3-26'!A17</f>
        <v xml:space="preserve">JOSE JURADO </v>
      </c>
      <c r="C16" s="34"/>
      <c r="D16" s="48"/>
      <c r="E16" s="45"/>
      <c r="F16" s="45"/>
      <c r="G16" s="45"/>
      <c r="H16" s="45"/>
      <c r="I16" s="45"/>
      <c r="J16" s="45"/>
      <c r="K16" s="46"/>
      <c r="L16" s="44"/>
    </row>
    <row r="17" spans="1:12" ht="30" customHeight="1" x14ac:dyDescent="0.25">
      <c r="A17" s="233">
        <f t="shared" si="0"/>
        <v>14</v>
      </c>
      <c r="B17" s="70" t="str">
        <f>+'SEMANA DEL 2 AL 7-3-26'!A18</f>
        <v xml:space="preserve">KARINA SILVA </v>
      </c>
      <c r="C17" s="34"/>
      <c r="D17" s="48"/>
      <c r="E17" s="45"/>
      <c r="F17" s="45"/>
      <c r="G17" s="45"/>
      <c r="H17" s="45"/>
      <c r="I17" s="45"/>
      <c r="J17" s="45"/>
      <c r="K17" s="46"/>
      <c r="L17" s="44"/>
    </row>
    <row r="18" spans="1:12" ht="30" customHeight="1" x14ac:dyDescent="0.25">
      <c r="A18" s="233">
        <f t="shared" si="0"/>
        <v>15</v>
      </c>
      <c r="B18" s="70" t="str">
        <f>+'SEMANA DEL 2 AL 7-3-26'!A19</f>
        <v>LUZ MERY ABAUNZA</v>
      </c>
      <c r="C18" s="34"/>
      <c r="D18" s="48"/>
      <c r="E18" s="45"/>
      <c r="F18" s="45"/>
      <c r="G18" s="45"/>
      <c r="H18" s="45"/>
      <c r="I18" s="45"/>
      <c r="J18" s="45"/>
      <c r="K18" s="46"/>
      <c r="L18" s="44"/>
    </row>
    <row r="19" spans="1:12" ht="30" customHeight="1" x14ac:dyDescent="0.25">
      <c r="A19" s="233">
        <f t="shared" si="0"/>
        <v>16</v>
      </c>
      <c r="B19" s="70" t="str">
        <f>+'SEMANA DEL 2 AL 7-3-26'!A20</f>
        <v>LUIS ROJAS</v>
      </c>
      <c r="C19" s="34"/>
      <c r="D19" s="48"/>
      <c r="E19" s="45"/>
      <c r="F19" s="45"/>
      <c r="G19" s="45"/>
      <c r="H19" s="45"/>
      <c r="I19" s="45"/>
      <c r="J19" s="45"/>
      <c r="K19" s="46"/>
      <c r="L19" s="44"/>
    </row>
    <row r="20" spans="1:12" ht="30" customHeight="1" x14ac:dyDescent="0.25">
      <c r="A20" s="233">
        <f t="shared" si="0"/>
        <v>17</v>
      </c>
      <c r="B20" s="70" t="str">
        <f>+'SEMANA DEL 2 AL 7-3-26'!A21</f>
        <v xml:space="preserve">LUIS VALDERRAMA </v>
      </c>
      <c r="C20" s="34"/>
      <c r="D20" s="48"/>
      <c r="E20" s="45"/>
      <c r="F20" s="45"/>
      <c r="G20" s="45"/>
      <c r="H20" s="45"/>
      <c r="I20" s="45"/>
      <c r="J20" s="45"/>
      <c r="K20" s="46"/>
      <c r="L20" s="44"/>
    </row>
    <row r="21" spans="1:12" ht="30" customHeight="1" x14ac:dyDescent="0.25">
      <c r="A21" s="233">
        <f t="shared" si="0"/>
        <v>18</v>
      </c>
      <c r="B21" s="70" t="str">
        <f>+'SEMANA DEL 2 AL 7-3-26'!A22</f>
        <v>LILIANA  VEGA</v>
      </c>
      <c r="C21" s="34"/>
      <c r="D21" s="48"/>
      <c r="E21" s="45"/>
      <c r="F21" s="45"/>
      <c r="G21" s="45"/>
      <c r="H21" s="45"/>
      <c r="I21" s="45"/>
      <c r="J21" s="45"/>
      <c r="K21" s="46"/>
      <c r="L21" s="44"/>
    </row>
    <row r="22" spans="1:12" ht="30" customHeight="1" x14ac:dyDescent="0.25">
      <c r="A22" s="233">
        <f t="shared" si="0"/>
        <v>19</v>
      </c>
      <c r="B22" s="70" t="str">
        <f>+'SEMANA DEL 2 AL 7-3-26'!A23</f>
        <v xml:space="preserve">LUIS ERNESTO ALMEIDA </v>
      </c>
      <c r="C22" s="34"/>
      <c r="D22" s="48"/>
      <c r="E22" s="45"/>
      <c r="F22" s="45"/>
      <c r="G22" s="45"/>
      <c r="H22" s="45"/>
      <c r="I22" s="45"/>
      <c r="J22" s="45"/>
      <c r="K22" s="46"/>
      <c r="L22" s="44"/>
    </row>
    <row r="23" spans="1:12" ht="30" customHeight="1" x14ac:dyDescent="0.25">
      <c r="A23" s="233">
        <f t="shared" si="0"/>
        <v>20</v>
      </c>
      <c r="B23" s="70" t="str">
        <f>+'SEMANA DEL 2 AL 7-3-26'!A24</f>
        <v xml:space="preserve">LEIDY SERRANO </v>
      </c>
      <c r="C23" s="34"/>
      <c r="D23" s="48"/>
      <c r="E23" s="45"/>
      <c r="F23" s="45"/>
      <c r="G23" s="45"/>
      <c r="H23" s="45"/>
      <c r="I23" s="45"/>
      <c r="J23" s="45"/>
      <c r="K23" s="46"/>
      <c r="L23" s="44"/>
    </row>
    <row r="24" spans="1:12" ht="30" customHeight="1" x14ac:dyDescent="0.25">
      <c r="A24" s="233">
        <f t="shared" si="0"/>
        <v>21</v>
      </c>
      <c r="B24" s="70" t="str">
        <f>+'SEMANA DEL 2 AL 7-3-26'!A25</f>
        <v xml:space="preserve">MAYERLIN BOLIVAR </v>
      </c>
      <c r="C24" s="34"/>
      <c r="D24" s="48"/>
      <c r="E24" s="45"/>
      <c r="F24" s="45"/>
      <c r="G24" s="45"/>
      <c r="H24" s="45"/>
      <c r="I24" s="45"/>
      <c r="J24" s="45"/>
      <c r="K24" s="46"/>
      <c r="L24" s="44"/>
    </row>
    <row r="25" spans="1:12" ht="30" customHeight="1" x14ac:dyDescent="0.25">
      <c r="A25" s="233">
        <f t="shared" si="0"/>
        <v>22</v>
      </c>
      <c r="B25" s="70" t="str">
        <f>+'SEMANA DEL 2 AL 7-3-26'!A26</f>
        <v xml:space="preserve">MARTHA SILVA </v>
      </c>
      <c r="C25" s="34"/>
      <c r="D25" s="48"/>
      <c r="E25" s="45"/>
      <c r="F25" s="45"/>
      <c r="G25" s="45"/>
      <c r="H25" s="45"/>
      <c r="I25" s="45"/>
      <c r="J25" s="45"/>
      <c r="K25" s="46"/>
      <c r="L25" s="44"/>
    </row>
    <row r="26" spans="1:12" ht="30" customHeight="1" x14ac:dyDescent="0.25">
      <c r="A26" s="233">
        <f t="shared" si="0"/>
        <v>23</v>
      </c>
      <c r="B26" s="70" t="str">
        <f>+'SEMANA DEL 2 AL 7-3-26'!A27</f>
        <v>MARIELA MARTINEZ</v>
      </c>
      <c r="C26" s="34"/>
      <c r="D26" s="48"/>
      <c r="E26" s="45"/>
      <c r="F26" s="45"/>
      <c r="G26" s="45"/>
      <c r="H26" s="45"/>
      <c r="I26" s="45"/>
      <c r="J26" s="45"/>
      <c r="K26" s="46"/>
      <c r="L26" s="44"/>
    </row>
    <row r="27" spans="1:12" ht="30" customHeight="1" x14ac:dyDescent="0.25">
      <c r="A27" s="233">
        <f t="shared" si="0"/>
        <v>24</v>
      </c>
      <c r="B27" s="70" t="str">
        <f>+'SEMANA DEL 2 AL 7-3-26'!A28</f>
        <v xml:space="preserve">MANUEL CONTRERAS </v>
      </c>
      <c r="C27" s="34"/>
      <c r="D27" s="48"/>
      <c r="E27" s="45"/>
      <c r="F27" s="45"/>
      <c r="G27" s="45"/>
      <c r="H27" s="45"/>
      <c r="I27" s="45"/>
      <c r="J27" s="45"/>
      <c r="K27" s="46"/>
      <c r="L27" s="44"/>
    </row>
    <row r="28" spans="1:12" ht="30" customHeight="1" x14ac:dyDescent="0.25">
      <c r="A28" s="233">
        <f t="shared" si="0"/>
        <v>25</v>
      </c>
      <c r="B28" s="70" t="str">
        <f>+'SEMANA DEL 2 AL 7-3-26'!A29</f>
        <v xml:space="preserve">MARIA MEDINA </v>
      </c>
      <c r="C28" s="34"/>
      <c r="D28" s="48"/>
      <c r="E28" s="45"/>
      <c r="F28" s="45"/>
      <c r="G28" s="45"/>
      <c r="H28" s="45"/>
      <c r="I28" s="45"/>
      <c r="J28" s="45"/>
      <c r="K28" s="46"/>
      <c r="L28" s="44"/>
    </row>
    <row r="29" spans="1:12" ht="30" customHeight="1" x14ac:dyDescent="0.25">
      <c r="A29" s="233">
        <f t="shared" si="0"/>
        <v>26</v>
      </c>
      <c r="B29" s="70" t="str">
        <f>+'SEMANA DEL 2 AL 7-3-26'!A30</f>
        <v xml:space="preserve">PETTER BENAVIDES </v>
      </c>
      <c r="C29" s="34"/>
      <c r="D29" s="48"/>
      <c r="E29" s="45"/>
      <c r="F29" s="45"/>
      <c r="G29" s="45"/>
      <c r="H29" s="45"/>
      <c r="I29" s="45"/>
      <c r="J29" s="45"/>
      <c r="K29" s="46"/>
      <c r="L29" s="44"/>
    </row>
    <row r="30" spans="1:12" ht="30" customHeight="1" x14ac:dyDescent="0.25">
      <c r="A30" s="233">
        <f t="shared" si="0"/>
        <v>27</v>
      </c>
      <c r="B30" s="70" t="str">
        <f>+'SEMANA DEL 2 AL 7-3-26'!A31</f>
        <v xml:space="preserve">RAMON PARRA </v>
      </c>
      <c r="C30" s="34"/>
      <c r="D30" s="48"/>
      <c r="E30" s="45"/>
      <c r="F30" s="45"/>
      <c r="G30" s="45"/>
      <c r="H30" s="45"/>
      <c r="I30" s="45"/>
      <c r="J30" s="45"/>
      <c r="K30" s="46"/>
      <c r="L30" s="44"/>
    </row>
    <row r="31" spans="1:12" ht="30" customHeight="1" x14ac:dyDescent="0.25">
      <c r="A31" s="233">
        <f t="shared" si="0"/>
        <v>28</v>
      </c>
      <c r="B31" s="70" t="str">
        <f>+'SEMANA DEL 2 AL 7-3-26'!A32</f>
        <v>SULAY ALMEIDA</v>
      </c>
      <c r="C31" s="34"/>
      <c r="D31" s="48"/>
      <c r="E31" s="45"/>
      <c r="F31" s="45"/>
      <c r="G31" s="45"/>
      <c r="H31" s="45"/>
      <c r="I31" s="45"/>
      <c r="J31" s="45"/>
      <c r="K31" s="46"/>
      <c r="L31" s="44"/>
    </row>
    <row r="32" spans="1:12" ht="30" customHeight="1" x14ac:dyDescent="0.25">
      <c r="A32" s="233">
        <f t="shared" si="0"/>
        <v>29</v>
      </c>
      <c r="B32" s="70" t="str">
        <f>+'SEMANA DEL 2 AL 7-3-26'!A33</f>
        <v xml:space="preserve">RENE ALMEIDA </v>
      </c>
      <c r="C32" s="34"/>
      <c r="D32" s="48"/>
      <c r="E32" s="45"/>
      <c r="F32" s="45"/>
      <c r="G32" s="45"/>
      <c r="H32" s="45"/>
      <c r="I32" s="45"/>
      <c r="J32" s="45"/>
      <c r="K32" s="46"/>
      <c r="L32" s="44"/>
    </row>
    <row r="33" spans="1:22" ht="30" customHeight="1" x14ac:dyDescent="0.25">
      <c r="A33" s="233">
        <f t="shared" si="0"/>
        <v>30</v>
      </c>
      <c r="B33" s="70" t="str">
        <f>+'SEMANA DEL 2 AL 7-3-26'!A34</f>
        <v>RUBIELA MARTINEZ</v>
      </c>
      <c r="C33" s="34"/>
      <c r="D33" s="48"/>
      <c r="E33" s="45"/>
      <c r="F33" s="45"/>
      <c r="G33" s="45"/>
      <c r="H33" s="45"/>
      <c r="I33" s="45"/>
      <c r="J33" s="45"/>
      <c r="K33" s="46"/>
      <c r="L33" s="44"/>
    </row>
    <row r="34" spans="1:22" ht="30" customHeight="1" x14ac:dyDescent="0.25">
      <c r="A34" s="233">
        <f t="shared" si="0"/>
        <v>31</v>
      </c>
      <c r="B34" s="70" t="str">
        <f>+'SEMANA DEL 2 AL 7-3-26'!A35</f>
        <v xml:space="preserve">ROSMIRA DURAN </v>
      </c>
      <c r="C34" s="34"/>
      <c r="D34" s="48"/>
      <c r="E34" s="45"/>
      <c r="F34" s="45"/>
      <c r="G34" s="45"/>
      <c r="H34" s="45"/>
      <c r="I34" s="45"/>
      <c r="J34" s="45"/>
      <c r="K34" s="46"/>
      <c r="L34" s="44"/>
    </row>
    <row r="35" spans="1:22" ht="30" customHeight="1" x14ac:dyDescent="0.25">
      <c r="A35" s="233">
        <f t="shared" si="0"/>
        <v>32</v>
      </c>
      <c r="B35" s="70" t="str">
        <f>+'SEMANA DEL 2 AL 7-3-26'!A36</f>
        <v xml:space="preserve">ROSALBA MATAGIRA </v>
      </c>
      <c r="C35" s="34"/>
      <c r="D35" s="48"/>
      <c r="E35" s="45"/>
      <c r="F35" s="45"/>
      <c r="G35" s="45"/>
      <c r="H35" s="45"/>
      <c r="I35" s="45"/>
      <c r="J35" s="45"/>
      <c r="K35" s="46"/>
      <c r="L35" s="44"/>
    </row>
    <row r="36" spans="1:22" ht="30" customHeight="1" x14ac:dyDescent="0.25">
      <c r="A36" s="233">
        <f t="shared" si="0"/>
        <v>33</v>
      </c>
      <c r="B36" s="70" t="str">
        <f>+'SEMANA DEL 2 AL 7-3-26'!A37</f>
        <v>STELLA SILVA</v>
      </c>
      <c r="C36" s="34"/>
      <c r="D36" s="48"/>
      <c r="E36" s="45"/>
      <c r="F36" s="45"/>
      <c r="G36" s="45"/>
      <c r="H36" s="45"/>
      <c r="I36" s="45"/>
      <c r="J36" s="45"/>
      <c r="K36" s="46"/>
      <c r="L36" s="44"/>
    </row>
    <row r="37" spans="1:22" ht="30" customHeight="1" x14ac:dyDescent="0.25">
      <c r="A37" s="233">
        <f t="shared" si="0"/>
        <v>34</v>
      </c>
      <c r="B37" s="70" t="str">
        <f>+'SEMANA DEL 2 AL 7-3-26'!A38</f>
        <v>SANDRA MILENA ANTOLINES</v>
      </c>
      <c r="C37" s="46"/>
      <c r="D37" s="46"/>
      <c r="E37" s="46"/>
      <c r="F37" s="46"/>
      <c r="G37" s="46"/>
      <c r="H37" s="46"/>
      <c r="I37" s="46"/>
      <c r="J37" s="46"/>
      <c r="K37" s="46"/>
    </row>
    <row r="38" spans="1:22" ht="30" customHeight="1" x14ac:dyDescent="0.25">
      <c r="A38" s="233">
        <f t="shared" si="0"/>
        <v>35</v>
      </c>
      <c r="B38" s="70" t="str">
        <f>+'SEMANA DEL 2 AL 7-3-26'!A39</f>
        <v xml:space="preserve">SANDRA MORENO </v>
      </c>
      <c r="C38" s="46"/>
      <c r="D38" s="46"/>
      <c r="E38" s="46"/>
      <c r="F38" s="46"/>
      <c r="G38" s="46"/>
      <c r="H38" s="46"/>
      <c r="I38" s="46"/>
      <c r="J38" s="46"/>
      <c r="K38" s="46"/>
    </row>
    <row r="39" spans="1:22" ht="30" customHeight="1" x14ac:dyDescent="0.25">
      <c r="A39" s="233">
        <f t="shared" si="0"/>
        <v>36</v>
      </c>
      <c r="B39" s="70" t="str">
        <f>+'SEMANA DEL 2 AL 7-3-26'!A40</f>
        <v xml:space="preserve">YENDER PADILLA </v>
      </c>
      <c r="C39" s="46"/>
      <c r="D39" s="46"/>
      <c r="E39" s="46"/>
      <c r="F39" s="46"/>
      <c r="G39" s="46"/>
      <c r="H39" s="46"/>
      <c r="I39" s="46"/>
      <c r="J39" s="46"/>
      <c r="K39" s="46"/>
    </row>
    <row r="40" spans="1:22" ht="30" customHeight="1" x14ac:dyDescent="0.25">
      <c r="A40" s="233">
        <f t="shared" si="0"/>
        <v>37</v>
      </c>
      <c r="B40" s="70" t="str">
        <f>+'SEMANA DEL 2 AL 7-3-26'!A41</f>
        <v xml:space="preserve">YEFERSON CONTRERAS </v>
      </c>
      <c r="C40" s="46"/>
      <c r="D40" s="46"/>
      <c r="E40" s="46"/>
      <c r="F40" s="46"/>
      <c r="G40" s="46"/>
      <c r="H40" s="46"/>
      <c r="I40" s="46"/>
      <c r="J40" s="46"/>
      <c r="K40" s="46"/>
    </row>
    <row r="41" spans="1:22" ht="30" customHeight="1" x14ac:dyDescent="0.25">
      <c r="A41" s="233">
        <f t="shared" si="0"/>
        <v>38</v>
      </c>
      <c r="B41" s="70" t="str">
        <f>+'SEMANA DEL 2 AL 7-3-26'!A42</f>
        <v>YARIRETH ROA</v>
      </c>
      <c r="C41" s="46"/>
      <c r="D41" s="46"/>
      <c r="E41" s="46"/>
      <c r="F41" s="46"/>
      <c r="G41" s="46"/>
      <c r="H41" s="46"/>
      <c r="I41" s="46"/>
      <c r="J41" s="46"/>
      <c r="K41" s="46"/>
    </row>
    <row r="42" spans="1:22" ht="30" customHeight="1" x14ac:dyDescent="0.25">
      <c r="A42" s="233">
        <f t="shared" si="0"/>
        <v>39</v>
      </c>
      <c r="B42" s="70" t="str">
        <f>+'SEMANA DEL 2 AL 7-3-26'!A43</f>
        <v xml:space="preserve">YOLI BECERRA </v>
      </c>
      <c r="C42" s="46"/>
      <c r="D42" s="46"/>
      <c r="E42" s="46"/>
      <c r="F42" s="46"/>
      <c r="G42" s="46"/>
      <c r="H42" s="46"/>
      <c r="I42" s="46"/>
      <c r="J42" s="46"/>
      <c r="K42" s="46"/>
    </row>
    <row r="43" spans="1:22" ht="30" customHeight="1" x14ac:dyDescent="0.25">
      <c r="A43" s="233">
        <f t="shared" si="0"/>
        <v>40</v>
      </c>
      <c r="B43" s="70" t="str">
        <f>+'SEMANA DEL 2 AL 7-3-26'!A44</f>
        <v xml:space="preserve">MUESTRAS SRA MARIA </v>
      </c>
      <c r="C43" s="46"/>
      <c r="D43" s="46"/>
      <c r="E43" s="46"/>
      <c r="F43" s="46"/>
      <c r="G43" s="46"/>
      <c r="H43" s="46"/>
      <c r="I43" s="46"/>
      <c r="J43" s="46"/>
      <c r="K43" s="46"/>
    </row>
    <row r="44" spans="1:22" ht="30" customHeight="1" x14ac:dyDescent="0.25">
      <c r="A44" s="233">
        <f t="shared" si="0"/>
        <v>41</v>
      </c>
      <c r="B44" s="70">
        <f>+'SEMANA DEL 2 AL 7-3-26'!A45</f>
        <v>0</v>
      </c>
      <c r="C44" s="46"/>
      <c r="D44" s="46"/>
      <c r="E44" s="46"/>
      <c r="F44" s="46"/>
      <c r="G44" s="46"/>
      <c r="H44" s="46"/>
      <c r="I44" s="46"/>
      <c r="J44" s="46"/>
      <c r="K44" s="46"/>
    </row>
    <row r="45" spans="1:22" ht="30" customHeight="1" x14ac:dyDescent="0.25">
      <c r="A45" s="233">
        <f t="shared" si="0"/>
        <v>42</v>
      </c>
      <c r="B45" s="70">
        <f>+'SEMANA DEL 2 AL 7-3-26'!A46</f>
        <v>0</v>
      </c>
      <c r="C45" s="46"/>
      <c r="D45" s="46"/>
      <c r="E45" s="46"/>
      <c r="F45" s="46"/>
      <c r="G45" s="46"/>
      <c r="H45" s="46"/>
      <c r="I45" s="46"/>
      <c r="J45" s="46"/>
      <c r="K45" s="46"/>
    </row>
    <row r="46" spans="1:22" ht="30" customHeight="1" x14ac:dyDescent="0.25">
      <c r="A46" s="233">
        <f t="shared" si="0"/>
        <v>43</v>
      </c>
      <c r="B46" s="70">
        <f>+'SEMANA DEL 2 AL 7-3-26'!A47</f>
        <v>0</v>
      </c>
      <c r="C46" s="46"/>
      <c r="D46" s="46"/>
      <c r="E46" s="46"/>
      <c r="F46" s="46"/>
      <c r="G46" s="46"/>
      <c r="H46" s="46"/>
      <c r="I46" s="46"/>
      <c r="J46" s="46"/>
      <c r="K46" s="46"/>
    </row>
    <row r="47" spans="1:22" ht="30" customHeight="1" x14ac:dyDescent="0.25">
      <c r="A47" s="233">
        <f t="shared" si="0"/>
        <v>44</v>
      </c>
      <c r="B47" s="70">
        <f>+'SEMANA DEL 2 AL 7-3-26'!A48</f>
        <v>0</v>
      </c>
      <c r="C47" s="46"/>
      <c r="D47" s="46"/>
      <c r="E47" s="46"/>
      <c r="F47" s="46"/>
      <c r="G47" s="46"/>
      <c r="H47" s="46"/>
      <c r="I47" s="46"/>
      <c r="J47" s="46"/>
      <c r="K47" s="4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</row>
    <row r="48" spans="1:22" ht="30" customHeight="1" x14ac:dyDescent="0.25">
      <c r="A48" s="233">
        <f t="shared" si="0"/>
        <v>45</v>
      </c>
      <c r="B48" s="70">
        <f>+'SEMANA DEL 2 AL 7-3-26'!A49</f>
        <v>0</v>
      </c>
      <c r="C48" s="46"/>
      <c r="D48" s="46"/>
      <c r="E48" s="46"/>
      <c r="F48" s="46"/>
      <c r="G48" s="46"/>
      <c r="H48" s="46"/>
      <c r="I48" s="46"/>
      <c r="J48" s="46"/>
      <c r="K48" s="4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</row>
    <row r="49" spans="1:22" ht="30" customHeight="1" x14ac:dyDescent="0.25">
      <c r="A49" s="233">
        <f t="shared" si="0"/>
        <v>46</v>
      </c>
      <c r="B49" s="70">
        <f>+'SEMANA DEL 2 AL 7-3-26'!A50</f>
        <v>0</v>
      </c>
      <c r="C49" s="46"/>
      <c r="D49" s="46"/>
      <c r="E49" s="46"/>
      <c r="F49" s="46"/>
      <c r="G49" s="46"/>
      <c r="H49" s="46"/>
      <c r="I49" s="46"/>
      <c r="J49" s="46"/>
      <c r="K49" s="4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</row>
    <row r="50" spans="1:22" ht="30" customHeight="1" x14ac:dyDescent="0.25">
      <c r="A50" s="233">
        <f t="shared" si="0"/>
        <v>47</v>
      </c>
      <c r="B50" s="70">
        <f>+'SEMANA DEL 2 AL 7-3-26'!A54</f>
        <v>0</v>
      </c>
      <c r="C50" s="46"/>
      <c r="D50" s="46"/>
      <c r="E50" s="46"/>
      <c r="F50" s="46"/>
      <c r="G50" s="46"/>
      <c r="H50" s="46"/>
      <c r="I50" s="46"/>
      <c r="J50" s="46"/>
      <c r="K50" s="4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</row>
    <row r="51" spans="1:22" ht="15.75" x14ac:dyDescent="0.25">
      <c r="A51" s="286"/>
      <c r="B51" s="354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</row>
    <row r="52" spans="1:22" ht="15.75" x14ac:dyDescent="0.25">
      <c r="A52" s="286"/>
      <c r="B52" s="354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</row>
    <row r="53" spans="1:22" ht="15.75" x14ac:dyDescent="0.25">
      <c r="A53" s="286"/>
      <c r="B53" s="354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</row>
    <row r="54" spans="1:22" ht="15.75" x14ac:dyDescent="0.25">
      <c r="A54" s="286"/>
      <c r="B54" s="354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</row>
    <row r="55" spans="1:22" ht="15.75" x14ac:dyDescent="0.25">
      <c r="A55" s="286"/>
      <c r="B55" s="354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</row>
    <row r="56" spans="1:22" ht="15.75" x14ac:dyDescent="0.25">
      <c r="A56" s="286"/>
      <c r="B56" s="354"/>
      <c r="C56" s="286"/>
      <c r="D56" s="286"/>
      <c r="E56" s="286"/>
      <c r="F56" s="286"/>
    </row>
    <row r="57" spans="1:22" x14ac:dyDescent="0.2">
      <c r="A57" s="286"/>
      <c r="B57" s="286"/>
      <c r="C57" s="286"/>
      <c r="D57" s="286"/>
      <c r="E57" s="286"/>
      <c r="F57" s="286"/>
    </row>
    <row r="58" spans="1:22" x14ac:dyDescent="0.2">
      <c r="A58" s="286"/>
      <c r="B58" s="286"/>
      <c r="C58" s="286"/>
      <c r="D58" s="286"/>
      <c r="E58" s="286"/>
      <c r="F58" s="286"/>
    </row>
    <row r="59" spans="1:22" x14ac:dyDescent="0.2">
      <c r="A59" s="286"/>
      <c r="B59" s="286"/>
      <c r="C59" s="286"/>
      <c r="D59" s="286"/>
      <c r="E59" s="286"/>
      <c r="F59" s="286"/>
    </row>
    <row r="60" spans="1:22" x14ac:dyDescent="0.2">
      <c r="A60" s="286"/>
      <c r="B60" s="286"/>
      <c r="C60" s="286"/>
      <c r="D60" s="286"/>
      <c r="E60" s="286"/>
      <c r="F60" s="286"/>
    </row>
    <row r="61" spans="1:22" x14ac:dyDescent="0.2">
      <c r="A61" s="286"/>
      <c r="B61" s="286"/>
      <c r="C61" s="286"/>
      <c r="D61" s="286"/>
      <c r="E61" s="286"/>
      <c r="F61" s="286"/>
    </row>
    <row r="62" spans="1:22" x14ac:dyDescent="0.2">
      <c r="A62" s="286"/>
      <c r="B62" s="286"/>
      <c r="C62" s="286"/>
      <c r="D62" s="286"/>
      <c r="E62" s="286"/>
      <c r="F62" s="286"/>
    </row>
    <row r="63" spans="1:22" x14ac:dyDescent="0.2">
      <c r="A63" s="286"/>
      <c r="B63" s="286"/>
      <c r="C63" s="286"/>
      <c r="D63" s="286"/>
      <c r="E63" s="286"/>
      <c r="F63" s="286"/>
    </row>
    <row r="64" spans="1:22" x14ac:dyDescent="0.2">
      <c r="A64" s="286"/>
      <c r="B64" s="286"/>
      <c r="C64" s="286"/>
      <c r="D64" s="286"/>
      <c r="E64" s="286"/>
      <c r="F64" s="286"/>
    </row>
    <row r="65" spans="1:6" x14ac:dyDescent="0.2">
      <c r="A65" s="286"/>
      <c r="B65" s="286"/>
      <c r="C65" s="286"/>
      <c r="D65" s="286"/>
      <c r="E65" s="286"/>
      <c r="F65" s="286"/>
    </row>
    <row r="66" spans="1:6" x14ac:dyDescent="0.2">
      <c r="A66" s="286"/>
      <c r="B66" s="286"/>
      <c r="C66" s="286"/>
      <c r="D66" s="286"/>
      <c r="E66" s="286"/>
      <c r="F66" s="286"/>
    </row>
    <row r="67" spans="1:6" x14ac:dyDescent="0.2">
      <c r="A67" s="286"/>
      <c r="B67" s="286"/>
      <c r="C67" s="286"/>
      <c r="D67" s="286"/>
      <c r="E67" s="286"/>
      <c r="F67" s="286"/>
    </row>
    <row r="68" spans="1:6" x14ac:dyDescent="0.2">
      <c r="A68" s="286"/>
      <c r="B68" s="286"/>
      <c r="C68" s="286"/>
      <c r="D68" s="286"/>
      <c r="E68" s="286"/>
      <c r="F68" s="286"/>
    </row>
    <row r="69" spans="1:6" x14ac:dyDescent="0.2">
      <c r="A69" s="286"/>
      <c r="B69" s="286"/>
      <c r="C69" s="286"/>
      <c r="D69" s="286"/>
      <c r="E69" s="286"/>
      <c r="F69" s="286"/>
    </row>
    <row r="70" spans="1:6" x14ac:dyDescent="0.2">
      <c r="A70" s="286"/>
      <c r="B70" s="286"/>
      <c r="C70" s="286"/>
      <c r="D70" s="286"/>
      <c r="E70" s="286"/>
      <c r="F70" s="286"/>
    </row>
    <row r="71" spans="1:6" x14ac:dyDescent="0.2">
      <c r="A71" s="286"/>
      <c r="B71" s="286"/>
      <c r="C71" s="286"/>
      <c r="D71" s="286"/>
      <c r="E71" s="286"/>
      <c r="F71" s="286"/>
    </row>
    <row r="72" spans="1:6" x14ac:dyDescent="0.2">
      <c r="A72" s="286"/>
      <c r="B72" s="286"/>
      <c r="C72" s="286"/>
      <c r="D72" s="286"/>
      <c r="E72" s="286"/>
      <c r="F72" s="286"/>
    </row>
    <row r="73" spans="1:6" x14ac:dyDescent="0.2">
      <c r="A73" s="286"/>
      <c r="B73" s="286"/>
      <c r="C73" s="286"/>
      <c r="D73" s="286"/>
      <c r="E73" s="286"/>
      <c r="F73" s="286"/>
    </row>
    <row r="74" spans="1:6" x14ac:dyDescent="0.2">
      <c r="A74" s="286"/>
      <c r="B74" s="286"/>
      <c r="C74" s="286"/>
      <c r="D74" s="286"/>
      <c r="E74" s="286"/>
      <c r="F74" s="286"/>
    </row>
    <row r="75" spans="1:6" x14ac:dyDescent="0.2">
      <c r="A75" s="286"/>
      <c r="B75" s="286"/>
      <c r="C75" s="286"/>
      <c r="D75" s="286"/>
      <c r="E75" s="286"/>
      <c r="F75" s="286"/>
    </row>
    <row r="76" spans="1:6" x14ac:dyDescent="0.2">
      <c r="A76" s="286"/>
      <c r="B76" s="286"/>
      <c r="C76" s="286"/>
      <c r="D76" s="286"/>
      <c r="E76" s="286"/>
      <c r="F76" s="286"/>
    </row>
    <row r="77" spans="1:6" x14ac:dyDescent="0.2">
      <c r="A77" s="286"/>
      <c r="B77" s="286"/>
      <c r="C77" s="286"/>
      <c r="D77" s="286"/>
      <c r="E77" s="286"/>
      <c r="F77" s="286"/>
    </row>
    <row r="78" spans="1:6" x14ac:dyDescent="0.2">
      <c r="A78" s="286"/>
      <c r="B78" s="286"/>
      <c r="C78" s="286"/>
      <c r="D78" s="286"/>
      <c r="E78" s="286"/>
      <c r="F78" s="286"/>
    </row>
    <row r="79" spans="1:6" x14ac:dyDescent="0.2">
      <c r="A79" s="286"/>
      <c r="B79" s="286"/>
      <c r="C79" s="286"/>
      <c r="D79" s="286"/>
      <c r="E79" s="286"/>
      <c r="F79" s="286"/>
    </row>
    <row r="80" spans="1:6" x14ac:dyDescent="0.2">
      <c r="A80" s="286"/>
      <c r="B80" s="286"/>
      <c r="C80" s="286"/>
      <c r="D80" s="286"/>
      <c r="E80" s="286"/>
      <c r="F80" s="286"/>
    </row>
    <row r="81" spans="1:6" x14ac:dyDescent="0.2">
      <c r="A81" s="286"/>
      <c r="B81" s="286"/>
      <c r="C81" s="286"/>
      <c r="D81" s="286"/>
      <c r="E81" s="286"/>
      <c r="F81" s="286"/>
    </row>
    <row r="82" spans="1:6" x14ac:dyDescent="0.2">
      <c r="A82" s="286"/>
      <c r="B82" s="286"/>
      <c r="C82" s="286"/>
      <c r="D82" s="286"/>
      <c r="E82" s="286"/>
      <c r="F82" s="286"/>
    </row>
    <row r="83" spans="1:6" x14ac:dyDescent="0.2">
      <c r="A83" s="286"/>
      <c r="B83" s="286"/>
      <c r="C83" s="286"/>
      <c r="D83" s="286"/>
      <c r="E83" s="286"/>
      <c r="F83" s="286"/>
    </row>
    <row r="84" spans="1:6" x14ac:dyDescent="0.2">
      <c r="A84" s="286"/>
      <c r="B84" s="286"/>
      <c r="C84" s="286"/>
      <c r="D84" s="286"/>
      <c r="E84" s="286"/>
      <c r="F84" s="286"/>
    </row>
    <row r="85" spans="1:6" x14ac:dyDescent="0.2">
      <c r="A85" s="286"/>
      <c r="B85" s="286"/>
      <c r="C85" s="286"/>
      <c r="D85" s="286"/>
      <c r="E85" s="286"/>
      <c r="F85" s="286"/>
    </row>
    <row r="86" spans="1:6" x14ac:dyDescent="0.2">
      <c r="A86" s="286"/>
      <c r="B86" s="286"/>
      <c r="C86" s="286"/>
      <c r="D86" s="286"/>
      <c r="E86" s="286"/>
      <c r="F86" s="286"/>
    </row>
    <row r="87" spans="1:6" x14ac:dyDescent="0.2">
      <c r="A87" s="286"/>
      <c r="B87" s="286"/>
      <c r="C87" s="286"/>
      <c r="D87" s="286"/>
      <c r="E87" s="286"/>
      <c r="F87" s="286"/>
    </row>
    <row r="88" spans="1:6" x14ac:dyDescent="0.2">
      <c r="A88" s="286"/>
      <c r="B88" s="286"/>
      <c r="C88" s="286"/>
      <c r="D88" s="286"/>
      <c r="E88" s="286"/>
      <c r="F88" s="286"/>
    </row>
    <row r="89" spans="1:6" x14ac:dyDescent="0.2">
      <c r="A89" s="286"/>
      <c r="B89" s="286"/>
      <c r="C89" s="286"/>
      <c r="D89" s="286"/>
      <c r="E89" s="286"/>
      <c r="F89" s="286"/>
    </row>
    <row r="90" spans="1:6" x14ac:dyDescent="0.2">
      <c r="A90" s="286"/>
      <c r="B90" s="286"/>
      <c r="C90" s="286"/>
      <c r="D90" s="286"/>
      <c r="E90" s="286"/>
      <c r="F90" s="286"/>
    </row>
    <row r="91" spans="1:6" x14ac:dyDescent="0.2">
      <c r="A91" s="286"/>
      <c r="B91" s="286"/>
      <c r="C91" s="286"/>
      <c r="D91" s="286"/>
      <c r="E91" s="286"/>
      <c r="F91" s="286"/>
    </row>
    <row r="92" spans="1:6" x14ac:dyDescent="0.2">
      <c r="A92" s="286"/>
      <c r="B92" s="286"/>
      <c r="C92" s="286"/>
      <c r="D92" s="286"/>
      <c r="E92" s="286"/>
      <c r="F92" s="286"/>
    </row>
    <row r="93" spans="1:6" x14ac:dyDescent="0.2">
      <c r="A93" s="286"/>
      <c r="B93" s="286"/>
      <c r="C93" s="286"/>
      <c r="D93" s="286"/>
      <c r="E93" s="286"/>
      <c r="F93" s="286"/>
    </row>
    <row r="94" spans="1:6" x14ac:dyDescent="0.2">
      <c r="A94" s="286"/>
      <c r="B94" s="286"/>
      <c r="C94" s="286"/>
      <c r="D94" s="286"/>
      <c r="E94" s="286"/>
      <c r="F94" s="286"/>
    </row>
    <row r="95" spans="1:6" x14ac:dyDescent="0.2">
      <c r="A95" s="286"/>
      <c r="B95" s="286"/>
      <c r="C95" s="286"/>
      <c r="D95" s="286"/>
      <c r="E95" s="286"/>
      <c r="F95" s="286"/>
    </row>
    <row r="96" spans="1:6" x14ac:dyDescent="0.2">
      <c r="A96" s="286"/>
      <c r="B96" s="286"/>
      <c r="C96" s="286"/>
      <c r="D96" s="286"/>
      <c r="E96" s="286"/>
      <c r="F96" s="286"/>
    </row>
    <row r="97" spans="1:6" x14ac:dyDescent="0.2">
      <c r="A97" s="286"/>
      <c r="B97" s="286"/>
      <c r="C97" s="286"/>
      <c r="D97" s="286"/>
      <c r="E97" s="286"/>
      <c r="F97" s="286"/>
    </row>
    <row r="98" spans="1:6" x14ac:dyDescent="0.2">
      <c r="A98" s="286"/>
      <c r="B98" s="286"/>
      <c r="C98" s="286"/>
      <c r="D98" s="286"/>
      <c r="E98" s="286"/>
      <c r="F98" s="286"/>
    </row>
    <row r="99" spans="1:6" x14ac:dyDescent="0.2">
      <c r="A99" s="286"/>
      <c r="B99" s="286"/>
      <c r="C99" s="286"/>
      <c r="D99" s="286"/>
      <c r="E99" s="286"/>
      <c r="F99" s="286"/>
    </row>
    <row r="100" spans="1:6" x14ac:dyDescent="0.2">
      <c r="A100" s="286"/>
      <c r="B100" s="286"/>
      <c r="C100" s="286"/>
      <c r="D100" s="286"/>
      <c r="E100" s="286"/>
      <c r="F100" s="286"/>
    </row>
    <row r="101" spans="1:6" x14ac:dyDescent="0.2">
      <c r="A101" s="286"/>
      <c r="B101" s="286"/>
      <c r="C101" s="286"/>
      <c r="D101" s="286"/>
      <c r="E101" s="286"/>
      <c r="F101" s="286"/>
    </row>
    <row r="102" spans="1:6" x14ac:dyDescent="0.2">
      <c r="A102" s="286"/>
      <c r="B102" s="286"/>
      <c r="C102" s="286"/>
      <c r="D102" s="286"/>
      <c r="E102" s="286"/>
      <c r="F102" s="286"/>
    </row>
    <row r="103" spans="1:6" x14ac:dyDescent="0.2">
      <c r="A103" s="286"/>
      <c r="B103" s="286"/>
      <c r="C103" s="286"/>
      <c r="D103" s="286"/>
      <c r="E103" s="286"/>
      <c r="F103" s="286"/>
    </row>
    <row r="104" spans="1:6" x14ac:dyDescent="0.2">
      <c r="A104" s="286"/>
      <c r="B104" s="286"/>
      <c r="C104" s="286"/>
      <c r="D104" s="286"/>
      <c r="E104" s="286"/>
      <c r="F104" s="286"/>
    </row>
    <row r="105" spans="1:6" x14ac:dyDescent="0.2">
      <c r="A105" s="286"/>
      <c r="B105" s="286"/>
      <c r="C105" s="286"/>
      <c r="D105" s="286"/>
      <c r="E105" s="286"/>
      <c r="F105" s="286"/>
    </row>
    <row r="106" spans="1:6" x14ac:dyDescent="0.2">
      <c r="A106" s="286"/>
      <c r="B106" s="286"/>
      <c r="C106" s="286"/>
      <c r="D106" s="286"/>
      <c r="E106" s="286"/>
      <c r="F106" s="286"/>
    </row>
    <row r="107" spans="1:6" x14ac:dyDescent="0.2">
      <c r="A107" s="286"/>
      <c r="B107" s="286"/>
      <c r="C107" s="286"/>
      <c r="D107" s="286"/>
      <c r="E107" s="286"/>
      <c r="F107" s="286"/>
    </row>
    <row r="108" spans="1:6" x14ac:dyDescent="0.2">
      <c r="A108" s="286"/>
      <c r="B108" s="286"/>
      <c r="C108" s="286"/>
      <c r="D108" s="286"/>
      <c r="E108" s="286"/>
      <c r="F108" s="286"/>
    </row>
    <row r="109" spans="1:6" x14ac:dyDescent="0.2">
      <c r="A109" s="286"/>
      <c r="B109" s="286"/>
      <c r="C109" s="286"/>
      <c r="D109" s="286"/>
      <c r="E109" s="286"/>
      <c r="F109" s="286"/>
    </row>
    <row r="110" spans="1:6" x14ac:dyDescent="0.2">
      <c r="A110" s="286"/>
      <c r="B110" s="286"/>
      <c r="C110" s="286"/>
      <c r="D110" s="286"/>
      <c r="E110" s="286"/>
      <c r="F110" s="286"/>
    </row>
    <row r="111" spans="1:6" x14ac:dyDescent="0.2">
      <c r="A111" s="286"/>
      <c r="B111" s="286"/>
      <c r="C111" s="286"/>
      <c r="D111" s="286"/>
      <c r="E111" s="286"/>
      <c r="F111" s="286"/>
    </row>
    <row r="112" spans="1:6" x14ac:dyDescent="0.2">
      <c r="A112" s="286"/>
      <c r="B112" s="286"/>
      <c r="C112" s="286"/>
      <c r="D112" s="286"/>
      <c r="E112" s="286"/>
      <c r="F112" s="286"/>
    </row>
    <row r="113" spans="1:6" x14ac:dyDescent="0.2">
      <c r="A113" s="286"/>
      <c r="B113" s="286"/>
      <c r="C113" s="286"/>
      <c r="D113" s="286"/>
      <c r="E113" s="286"/>
      <c r="F113" s="286"/>
    </row>
    <row r="114" spans="1:6" x14ac:dyDescent="0.2">
      <c r="A114" s="286"/>
      <c r="B114" s="286"/>
      <c r="C114" s="286"/>
      <c r="D114" s="286"/>
      <c r="E114" s="286"/>
      <c r="F114" s="286"/>
    </row>
    <row r="115" spans="1:6" x14ac:dyDescent="0.2">
      <c r="A115" s="286"/>
      <c r="B115" s="286"/>
      <c r="C115" s="286"/>
      <c r="D115" s="286"/>
      <c r="E115" s="286"/>
      <c r="F115" s="286"/>
    </row>
    <row r="116" spans="1:6" x14ac:dyDescent="0.2">
      <c r="A116" s="286"/>
      <c r="B116" s="286"/>
      <c r="C116" s="286"/>
      <c r="D116" s="286"/>
      <c r="E116" s="286"/>
      <c r="F116" s="286"/>
    </row>
    <row r="117" spans="1:6" x14ac:dyDescent="0.2">
      <c r="A117" s="286"/>
      <c r="B117" s="286"/>
      <c r="C117" s="286"/>
      <c r="D117" s="286"/>
      <c r="E117" s="286"/>
      <c r="F117" s="286"/>
    </row>
    <row r="118" spans="1:6" x14ac:dyDescent="0.2">
      <c r="A118" s="286"/>
      <c r="B118" s="286"/>
      <c r="C118" s="286"/>
      <c r="D118" s="286"/>
      <c r="E118" s="286"/>
      <c r="F118" s="286"/>
    </row>
    <row r="119" spans="1:6" x14ac:dyDescent="0.2">
      <c r="A119" s="286"/>
      <c r="B119" s="286"/>
      <c r="C119" s="286"/>
      <c r="D119" s="286"/>
      <c r="E119" s="286"/>
      <c r="F119" s="286"/>
    </row>
    <row r="120" spans="1:6" x14ac:dyDescent="0.2">
      <c r="A120" s="286"/>
      <c r="B120" s="286"/>
      <c r="C120" s="286"/>
      <c r="D120" s="286"/>
      <c r="E120" s="286"/>
      <c r="F120" s="286"/>
    </row>
    <row r="121" spans="1:6" x14ac:dyDescent="0.2">
      <c r="A121" s="286"/>
      <c r="B121" s="286"/>
      <c r="C121" s="286"/>
      <c r="D121" s="286"/>
      <c r="E121" s="286"/>
      <c r="F121" s="286"/>
    </row>
    <row r="122" spans="1:6" x14ac:dyDescent="0.2">
      <c r="A122" s="286"/>
      <c r="B122" s="286"/>
      <c r="C122" s="286"/>
      <c r="D122" s="286"/>
      <c r="E122" s="286"/>
      <c r="F122" s="286"/>
    </row>
    <row r="123" spans="1:6" x14ac:dyDescent="0.2">
      <c r="A123" s="286"/>
      <c r="B123" s="286"/>
      <c r="C123" s="286"/>
      <c r="D123" s="286"/>
      <c r="E123" s="286"/>
      <c r="F123" s="286"/>
    </row>
    <row r="124" spans="1:6" x14ac:dyDescent="0.2">
      <c r="A124" s="286"/>
      <c r="B124" s="286"/>
      <c r="C124" s="286"/>
      <c r="D124" s="286"/>
      <c r="E124" s="286"/>
      <c r="F124" s="286"/>
    </row>
    <row r="125" spans="1:6" x14ac:dyDescent="0.2">
      <c r="A125" s="286"/>
      <c r="B125" s="286"/>
      <c r="C125" s="286"/>
      <c r="D125" s="286"/>
      <c r="E125" s="286"/>
      <c r="F125" s="286"/>
    </row>
    <row r="126" spans="1:6" x14ac:dyDescent="0.2">
      <c r="A126" s="286"/>
      <c r="B126" s="286"/>
      <c r="C126" s="286"/>
      <c r="D126" s="286"/>
      <c r="E126" s="286"/>
      <c r="F126" s="286"/>
    </row>
    <row r="127" spans="1:6" x14ac:dyDescent="0.2">
      <c r="A127" s="286"/>
      <c r="B127" s="286"/>
      <c r="C127" s="286"/>
      <c r="D127" s="286"/>
      <c r="E127" s="286"/>
      <c r="F127" s="286"/>
    </row>
    <row r="128" spans="1:6" x14ac:dyDescent="0.2">
      <c r="A128" s="286"/>
      <c r="B128" s="286"/>
      <c r="C128" s="286"/>
      <c r="D128" s="286"/>
      <c r="E128" s="286"/>
      <c r="F128" s="286"/>
    </row>
    <row r="129" spans="1:6" x14ac:dyDescent="0.2">
      <c r="A129" s="286"/>
      <c r="B129" s="286"/>
      <c r="C129" s="286"/>
      <c r="D129" s="286"/>
      <c r="E129" s="286"/>
      <c r="F129" s="286"/>
    </row>
    <row r="130" spans="1:6" x14ac:dyDescent="0.2">
      <c r="A130" s="286"/>
      <c r="B130" s="286"/>
      <c r="C130" s="286"/>
      <c r="D130" s="286"/>
      <c r="E130" s="286"/>
      <c r="F130" s="286"/>
    </row>
    <row r="131" spans="1:6" x14ac:dyDescent="0.2">
      <c r="A131" s="286"/>
      <c r="B131" s="286"/>
      <c r="C131" s="286"/>
      <c r="D131" s="286"/>
      <c r="E131" s="286"/>
      <c r="F131" s="286"/>
    </row>
    <row r="132" spans="1:6" x14ac:dyDescent="0.2">
      <c r="A132" s="286"/>
      <c r="B132" s="286"/>
      <c r="C132" s="286"/>
      <c r="D132" s="286"/>
      <c r="E132" s="286"/>
      <c r="F132" s="286"/>
    </row>
    <row r="133" spans="1:6" x14ac:dyDescent="0.2">
      <c r="A133" s="286"/>
      <c r="B133" s="286"/>
      <c r="C133" s="286"/>
      <c r="D133" s="286"/>
      <c r="E133" s="286"/>
      <c r="F133" s="286"/>
    </row>
    <row r="134" spans="1:6" x14ac:dyDescent="0.2">
      <c r="A134" s="286"/>
      <c r="B134" s="286"/>
      <c r="C134" s="286"/>
      <c r="D134" s="286"/>
      <c r="E134" s="286"/>
      <c r="F134" s="286"/>
    </row>
    <row r="135" spans="1:6" x14ac:dyDescent="0.2">
      <c r="A135" s="286"/>
      <c r="B135" s="286"/>
      <c r="C135" s="286"/>
      <c r="D135" s="286"/>
      <c r="E135" s="286"/>
      <c r="F135" s="286"/>
    </row>
    <row r="136" spans="1:6" x14ac:dyDescent="0.2">
      <c r="A136" s="286"/>
      <c r="B136" s="286"/>
      <c r="C136" s="286"/>
      <c r="D136" s="286"/>
      <c r="E136" s="286"/>
      <c r="F136" s="286"/>
    </row>
    <row r="137" spans="1:6" x14ac:dyDescent="0.2">
      <c r="A137" s="286"/>
      <c r="B137" s="286"/>
      <c r="C137" s="286"/>
      <c r="D137" s="286"/>
      <c r="E137" s="286"/>
      <c r="F137" s="286"/>
    </row>
    <row r="138" spans="1:6" x14ac:dyDescent="0.2">
      <c r="A138" s="286"/>
      <c r="B138" s="286"/>
      <c r="C138" s="286"/>
      <c r="D138" s="286"/>
      <c r="E138" s="286"/>
      <c r="F138" s="286"/>
    </row>
    <row r="139" spans="1:6" x14ac:dyDescent="0.2">
      <c r="A139" s="286"/>
      <c r="B139" s="286"/>
      <c r="C139" s="286"/>
      <c r="D139" s="286"/>
      <c r="E139" s="286"/>
      <c r="F139" s="286"/>
    </row>
    <row r="140" spans="1:6" x14ac:dyDescent="0.2">
      <c r="A140" s="286"/>
      <c r="B140" s="286"/>
      <c r="C140" s="286"/>
      <c r="D140" s="286"/>
      <c r="E140" s="286"/>
      <c r="F140" s="286"/>
    </row>
    <row r="141" spans="1:6" x14ac:dyDescent="0.2">
      <c r="A141" s="286"/>
      <c r="B141" s="286"/>
      <c r="C141" s="286"/>
      <c r="D141" s="286"/>
      <c r="E141" s="286"/>
      <c r="F141" s="286"/>
    </row>
    <row r="142" spans="1:6" x14ac:dyDescent="0.2">
      <c r="A142" s="286"/>
      <c r="B142" s="286"/>
      <c r="C142" s="286"/>
      <c r="D142" s="286"/>
      <c r="E142" s="286"/>
      <c r="F142" s="286"/>
    </row>
    <row r="143" spans="1:6" x14ac:dyDescent="0.2">
      <c r="A143" s="286"/>
      <c r="B143" s="286"/>
      <c r="C143" s="286"/>
      <c r="D143" s="286"/>
      <c r="E143" s="286"/>
      <c r="F143" s="286"/>
    </row>
    <row r="144" spans="1:6" x14ac:dyDescent="0.2">
      <c r="A144" s="286"/>
      <c r="B144" s="286"/>
      <c r="C144" s="286"/>
      <c r="D144" s="286"/>
      <c r="E144" s="286"/>
      <c r="F144" s="286"/>
    </row>
    <row r="145" spans="1:6" x14ac:dyDescent="0.2">
      <c r="A145" s="286"/>
      <c r="B145" s="286"/>
      <c r="C145" s="286"/>
      <c r="D145" s="286"/>
      <c r="E145" s="286"/>
      <c r="F145" s="286"/>
    </row>
    <row r="146" spans="1:6" x14ac:dyDescent="0.2">
      <c r="A146" s="286"/>
      <c r="B146" s="286"/>
      <c r="C146" s="286"/>
      <c r="D146" s="286"/>
      <c r="E146" s="286"/>
      <c r="F146" s="286"/>
    </row>
    <row r="147" spans="1:6" x14ac:dyDescent="0.2">
      <c r="A147" s="286"/>
      <c r="B147" s="286"/>
      <c r="C147" s="286"/>
      <c r="D147" s="286"/>
      <c r="E147" s="286"/>
      <c r="F147" s="286"/>
    </row>
    <row r="148" spans="1:6" x14ac:dyDescent="0.2">
      <c r="A148" s="286"/>
      <c r="B148" s="286"/>
      <c r="C148" s="286"/>
      <c r="D148" s="286"/>
      <c r="E148" s="286"/>
      <c r="F148" s="286"/>
    </row>
    <row r="149" spans="1:6" x14ac:dyDescent="0.2">
      <c r="A149" s="286"/>
      <c r="B149" s="286"/>
      <c r="C149" s="286"/>
      <c r="D149" s="286"/>
      <c r="E149" s="286"/>
      <c r="F149" s="286"/>
    </row>
    <row r="150" spans="1:6" x14ac:dyDescent="0.2">
      <c r="A150" s="286"/>
      <c r="B150" s="286"/>
      <c r="C150" s="286"/>
      <c r="D150" s="286"/>
      <c r="E150" s="286"/>
      <c r="F150" s="286"/>
    </row>
    <row r="151" spans="1:6" x14ac:dyDescent="0.2">
      <c r="A151" s="286"/>
      <c r="B151" s="286"/>
      <c r="C151" s="286"/>
      <c r="D151" s="286"/>
      <c r="E151" s="286"/>
      <c r="F151" s="286"/>
    </row>
    <row r="152" spans="1:6" x14ac:dyDescent="0.2">
      <c r="A152" s="286"/>
      <c r="B152" s="286"/>
      <c r="C152" s="286"/>
      <c r="D152" s="286"/>
      <c r="E152" s="286"/>
      <c r="F152" s="286"/>
    </row>
    <row r="153" spans="1:6" x14ac:dyDescent="0.2">
      <c r="A153" s="286"/>
      <c r="B153" s="286"/>
      <c r="C153" s="286"/>
      <c r="D153" s="286"/>
      <c r="E153" s="286"/>
      <c r="F153" s="286"/>
    </row>
    <row r="154" spans="1:6" x14ac:dyDescent="0.2">
      <c r="A154" s="286"/>
      <c r="B154" s="286"/>
      <c r="C154" s="286"/>
      <c r="D154" s="286"/>
      <c r="E154" s="286"/>
      <c r="F154" s="286"/>
    </row>
    <row r="155" spans="1:6" x14ac:dyDescent="0.2">
      <c r="A155" s="286"/>
      <c r="B155" s="286"/>
      <c r="C155" s="286"/>
      <c r="D155" s="286"/>
      <c r="E155" s="286"/>
      <c r="F155" s="286"/>
    </row>
    <row r="156" spans="1:6" x14ac:dyDescent="0.2">
      <c r="A156" s="286"/>
      <c r="B156" s="286"/>
      <c r="C156" s="286"/>
      <c r="D156" s="286"/>
      <c r="E156" s="286"/>
      <c r="F156" s="286"/>
    </row>
    <row r="157" spans="1:6" x14ac:dyDescent="0.2">
      <c r="A157" s="286"/>
      <c r="B157" s="286"/>
      <c r="C157" s="286"/>
      <c r="D157" s="286"/>
      <c r="E157" s="286"/>
      <c r="F157" s="286"/>
    </row>
    <row r="158" spans="1:6" x14ac:dyDescent="0.2">
      <c r="A158" s="286"/>
      <c r="B158" s="286"/>
      <c r="C158" s="286"/>
      <c r="D158" s="286"/>
      <c r="E158" s="286"/>
      <c r="F158" s="286"/>
    </row>
    <row r="159" spans="1:6" x14ac:dyDescent="0.2">
      <c r="A159" s="286"/>
      <c r="B159" s="286"/>
      <c r="C159" s="286"/>
      <c r="D159" s="286"/>
      <c r="E159" s="286"/>
      <c r="F159" s="286"/>
    </row>
    <row r="160" spans="1:6" x14ac:dyDescent="0.2">
      <c r="A160" s="286"/>
      <c r="B160" s="286"/>
      <c r="C160" s="286"/>
      <c r="D160" s="286"/>
      <c r="E160" s="286"/>
      <c r="F160" s="286"/>
    </row>
    <row r="161" spans="1:6" x14ac:dyDescent="0.2">
      <c r="A161" s="286"/>
      <c r="B161" s="286"/>
      <c r="C161" s="286"/>
      <c r="D161" s="286"/>
      <c r="E161" s="286"/>
      <c r="F161" s="286"/>
    </row>
    <row r="162" spans="1:6" x14ac:dyDescent="0.2">
      <c r="A162" s="286"/>
      <c r="B162" s="286"/>
      <c r="C162" s="286"/>
      <c r="D162" s="286"/>
      <c r="E162" s="286"/>
      <c r="F162" s="286"/>
    </row>
    <row r="163" spans="1:6" x14ac:dyDescent="0.2">
      <c r="A163" s="286"/>
      <c r="B163" s="286"/>
      <c r="C163" s="286"/>
      <c r="D163" s="286"/>
      <c r="E163" s="286"/>
      <c r="F163" s="286"/>
    </row>
    <row r="164" spans="1:6" x14ac:dyDescent="0.2">
      <c r="A164" s="286"/>
      <c r="B164" s="286"/>
      <c r="C164" s="286"/>
      <c r="D164" s="286"/>
      <c r="E164" s="286"/>
      <c r="F164" s="286"/>
    </row>
    <row r="165" spans="1:6" x14ac:dyDescent="0.2">
      <c r="A165" s="286"/>
      <c r="B165" s="286"/>
      <c r="C165" s="286"/>
      <c r="D165" s="286"/>
      <c r="E165" s="286"/>
      <c r="F165" s="286"/>
    </row>
    <row r="166" spans="1:6" x14ac:dyDescent="0.2">
      <c r="A166" s="286"/>
      <c r="B166" s="286"/>
      <c r="C166" s="286"/>
      <c r="D166" s="286"/>
      <c r="E166" s="286"/>
      <c r="F166" s="286"/>
    </row>
    <row r="167" spans="1:6" x14ac:dyDescent="0.2">
      <c r="A167" s="286"/>
      <c r="B167" s="286"/>
      <c r="C167" s="286"/>
      <c r="D167" s="286"/>
      <c r="E167" s="286"/>
      <c r="F167" s="286"/>
    </row>
    <row r="168" spans="1:6" x14ac:dyDescent="0.2">
      <c r="A168" s="286"/>
      <c r="B168" s="286"/>
      <c r="C168" s="286"/>
      <c r="D168" s="286"/>
      <c r="E168" s="286"/>
      <c r="F168" s="286"/>
    </row>
    <row r="169" spans="1:6" x14ac:dyDescent="0.2">
      <c r="A169" s="286"/>
      <c r="B169" s="286"/>
      <c r="C169" s="286"/>
      <c r="D169" s="286"/>
      <c r="E169" s="286"/>
      <c r="F169" s="286"/>
    </row>
    <row r="170" spans="1:6" x14ac:dyDescent="0.2">
      <c r="A170" s="286"/>
      <c r="B170" s="286"/>
      <c r="C170" s="286"/>
      <c r="D170" s="286"/>
      <c r="E170" s="286"/>
      <c r="F170" s="286"/>
    </row>
    <row r="171" spans="1:6" x14ac:dyDescent="0.2">
      <c r="A171" s="286"/>
      <c r="B171" s="286"/>
      <c r="C171" s="286"/>
      <c r="D171" s="286"/>
      <c r="E171" s="286"/>
      <c r="F171" s="286"/>
    </row>
    <row r="172" spans="1:6" x14ac:dyDescent="0.2">
      <c r="A172" s="286"/>
      <c r="B172" s="286"/>
      <c r="C172" s="286"/>
      <c r="D172" s="286"/>
      <c r="E172" s="286"/>
      <c r="F172" s="286"/>
    </row>
    <row r="173" spans="1:6" x14ac:dyDescent="0.2">
      <c r="A173" s="286"/>
      <c r="B173" s="286"/>
      <c r="C173" s="286"/>
      <c r="D173" s="286"/>
      <c r="E173" s="286"/>
      <c r="F173" s="286"/>
    </row>
    <row r="174" spans="1:6" x14ac:dyDescent="0.2">
      <c r="A174" s="286"/>
      <c r="B174" s="286"/>
      <c r="C174" s="286"/>
      <c r="D174" s="286"/>
      <c r="E174" s="286"/>
      <c r="F174" s="286"/>
    </row>
    <row r="175" spans="1:6" x14ac:dyDescent="0.2">
      <c r="A175" s="286"/>
      <c r="B175" s="286"/>
      <c r="C175" s="286"/>
      <c r="D175" s="286"/>
      <c r="E175" s="286"/>
      <c r="F175" s="286"/>
    </row>
    <row r="176" spans="1:6" x14ac:dyDescent="0.2">
      <c r="A176" s="286"/>
      <c r="B176" s="286"/>
      <c r="C176" s="286"/>
      <c r="D176" s="286"/>
      <c r="E176" s="286"/>
      <c r="F176" s="286"/>
    </row>
    <row r="177" spans="1:6" x14ac:dyDescent="0.2">
      <c r="A177" s="286"/>
      <c r="B177" s="286"/>
      <c r="C177" s="286"/>
      <c r="D177" s="286"/>
      <c r="E177" s="286"/>
      <c r="F177" s="286"/>
    </row>
    <row r="178" spans="1:6" x14ac:dyDescent="0.2">
      <c r="A178" s="286"/>
      <c r="B178" s="286"/>
      <c r="C178" s="286"/>
      <c r="D178" s="286"/>
      <c r="E178" s="286"/>
      <c r="F178" s="286"/>
    </row>
    <row r="179" spans="1:6" x14ac:dyDescent="0.2">
      <c r="A179" s="286"/>
      <c r="B179" s="286"/>
      <c r="C179" s="286"/>
      <c r="D179" s="286"/>
      <c r="E179" s="286"/>
      <c r="F179" s="286"/>
    </row>
    <row r="180" spans="1:6" x14ac:dyDescent="0.2">
      <c r="A180" s="286"/>
      <c r="B180" s="286"/>
      <c r="C180" s="286"/>
      <c r="D180" s="286"/>
      <c r="E180" s="286"/>
      <c r="F180" s="286"/>
    </row>
    <row r="181" spans="1:6" x14ac:dyDescent="0.2">
      <c r="A181" s="286"/>
      <c r="B181" s="286"/>
      <c r="C181" s="286"/>
      <c r="D181" s="286"/>
      <c r="E181" s="286"/>
      <c r="F181" s="286"/>
    </row>
    <row r="182" spans="1:6" x14ac:dyDescent="0.2">
      <c r="A182" s="286"/>
      <c r="B182" s="286"/>
      <c r="C182" s="286"/>
      <c r="D182" s="286"/>
      <c r="E182" s="286"/>
      <c r="F182" s="286"/>
    </row>
    <row r="183" spans="1:6" x14ac:dyDescent="0.2">
      <c r="A183" s="286"/>
      <c r="B183" s="286"/>
      <c r="C183" s="286"/>
      <c r="D183" s="286"/>
      <c r="E183" s="286"/>
      <c r="F183" s="286"/>
    </row>
    <row r="184" spans="1:6" x14ac:dyDescent="0.2">
      <c r="A184" s="286"/>
      <c r="B184" s="286"/>
      <c r="C184" s="286"/>
      <c r="D184" s="286"/>
      <c r="E184" s="286"/>
      <c r="F184" s="286"/>
    </row>
    <row r="185" spans="1:6" x14ac:dyDescent="0.2">
      <c r="A185" s="286"/>
      <c r="B185" s="286"/>
      <c r="C185" s="286"/>
      <c r="D185" s="286"/>
      <c r="E185" s="286"/>
      <c r="F185" s="286"/>
    </row>
    <row r="186" spans="1:6" x14ac:dyDescent="0.2">
      <c r="A186" s="286"/>
      <c r="B186" s="286"/>
      <c r="C186" s="286"/>
      <c r="D186" s="286"/>
      <c r="E186" s="286"/>
      <c r="F186" s="286"/>
    </row>
    <row r="187" spans="1:6" x14ac:dyDescent="0.2">
      <c r="A187" s="286"/>
      <c r="B187" s="286"/>
      <c r="C187" s="286"/>
      <c r="D187" s="286"/>
      <c r="E187" s="286"/>
      <c r="F187" s="286"/>
    </row>
    <row r="188" spans="1:6" x14ac:dyDescent="0.2">
      <c r="A188" s="286"/>
      <c r="B188" s="286"/>
      <c r="C188" s="286"/>
      <c r="D188" s="286"/>
      <c r="E188" s="286"/>
      <c r="F188" s="286"/>
    </row>
    <row r="189" spans="1:6" x14ac:dyDescent="0.2">
      <c r="A189" s="286"/>
      <c r="B189" s="286"/>
      <c r="C189" s="286"/>
      <c r="D189" s="286"/>
      <c r="E189" s="286"/>
      <c r="F189" s="286"/>
    </row>
    <row r="190" spans="1:6" x14ac:dyDescent="0.2">
      <c r="A190" s="286"/>
      <c r="B190" s="286"/>
      <c r="C190" s="286"/>
      <c r="D190" s="286"/>
      <c r="E190" s="286"/>
      <c r="F190" s="286"/>
    </row>
    <row r="191" spans="1:6" x14ac:dyDescent="0.2">
      <c r="A191" s="286"/>
      <c r="B191" s="286"/>
      <c r="C191" s="286"/>
      <c r="D191" s="286"/>
      <c r="E191" s="286"/>
      <c r="F191" s="286"/>
    </row>
    <row r="192" spans="1:6" x14ac:dyDescent="0.2">
      <c r="A192" s="286"/>
      <c r="B192" s="286"/>
      <c r="C192" s="286"/>
      <c r="D192" s="286"/>
      <c r="E192" s="286"/>
      <c r="F192" s="286"/>
    </row>
    <row r="193" spans="1:6" x14ac:dyDescent="0.2">
      <c r="A193" s="286"/>
      <c r="B193" s="286"/>
      <c r="C193" s="286"/>
      <c r="D193" s="286"/>
      <c r="E193" s="286"/>
      <c r="F193" s="286"/>
    </row>
    <row r="194" spans="1:6" x14ac:dyDescent="0.2">
      <c r="A194" s="286"/>
      <c r="B194" s="286"/>
      <c r="C194" s="286"/>
      <c r="D194" s="286"/>
      <c r="E194" s="286"/>
      <c r="F194" s="286"/>
    </row>
    <row r="195" spans="1:6" x14ac:dyDescent="0.2">
      <c r="A195" s="286"/>
      <c r="B195" s="286"/>
      <c r="C195" s="286"/>
      <c r="D195" s="286"/>
      <c r="E195" s="286"/>
      <c r="F195" s="286"/>
    </row>
    <row r="196" spans="1:6" x14ac:dyDescent="0.2">
      <c r="A196" s="286"/>
      <c r="B196" s="286"/>
      <c r="C196" s="286"/>
      <c r="D196" s="286"/>
      <c r="E196" s="286"/>
      <c r="F196" s="286"/>
    </row>
    <row r="197" spans="1:6" x14ac:dyDescent="0.2">
      <c r="A197" s="286"/>
      <c r="B197" s="286"/>
      <c r="C197" s="286"/>
      <c r="D197" s="286"/>
      <c r="E197" s="286"/>
      <c r="F197" s="286"/>
    </row>
    <row r="198" spans="1:6" x14ac:dyDescent="0.2">
      <c r="A198" s="286"/>
      <c r="B198" s="286"/>
      <c r="C198" s="286"/>
      <c r="D198" s="286"/>
      <c r="E198" s="286"/>
      <c r="F198" s="286"/>
    </row>
    <row r="199" spans="1:6" x14ac:dyDescent="0.2">
      <c r="A199" s="286"/>
      <c r="B199" s="286"/>
      <c r="C199" s="286"/>
      <c r="D199" s="286"/>
      <c r="E199" s="286"/>
      <c r="F199" s="286"/>
    </row>
  </sheetData>
  <pageMargins left="0.56999999999999995" right="0.48" top="0.25" bottom="0.35" header="0.31496062992125984" footer="0.31496062992125984"/>
  <pageSetup scale="6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H73"/>
  <sheetViews>
    <sheetView workbookViewId="0">
      <selection sqref="A1:G41"/>
    </sheetView>
  </sheetViews>
  <sheetFormatPr baseColWidth="10" defaultRowHeight="24.95" customHeight="1" x14ac:dyDescent="0.2"/>
  <cols>
    <col min="1" max="1" width="6.85546875" customWidth="1"/>
    <col min="2" max="2" width="32" customWidth="1"/>
    <col min="3" max="3" width="11.28515625" customWidth="1"/>
    <col min="4" max="4" width="10.85546875" customWidth="1"/>
    <col min="5" max="5" width="44.42578125" customWidth="1"/>
    <col min="6" max="6" width="13.85546875" customWidth="1"/>
    <col min="7" max="7" width="30" customWidth="1"/>
  </cols>
  <sheetData>
    <row r="1" spans="1:7" ht="24.95" customHeight="1" x14ac:dyDescent="0.25">
      <c r="A1" s="46"/>
      <c r="B1" s="349" t="s">
        <v>166</v>
      </c>
      <c r="C1" s="50"/>
      <c r="D1" s="41" t="s">
        <v>111</v>
      </c>
      <c r="E1" s="41"/>
      <c r="F1" s="46"/>
      <c r="G1" s="46"/>
    </row>
    <row r="2" spans="1:7" ht="24.95" customHeight="1" x14ac:dyDescent="0.2">
      <c r="A2" s="335" t="s">
        <v>161</v>
      </c>
      <c r="B2" s="48" t="s">
        <v>5</v>
      </c>
      <c r="C2" s="49" t="s">
        <v>21</v>
      </c>
      <c r="D2" s="49" t="s">
        <v>22</v>
      </c>
      <c r="E2" s="49" t="s">
        <v>70</v>
      </c>
      <c r="F2" s="49" t="s">
        <v>108</v>
      </c>
      <c r="G2" s="46"/>
    </row>
    <row r="3" spans="1:7" ht="24.95" customHeight="1" x14ac:dyDescent="0.2">
      <c r="A3" s="335">
        <v>1</v>
      </c>
      <c r="B3" s="34" t="str">
        <f>+'SEMANA DEL 2 AL 7-3-26'!A5</f>
        <v xml:space="preserve">ALCIDES CORREA </v>
      </c>
      <c r="C3" s="165"/>
      <c r="D3" s="165"/>
      <c r="E3" s="165"/>
      <c r="F3" s="46"/>
      <c r="G3" s="46"/>
    </row>
    <row r="4" spans="1:7" ht="24.95" customHeight="1" x14ac:dyDescent="0.2">
      <c r="A4" s="335">
        <f>+A3+1</f>
        <v>2</v>
      </c>
      <c r="B4" s="34" t="str">
        <f>+'SEMANA DEL 2 AL 7-3-26'!A6</f>
        <v xml:space="preserve">ALBA SANABRIA </v>
      </c>
      <c r="C4" s="165"/>
      <c r="D4" s="165"/>
      <c r="E4" s="165"/>
      <c r="F4" s="46"/>
      <c r="G4" s="46"/>
    </row>
    <row r="5" spans="1:7" ht="24.95" customHeight="1" x14ac:dyDescent="0.2">
      <c r="A5" s="335">
        <f t="shared" ref="A5:A49" si="0">+A4+1</f>
        <v>3</v>
      </c>
      <c r="B5" s="34" t="str">
        <f>+'SEMANA DEL 2 AL 7-3-26'!A7</f>
        <v xml:space="preserve">BLANCA ALVARADO </v>
      </c>
      <c r="C5" s="165"/>
      <c r="D5" s="165"/>
      <c r="E5" s="165"/>
      <c r="F5" s="46"/>
      <c r="G5" s="46"/>
    </row>
    <row r="6" spans="1:7" ht="24.95" customHeight="1" x14ac:dyDescent="0.2">
      <c r="A6" s="335">
        <f t="shared" si="0"/>
        <v>4</v>
      </c>
      <c r="B6" s="34" t="str">
        <f>+'SEMANA DEL 2 AL 7-3-26'!A8</f>
        <v>ESPERANZA REY</v>
      </c>
      <c r="C6" s="165"/>
      <c r="D6" s="165"/>
      <c r="E6" s="165"/>
      <c r="F6" s="46"/>
      <c r="G6" s="46"/>
    </row>
    <row r="7" spans="1:7" ht="24.95" customHeight="1" x14ac:dyDescent="0.2">
      <c r="A7" s="335">
        <f t="shared" si="0"/>
        <v>5</v>
      </c>
      <c r="B7" s="34" t="str">
        <f>+'SEMANA DEL 2 AL 7-3-26'!A9</f>
        <v xml:space="preserve">ELIZABETH REYES SERRANO </v>
      </c>
      <c r="C7" s="165"/>
      <c r="D7" s="165"/>
      <c r="E7" s="165"/>
      <c r="F7" s="46"/>
      <c r="G7" s="46"/>
    </row>
    <row r="8" spans="1:7" ht="24.95" customHeight="1" x14ac:dyDescent="0.2">
      <c r="A8" s="335">
        <f t="shared" si="0"/>
        <v>6</v>
      </c>
      <c r="B8" s="34" t="str">
        <f>+'SEMANA DEL 2 AL 7-3-26'!A10</f>
        <v>ELVIRA LOPEZ</v>
      </c>
      <c r="C8" s="165"/>
      <c r="D8" s="165"/>
      <c r="E8" s="165"/>
      <c r="F8" s="46"/>
      <c r="G8" s="46"/>
    </row>
    <row r="9" spans="1:7" ht="24.95" customHeight="1" x14ac:dyDescent="0.2">
      <c r="A9" s="335">
        <f t="shared" si="0"/>
        <v>7</v>
      </c>
      <c r="B9" s="34" t="str">
        <f>+'SEMANA DEL 2 AL 7-3-26'!A11</f>
        <v>ERNESTO REYES</v>
      </c>
      <c r="C9" s="165"/>
      <c r="D9" s="165"/>
      <c r="E9" s="165"/>
      <c r="F9" s="46"/>
      <c r="G9" s="46"/>
    </row>
    <row r="10" spans="1:7" ht="24.95" customHeight="1" x14ac:dyDescent="0.2">
      <c r="A10" s="335">
        <f t="shared" si="0"/>
        <v>8</v>
      </c>
      <c r="B10" s="34" t="str">
        <f>+'SEMANA DEL 2 AL 7-3-26'!A12</f>
        <v xml:space="preserve">GUILLERMO ZAMBRANO </v>
      </c>
      <c r="C10" s="165"/>
      <c r="D10" s="165"/>
      <c r="E10" s="165"/>
      <c r="F10" s="46"/>
      <c r="G10" s="46"/>
    </row>
    <row r="11" spans="1:7" ht="24.95" customHeight="1" x14ac:dyDescent="0.2">
      <c r="A11" s="335">
        <f t="shared" si="0"/>
        <v>9</v>
      </c>
      <c r="B11" s="34" t="str">
        <f>+'SEMANA DEL 2 AL 7-3-26'!A13</f>
        <v>HUGO ALMEIDA</v>
      </c>
      <c r="C11" s="165"/>
      <c r="D11" s="165"/>
      <c r="E11" s="165"/>
      <c r="F11" s="46"/>
      <c r="G11" s="46"/>
    </row>
    <row r="12" spans="1:7" ht="24.95" customHeight="1" x14ac:dyDescent="0.2">
      <c r="A12" s="335">
        <f t="shared" si="0"/>
        <v>10</v>
      </c>
      <c r="B12" s="34" t="str">
        <f>+'SEMANA DEL 2 AL 7-3-26'!A14</f>
        <v>HILDA SERRANO</v>
      </c>
      <c r="C12" s="165"/>
      <c r="D12" s="165"/>
      <c r="E12" s="165"/>
      <c r="F12" s="46"/>
      <c r="G12" s="46"/>
    </row>
    <row r="13" spans="1:7" ht="24.95" customHeight="1" x14ac:dyDescent="0.2">
      <c r="A13" s="335">
        <f t="shared" si="0"/>
        <v>11</v>
      </c>
      <c r="B13" s="34" t="str">
        <f>+'SEMANA DEL 2 AL 7-3-26'!A15</f>
        <v xml:space="preserve">HUMBERTO LUNA </v>
      </c>
      <c r="C13" s="165"/>
      <c r="D13" s="165"/>
      <c r="E13" s="165"/>
      <c r="F13" s="46"/>
      <c r="G13" s="46"/>
    </row>
    <row r="14" spans="1:7" ht="24.95" customHeight="1" x14ac:dyDescent="0.2">
      <c r="A14" s="335">
        <f t="shared" si="0"/>
        <v>12</v>
      </c>
      <c r="B14" s="34" t="str">
        <f>+'SEMANA DEL 2 AL 7-3-26'!A16</f>
        <v>JOSE EBLAN GIRON</v>
      </c>
      <c r="C14" s="165"/>
      <c r="D14" s="165"/>
      <c r="E14" s="165"/>
      <c r="F14" s="46"/>
      <c r="G14" s="46"/>
    </row>
    <row r="15" spans="1:7" ht="24.95" customHeight="1" x14ac:dyDescent="0.2">
      <c r="A15" s="335">
        <f t="shared" si="0"/>
        <v>13</v>
      </c>
      <c r="B15" s="34" t="str">
        <f>+'SEMANA DEL 2 AL 7-3-26'!A17</f>
        <v xml:space="preserve">JOSE JURADO </v>
      </c>
      <c r="C15" s="165"/>
      <c r="D15" s="165"/>
      <c r="E15" s="165"/>
      <c r="F15" s="46"/>
      <c r="G15" s="46"/>
    </row>
    <row r="16" spans="1:7" ht="24.95" customHeight="1" x14ac:dyDescent="0.2">
      <c r="A16" s="335">
        <f t="shared" si="0"/>
        <v>14</v>
      </c>
      <c r="B16" s="34" t="str">
        <f>+'SEMANA DEL 2 AL 7-3-26'!A18</f>
        <v xml:space="preserve">KARINA SILVA </v>
      </c>
      <c r="C16" s="165"/>
      <c r="D16" s="165"/>
      <c r="E16" s="165"/>
      <c r="F16" s="46"/>
      <c r="G16" s="46"/>
    </row>
    <row r="17" spans="1:7" ht="24.95" customHeight="1" x14ac:dyDescent="0.2">
      <c r="A17" s="335">
        <f t="shared" si="0"/>
        <v>15</v>
      </c>
      <c r="B17" s="34" t="str">
        <f>+'SEMANA DEL 2 AL 7-3-26'!A19</f>
        <v>LUZ MERY ABAUNZA</v>
      </c>
      <c r="C17" s="165"/>
      <c r="D17" s="165"/>
      <c r="E17" s="165"/>
      <c r="F17" s="46"/>
      <c r="G17" s="46"/>
    </row>
    <row r="18" spans="1:7" ht="24.95" customHeight="1" x14ac:dyDescent="0.2">
      <c r="A18" s="335">
        <f t="shared" si="0"/>
        <v>16</v>
      </c>
      <c r="B18" s="34" t="str">
        <f>+'SEMANA DEL 2 AL 7-3-26'!A20</f>
        <v>LUIS ROJAS</v>
      </c>
      <c r="C18" s="165"/>
      <c r="D18" s="165"/>
      <c r="E18" s="165"/>
      <c r="F18" s="46"/>
      <c r="G18" s="46"/>
    </row>
    <row r="19" spans="1:7" ht="24.95" customHeight="1" x14ac:dyDescent="0.2">
      <c r="A19" s="335">
        <f t="shared" si="0"/>
        <v>17</v>
      </c>
      <c r="B19" s="34" t="str">
        <f>+'SEMANA DEL 2 AL 7-3-26'!A21</f>
        <v xml:space="preserve">LUIS VALDERRAMA </v>
      </c>
      <c r="C19" s="165"/>
      <c r="D19" s="165"/>
      <c r="E19" s="165"/>
      <c r="F19" s="46"/>
      <c r="G19" s="46"/>
    </row>
    <row r="20" spans="1:7" ht="24.95" customHeight="1" x14ac:dyDescent="0.2">
      <c r="A20" s="335">
        <f t="shared" si="0"/>
        <v>18</v>
      </c>
      <c r="B20" s="34" t="str">
        <f>+'SEMANA DEL 2 AL 7-3-26'!A22</f>
        <v>LILIANA  VEGA</v>
      </c>
      <c r="C20" s="165"/>
      <c r="D20" s="165"/>
      <c r="E20" s="165"/>
      <c r="F20" s="46"/>
      <c r="G20" s="46"/>
    </row>
    <row r="21" spans="1:7" ht="24.95" customHeight="1" x14ac:dyDescent="0.2">
      <c r="A21" s="335">
        <f t="shared" si="0"/>
        <v>19</v>
      </c>
      <c r="B21" s="34" t="str">
        <f>+'SEMANA DEL 2 AL 7-3-26'!A23</f>
        <v xml:space="preserve">LUIS ERNESTO ALMEIDA </v>
      </c>
      <c r="C21" s="165"/>
      <c r="D21" s="165"/>
      <c r="E21" s="165"/>
      <c r="F21" s="46"/>
      <c r="G21" s="46"/>
    </row>
    <row r="22" spans="1:7" ht="24.95" customHeight="1" x14ac:dyDescent="0.2">
      <c r="A22" s="335">
        <f t="shared" si="0"/>
        <v>20</v>
      </c>
      <c r="B22" s="34" t="str">
        <f>+'SEMANA DEL 2 AL 7-3-26'!A24</f>
        <v xml:space="preserve">LEIDY SERRANO </v>
      </c>
      <c r="C22" s="165"/>
      <c r="D22" s="165"/>
      <c r="E22" s="165"/>
      <c r="F22" s="46"/>
      <c r="G22" s="46"/>
    </row>
    <row r="23" spans="1:7" ht="24.95" customHeight="1" x14ac:dyDescent="0.2">
      <c r="A23" s="335">
        <f t="shared" si="0"/>
        <v>21</v>
      </c>
      <c r="B23" s="34" t="str">
        <f>+'SEMANA DEL 2 AL 7-3-26'!A25</f>
        <v xml:space="preserve">MAYERLIN BOLIVAR </v>
      </c>
      <c r="C23" s="165"/>
      <c r="D23" s="165"/>
      <c r="E23" s="165"/>
      <c r="F23" s="46"/>
      <c r="G23" s="46"/>
    </row>
    <row r="24" spans="1:7" ht="24.95" customHeight="1" x14ac:dyDescent="0.2">
      <c r="A24" s="335">
        <f t="shared" si="0"/>
        <v>22</v>
      </c>
      <c r="B24" s="34" t="str">
        <f>+'SEMANA DEL 2 AL 7-3-26'!A26</f>
        <v xml:space="preserve">MARTHA SILVA </v>
      </c>
      <c r="C24" s="165"/>
      <c r="D24" s="165"/>
      <c r="E24" s="165"/>
      <c r="F24" s="46"/>
      <c r="G24" s="46"/>
    </row>
    <row r="25" spans="1:7" ht="24.95" customHeight="1" x14ac:dyDescent="0.2">
      <c r="A25" s="335">
        <f t="shared" si="0"/>
        <v>23</v>
      </c>
      <c r="B25" s="34" t="str">
        <f>+'SEMANA DEL 2 AL 7-3-26'!A27</f>
        <v>MARIELA MARTINEZ</v>
      </c>
      <c r="C25" s="165"/>
      <c r="D25" s="165"/>
      <c r="E25" s="165"/>
      <c r="F25" s="46"/>
      <c r="G25" s="46"/>
    </row>
    <row r="26" spans="1:7" ht="24.95" customHeight="1" x14ac:dyDescent="0.2">
      <c r="A26" s="335">
        <f t="shared" si="0"/>
        <v>24</v>
      </c>
      <c r="B26" s="34" t="str">
        <f>+'SEMANA DEL 2 AL 7-3-26'!A28</f>
        <v xml:space="preserve">MANUEL CONTRERAS </v>
      </c>
      <c r="C26" s="165"/>
      <c r="D26" s="165"/>
      <c r="E26" s="165"/>
      <c r="F26" s="46"/>
      <c r="G26" s="46"/>
    </row>
    <row r="27" spans="1:7" ht="24.95" customHeight="1" x14ac:dyDescent="0.2">
      <c r="A27" s="335">
        <f t="shared" si="0"/>
        <v>25</v>
      </c>
      <c r="B27" s="34" t="str">
        <f>+'SEMANA DEL 2 AL 7-3-26'!A29</f>
        <v xml:space="preserve">MARIA MEDINA </v>
      </c>
      <c r="C27" s="165"/>
      <c r="D27" s="165"/>
      <c r="E27" s="165"/>
      <c r="F27" s="46"/>
      <c r="G27" s="46"/>
    </row>
    <row r="28" spans="1:7" ht="24.95" customHeight="1" x14ac:dyDescent="0.2">
      <c r="A28" s="335">
        <f t="shared" si="0"/>
        <v>26</v>
      </c>
      <c r="B28" s="34" t="str">
        <f>+'SEMANA DEL 2 AL 7-3-26'!A30</f>
        <v xml:space="preserve">PETTER BENAVIDES </v>
      </c>
      <c r="C28" s="165"/>
      <c r="D28" s="165"/>
      <c r="E28" s="165"/>
      <c r="F28" s="46"/>
      <c r="G28" s="46"/>
    </row>
    <row r="29" spans="1:7" ht="24.95" customHeight="1" x14ac:dyDescent="0.2">
      <c r="A29" s="335">
        <f t="shared" si="0"/>
        <v>27</v>
      </c>
      <c r="B29" s="34" t="str">
        <f>+'SEMANA DEL 2 AL 7-3-26'!A31</f>
        <v xml:space="preserve">RAMON PARRA </v>
      </c>
      <c r="C29" s="165"/>
      <c r="D29" s="165"/>
      <c r="E29" s="165"/>
      <c r="F29" s="46"/>
      <c r="G29" s="46"/>
    </row>
    <row r="30" spans="1:7" ht="24.95" customHeight="1" x14ac:dyDescent="0.2">
      <c r="A30" s="335">
        <f t="shared" si="0"/>
        <v>28</v>
      </c>
      <c r="B30" s="34" t="str">
        <f>+'SEMANA DEL 2 AL 7-3-26'!A32</f>
        <v>SULAY ALMEIDA</v>
      </c>
      <c r="C30" s="165"/>
      <c r="D30" s="165"/>
      <c r="E30" s="165"/>
      <c r="F30" s="46"/>
      <c r="G30" s="46"/>
    </row>
    <row r="31" spans="1:7" ht="24.95" customHeight="1" x14ac:dyDescent="0.2">
      <c r="A31" s="335">
        <f t="shared" si="0"/>
        <v>29</v>
      </c>
      <c r="B31" s="34" t="str">
        <f>+'SEMANA DEL 2 AL 7-3-26'!A33</f>
        <v xml:space="preserve">RENE ALMEIDA </v>
      </c>
      <c r="C31" s="165"/>
      <c r="D31" s="165"/>
      <c r="E31" s="165"/>
      <c r="F31" s="46"/>
      <c r="G31" s="46"/>
    </row>
    <row r="32" spans="1:7" ht="24.95" customHeight="1" x14ac:dyDescent="0.2">
      <c r="A32" s="335">
        <f t="shared" si="0"/>
        <v>30</v>
      </c>
      <c r="B32" s="34" t="str">
        <f>+'SEMANA DEL 2 AL 7-3-26'!A34</f>
        <v>RUBIELA MARTINEZ</v>
      </c>
      <c r="C32" s="165"/>
      <c r="D32" s="165"/>
      <c r="E32" s="165"/>
      <c r="F32" s="46"/>
      <c r="G32" s="46"/>
    </row>
    <row r="33" spans="1:8" ht="24.95" customHeight="1" x14ac:dyDescent="0.2">
      <c r="A33" s="335">
        <f t="shared" si="0"/>
        <v>31</v>
      </c>
      <c r="B33" s="34" t="str">
        <f>+'SEMANA DEL 2 AL 7-3-26'!A35</f>
        <v xml:space="preserve">ROSMIRA DURAN </v>
      </c>
      <c r="C33" s="165"/>
      <c r="D33" s="165"/>
      <c r="E33" s="165"/>
      <c r="F33" s="46"/>
      <c r="G33" s="46"/>
    </row>
    <row r="34" spans="1:8" ht="24.95" customHeight="1" x14ac:dyDescent="0.2">
      <c r="A34" s="335">
        <f t="shared" si="0"/>
        <v>32</v>
      </c>
      <c r="B34" s="34" t="str">
        <f>+'SEMANA DEL 2 AL 7-3-26'!A36</f>
        <v xml:space="preserve">ROSALBA MATAGIRA </v>
      </c>
      <c r="C34" s="165"/>
      <c r="D34" s="165"/>
      <c r="E34" s="165"/>
      <c r="F34" s="46"/>
      <c r="G34" s="46"/>
    </row>
    <row r="35" spans="1:8" ht="24.95" customHeight="1" x14ac:dyDescent="0.2">
      <c r="A35" s="335">
        <f t="shared" si="0"/>
        <v>33</v>
      </c>
      <c r="B35" s="34" t="str">
        <f>+'SEMANA DEL 2 AL 7-3-26'!A37</f>
        <v>STELLA SILVA</v>
      </c>
      <c r="C35" s="165"/>
      <c r="D35" s="165"/>
      <c r="E35" s="165"/>
      <c r="F35" s="46"/>
      <c r="G35" s="46"/>
      <c r="H35" s="53"/>
    </row>
    <row r="36" spans="1:8" ht="24.95" customHeight="1" x14ac:dyDescent="0.2">
      <c r="A36" s="335">
        <f t="shared" si="0"/>
        <v>34</v>
      </c>
      <c r="B36" s="34" t="str">
        <f>+'SEMANA DEL 2 AL 7-3-26'!A38</f>
        <v>SANDRA MILENA ANTOLINES</v>
      </c>
      <c r="C36" s="255"/>
      <c r="D36" s="255"/>
      <c r="E36" s="255"/>
      <c r="F36" s="46"/>
      <c r="G36" s="46"/>
    </row>
    <row r="37" spans="1:8" ht="24.95" customHeight="1" x14ac:dyDescent="0.2">
      <c r="A37" s="335">
        <f t="shared" si="0"/>
        <v>35</v>
      </c>
      <c r="B37" s="34" t="str">
        <f>+'SEMANA DEL 2 AL 7-3-26'!A39</f>
        <v xml:space="preserve">SANDRA MORENO </v>
      </c>
      <c r="C37" s="255"/>
      <c r="D37" s="255"/>
      <c r="E37" s="255"/>
      <c r="F37" s="46"/>
      <c r="G37" s="46"/>
    </row>
    <row r="38" spans="1:8" ht="24.95" customHeight="1" x14ac:dyDescent="0.2">
      <c r="A38" s="335">
        <f t="shared" si="0"/>
        <v>36</v>
      </c>
      <c r="B38" s="34" t="str">
        <f>+'SEMANA DEL 2 AL 7-3-26'!A40</f>
        <v xml:space="preserve">YENDER PADILLA </v>
      </c>
      <c r="C38" s="255"/>
      <c r="D38" s="255"/>
      <c r="E38" s="255"/>
      <c r="F38" s="46"/>
      <c r="G38" s="46"/>
    </row>
    <row r="39" spans="1:8" ht="24.95" customHeight="1" x14ac:dyDescent="0.25">
      <c r="A39" s="335">
        <f t="shared" si="0"/>
        <v>37</v>
      </c>
      <c r="B39" s="34" t="str">
        <f>+'SEMANA DEL 2 AL 7-3-26'!A41</f>
        <v xml:space="preserve">YEFERSON CONTRERAS </v>
      </c>
      <c r="C39" s="50"/>
      <c r="D39" s="41"/>
      <c r="E39" s="41"/>
      <c r="F39" s="46"/>
      <c r="G39" s="46"/>
    </row>
    <row r="40" spans="1:8" ht="24.95" customHeight="1" x14ac:dyDescent="0.2">
      <c r="A40" s="335">
        <f t="shared" si="0"/>
        <v>38</v>
      </c>
      <c r="B40" s="34" t="str">
        <f>+'SEMANA DEL 2 AL 7-3-26'!A42</f>
        <v>YARIRETH ROA</v>
      </c>
      <c r="C40" s="49"/>
      <c r="D40" s="49"/>
      <c r="E40" s="49"/>
      <c r="F40" s="46"/>
      <c r="G40" s="46"/>
    </row>
    <row r="41" spans="1:8" ht="24.95" customHeight="1" x14ac:dyDescent="0.2">
      <c r="A41" s="335">
        <f t="shared" si="0"/>
        <v>39</v>
      </c>
      <c r="B41" s="34" t="str">
        <f>+'SEMANA DEL 2 AL 7-3-26'!A43</f>
        <v xml:space="preserve">YOLI BECERRA </v>
      </c>
      <c r="C41" s="255"/>
      <c r="D41" s="255"/>
      <c r="E41" s="255"/>
      <c r="F41" s="46"/>
      <c r="G41" s="46"/>
    </row>
    <row r="42" spans="1:8" ht="24.95" customHeight="1" x14ac:dyDescent="0.2">
      <c r="A42" s="335">
        <f t="shared" si="0"/>
        <v>40</v>
      </c>
      <c r="B42" s="34" t="str">
        <f>+'SEMANA DEL 2 AL 7-3-26'!A44</f>
        <v xml:space="preserve">MUESTRAS SRA MARIA </v>
      </c>
      <c r="C42" s="165"/>
      <c r="D42" s="165"/>
      <c r="E42" s="165"/>
      <c r="F42" s="46"/>
      <c r="G42" s="46"/>
    </row>
    <row r="43" spans="1:8" ht="24.95" customHeight="1" x14ac:dyDescent="0.2">
      <c r="A43" s="335">
        <f t="shared" si="0"/>
        <v>41</v>
      </c>
      <c r="B43" s="34">
        <f>+'SEMANA DEL 2 AL 7-3-26'!A45</f>
        <v>0</v>
      </c>
      <c r="C43" s="165"/>
      <c r="D43" s="165"/>
      <c r="E43" s="165"/>
      <c r="F43" s="46"/>
      <c r="G43" s="46"/>
    </row>
    <row r="44" spans="1:8" ht="24.95" customHeight="1" x14ac:dyDescent="0.2">
      <c r="A44" s="335">
        <f t="shared" si="0"/>
        <v>42</v>
      </c>
      <c r="B44" s="34">
        <f>+'SEMANA DEL 2 AL 7-3-26'!A46</f>
        <v>0</v>
      </c>
      <c r="C44" s="165"/>
      <c r="D44" s="165"/>
      <c r="E44" s="165"/>
      <c r="F44" s="46"/>
      <c r="G44" s="46"/>
    </row>
    <row r="45" spans="1:8" ht="24.95" customHeight="1" x14ac:dyDescent="0.2">
      <c r="A45" s="335">
        <f t="shared" si="0"/>
        <v>43</v>
      </c>
      <c r="B45" s="34">
        <f>+'SEMANA DEL 2 AL 7-3-26'!A47</f>
        <v>0</v>
      </c>
      <c r="C45" s="165"/>
      <c r="D45" s="165"/>
      <c r="E45" s="165"/>
      <c r="F45" s="46"/>
      <c r="G45" s="46"/>
    </row>
    <row r="46" spans="1:8" ht="24.95" customHeight="1" x14ac:dyDescent="0.2">
      <c r="A46" s="335">
        <f t="shared" si="0"/>
        <v>44</v>
      </c>
      <c r="B46" s="34">
        <f>+'SEMANA DEL 2 AL 7-3-26'!A51</f>
        <v>0</v>
      </c>
      <c r="C46" s="165"/>
      <c r="D46" s="165"/>
      <c r="E46" s="165"/>
      <c r="F46" s="46"/>
      <c r="G46" s="46"/>
    </row>
    <row r="47" spans="1:8" ht="24.95" customHeight="1" x14ac:dyDescent="0.2">
      <c r="A47" s="335">
        <f t="shared" si="0"/>
        <v>45</v>
      </c>
      <c r="B47" s="34">
        <f>+'SEMANA DEL 2 AL 7-3-26'!A52</f>
        <v>0</v>
      </c>
      <c r="C47" s="165"/>
      <c r="D47" s="165"/>
      <c r="E47" s="165"/>
      <c r="F47" s="46"/>
      <c r="G47" s="46"/>
    </row>
    <row r="48" spans="1:8" ht="24.95" customHeight="1" x14ac:dyDescent="0.2">
      <c r="A48" s="335">
        <f t="shared" si="0"/>
        <v>46</v>
      </c>
      <c r="B48" s="34">
        <f>+'SEMANA DEL 2 AL 7-3-26'!A53</f>
        <v>0</v>
      </c>
      <c r="C48" s="165"/>
      <c r="D48" s="165"/>
      <c r="E48" s="165"/>
      <c r="F48" s="46"/>
      <c r="G48" s="46"/>
    </row>
    <row r="49" spans="1:7" ht="24.95" customHeight="1" x14ac:dyDescent="0.2">
      <c r="A49" s="335">
        <f t="shared" si="0"/>
        <v>47</v>
      </c>
      <c r="B49" s="34">
        <f>+'SEMANA DEL 2 AL 7-3-26'!A54</f>
        <v>0</v>
      </c>
      <c r="C49" s="165"/>
      <c r="D49" s="165"/>
      <c r="E49" s="165"/>
      <c r="F49" s="46"/>
      <c r="G49" s="46"/>
    </row>
    <row r="50" spans="1:7" ht="24.95" customHeight="1" x14ac:dyDescent="0.2">
      <c r="B50" s="34">
        <f>+'SEMANA DEL 2 AL 7-3-26'!A55</f>
        <v>0</v>
      </c>
      <c r="C50" s="329"/>
      <c r="D50" s="329"/>
      <c r="E50" s="329"/>
    </row>
    <row r="51" spans="1:7" ht="24.95" customHeight="1" x14ac:dyDescent="0.2">
      <c r="B51" s="187"/>
      <c r="C51" s="188"/>
      <c r="D51" s="188"/>
      <c r="E51" s="188"/>
    </row>
    <row r="52" spans="1:7" ht="24.95" customHeight="1" x14ac:dyDescent="0.2">
      <c r="B52" s="187"/>
      <c r="C52" s="188"/>
      <c r="D52" s="188"/>
      <c r="E52" s="188"/>
    </row>
    <row r="53" spans="1:7" ht="24.95" customHeight="1" x14ac:dyDescent="0.2">
      <c r="B53" s="187"/>
      <c r="C53" s="188"/>
      <c r="D53" s="188"/>
      <c r="E53" s="188"/>
    </row>
    <row r="54" spans="1:7" ht="24.95" customHeight="1" x14ac:dyDescent="0.2">
      <c r="B54" s="187"/>
      <c r="C54" s="188"/>
      <c r="D54" s="188"/>
      <c r="E54" s="188"/>
    </row>
    <row r="55" spans="1:7" ht="24.95" customHeight="1" x14ac:dyDescent="0.2">
      <c r="B55" s="187"/>
      <c r="C55" s="188"/>
      <c r="D55" s="188"/>
      <c r="E55" s="188"/>
    </row>
    <row r="56" spans="1:7" ht="24.95" customHeight="1" x14ac:dyDescent="0.2">
      <c r="B56" s="187"/>
      <c r="C56" s="188"/>
      <c r="D56" s="188"/>
      <c r="E56" s="188"/>
    </row>
    <row r="57" spans="1:7" ht="24.95" customHeight="1" x14ac:dyDescent="0.2">
      <c r="B57" s="187"/>
      <c r="C57" s="188"/>
      <c r="D57" s="188"/>
      <c r="E57" s="188"/>
    </row>
    <row r="58" spans="1:7" ht="24.95" customHeight="1" x14ac:dyDescent="0.2">
      <c r="B58" s="187"/>
      <c r="C58" s="188"/>
      <c r="D58" s="188"/>
      <c r="E58" s="188"/>
    </row>
    <row r="59" spans="1:7" ht="24.95" customHeight="1" x14ac:dyDescent="0.2">
      <c r="B59" s="187"/>
      <c r="C59" s="188"/>
      <c r="D59" s="188"/>
      <c r="E59" s="188"/>
    </row>
    <row r="60" spans="1:7" ht="24.95" customHeight="1" x14ac:dyDescent="0.2">
      <c r="B60" s="187"/>
      <c r="C60" s="188"/>
      <c r="D60" s="188"/>
      <c r="E60" s="188"/>
    </row>
    <row r="61" spans="1:7" ht="24.95" customHeight="1" x14ac:dyDescent="0.2">
      <c r="B61" s="187"/>
      <c r="C61" s="188"/>
      <c r="D61" s="188"/>
      <c r="E61" s="188"/>
    </row>
    <row r="62" spans="1:7" ht="24.95" customHeight="1" x14ac:dyDescent="0.2">
      <c r="B62" s="187"/>
      <c r="C62" s="188"/>
      <c r="D62" s="188"/>
      <c r="E62" s="188"/>
    </row>
    <row r="63" spans="1:7" ht="24.95" customHeight="1" x14ac:dyDescent="0.2">
      <c r="B63" s="187"/>
      <c r="C63" s="188"/>
      <c r="D63" s="188"/>
      <c r="E63" s="188"/>
    </row>
    <row r="64" spans="1:7" ht="24.95" customHeight="1" x14ac:dyDescent="0.2">
      <c r="B64" s="187"/>
      <c r="C64" s="188"/>
      <c r="D64" s="188"/>
      <c r="E64" s="188"/>
    </row>
    <row r="65" spans="2:5" ht="24.95" customHeight="1" x14ac:dyDescent="0.2">
      <c r="B65" s="187"/>
      <c r="C65" s="188"/>
      <c r="D65" s="188"/>
      <c r="E65" s="188"/>
    </row>
    <row r="66" spans="2:5" ht="24.95" customHeight="1" x14ac:dyDescent="0.2">
      <c r="B66" s="154"/>
      <c r="C66" s="154"/>
      <c r="D66" s="154"/>
      <c r="E66" s="154"/>
    </row>
    <row r="67" spans="2:5" ht="24.95" customHeight="1" x14ac:dyDescent="0.2">
      <c r="B67" s="154"/>
      <c r="C67" s="154"/>
      <c r="D67" s="154"/>
      <c r="E67" s="154"/>
    </row>
    <row r="68" spans="2:5" ht="24.95" customHeight="1" x14ac:dyDescent="0.2">
      <c r="B68" s="154"/>
      <c r="C68" s="154"/>
      <c r="D68" s="154"/>
      <c r="E68" s="154"/>
    </row>
    <row r="69" spans="2:5" ht="24.95" customHeight="1" x14ac:dyDescent="0.2">
      <c r="B69" s="154"/>
      <c r="C69" s="154"/>
      <c r="D69" s="154"/>
      <c r="E69" s="154"/>
    </row>
    <row r="70" spans="2:5" ht="24.95" customHeight="1" x14ac:dyDescent="0.2">
      <c r="B70" s="154"/>
      <c r="C70" s="154"/>
      <c r="D70" s="154"/>
      <c r="E70" s="154"/>
    </row>
    <row r="71" spans="2:5" ht="24.95" customHeight="1" x14ac:dyDescent="0.2">
      <c r="B71" s="154"/>
      <c r="C71" s="154"/>
      <c r="D71" s="154"/>
      <c r="E71" s="154"/>
    </row>
    <row r="72" spans="2:5" ht="24.95" customHeight="1" x14ac:dyDescent="0.2">
      <c r="B72" s="154"/>
      <c r="C72" s="154"/>
      <c r="D72" s="154"/>
      <c r="E72" s="154"/>
    </row>
    <row r="73" spans="2:5" ht="24.95" customHeight="1" x14ac:dyDescent="0.2">
      <c r="B73" s="154"/>
      <c r="C73" s="154"/>
      <c r="D73" s="154"/>
      <c r="E73" s="154"/>
    </row>
  </sheetData>
  <pageMargins left="0.9055118110236221" right="0.70866141732283472" top="0.74803149606299213" bottom="0.74803149606299213" header="0.31496062992125984" footer="0.31496062992125984"/>
  <pageSetup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A1:M48"/>
  <sheetViews>
    <sheetView topLeftCell="A25" workbookViewId="0">
      <selection activeCell="D30" sqref="D30"/>
    </sheetView>
  </sheetViews>
  <sheetFormatPr baseColWidth="10" defaultRowHeight="12.75" x14ac:dyDescent="0.2"/>
  <cols>
    <col min="1" max="1" width="8.5703125" customWidth="1"/>
    <col min="2" max="2" width="32.140625" customWidth="1"/>
    <col min="3" max="3" width="9.28515625" customWidth="1"/>
    <col min="4" max="4" width="10.28515625" customWidth="1"/>
    <col min="5" max="5" width="9.85546875" customWidth="1"/>
    <col min="6" max="7" width="8.5703125" customWidth="1"/>
    <col min="8" max="8" width="9.5703125" customWidth="1"/>
    <col min="9" max="9" width="10.140625" customWidth="1"/>
    <col min="10" max="11" width="9.140625" customWidth="1"/>
    <col min="12" max="12" width="8.7109375" customWidth="1"/>
  </cols>
  <sheetData>
    <row r="1" spans="1:13" ht="18.75" x14ac:dyDescent="0.3">
      <c r="A1" s="58" t="s">
        <v>100</v>
      </c>
      <c r="B1" s="59"/>
      <c r="C1" s="59"/>
      <c r="D1" s="59"/>
      <c r="E1" s="59"/>
      <c r="F1" s="60"/>
      <c r="G1" s="60"/>
      <c r="H1" s="59" t="s">
        <v>79</v>
      </c>
      <c r="I1" s="60"/>
      <c r="J1" s="59">
        <v>2023</v>
      </c>
      <c r="K1" s="59"/>
      <c r="L1" s="61"/>
      <c r="M1" s="54"/>
    </row>
    <row r="2" spans="1:13" ht="18.75" x14ac:dyDescent="0.3">
      <c r="A2" s="62"/>
      <c r="B2" s="63"/>
      <c r="C2" s="63"/>
      <c r="D2" s="63"/>
      <c r="E2" s="64" t="s">
        <v>30</v>
      </c>
      <c r="F2" s="65"/>
      <c r="G2" s="65"/>
      <c r="H2" s="63"/>
      <c r="I2" s="65"/>
      <c r="J2" s="63" t="s">
        <v>94</v>
      </c>
      <c r="K2" s="63"/>
      <c r="L2" s="53"/>
      <c r="M2" s="66"/>
    </row>
    <row r="3" spans="1:13" ht="15.75" x14ac:dyDescent="0.25">
      <c r="A3" s="51" t="s">
        <v>72</v>
      </c>
      <c r="B3" s="51" t="s">
        <v>73</v>
      </c>
      <c r="C3" s="51" t="s">
        <v>96</v>
      </c>
      <c r="D3" s="57" t="s">
        <v>90</v>
      </c>
      <c r="E3" s="57" t="s">
        <v>91</v>
      </c>
      <c r="F3" s="57" t="s">
        <v>92</v>
      </c>
      <c r="G3" s="57" t="s">
        <v>95</v>
      </c>
      <c r="H3" s="57" t="s">
        <v>31</v>
      </c>
      <c r="I3" s="57" t="s">
        <v>90</v>
      </c>
      <c r="J3" s="57" t="s">
        <v>91</v>
      </c>
      <c r="K3" s="57" t="s">
        <v>92</v>
      </c>
      <c r="L3" s="57" t="s">
        <v>93</v>
      </c>
      <c r="M3" s="57" t="s">
        <v>31</v>
      </c>
    </row>
    <row r="4" spans="1:13" ht="15" customHeight="1" x14ac:dyDescent="0.2">
      <c r="A4" s="56">
        <v>1</v>
      </c>
      <c r="B4" s="34" t="str">
        <f>+'SEMANA DEL 2 AL 7-3-26'!A5</f>
        <v xml:space="preserve">ALCIDES CORREA </v>
      </c>
      <c r="C4" s="34"/>
      <c r="D4" s="48"/>
      <c r="E4" s="46"/>
      <c r="F4" s="46"/>
      <c r="G4" s="46"/>
      <c r="H4" s="46"/>
      <c r="I4" s="46"/>
      <c r="J4" s="46"/>
      <c r="K4" s="46"/>
      <c r="L4" s="45"/>
      <c r="M4" s="46"/>
    </row>
    <row r="5" spans="1:13" ht="15" customHeight="1" x14ac:dyDescent="0.25">
      <c r="A5" s="56">
        <f>+A4+1</f>
        <v>2</v>
      </c>
      <c r="B5" s="34" t="str">
        <f>+'SEMANA DEL 2 AL 7-3-26'!A7</f>
        <v xml:space="preserve">BLANCA ALVARADO </v>
      </c>
      <c r="C5" s="34"/>
      <c r="D5" s="55"/>
      <c r="E5" s="46"/>
      <c r="F5" s="46"/>
      <c r="G5" s="46"/>
      <c r="H5" s="46"/>
      <c r="I5" s="46"/>
      <c r="J5" s="46"/>
      <c r="K5" s="46"/>
      <c r="L5" s="46"/>
      <c r="M5" s="46"/>
    </row>
    <row r="6" spans="1:13" ht="15" customHeight="1" x14ac:dyDescent="0.25">
      <c r="A6" s="56">
        <f>+A5+1</f>
        <v>3</v>
      </c>
      <c r="B6" s="34" t="e">
        <f>+'SEMANA DEL 2 AL 7-3-26'!#REF!</f>
        <v>#REF!</v>
      </c>
      <c r="C6" s="34"/>
      <c r="D6" s="55"/>
      <c r="E6" s="46"/>
      <c r="F6" s="46"/>
      <c r="G6" s="46"/>
      <c r="H6" s="46"/>
      <c r="I6" s="46"/>
      <c r="J6" s="46"/>
      <c r="K6" s="46"/>
      <c r="L6" s="46"/>
      <c r="M6" s="46"/>
    </row>
    <row r="7" spans="1:13" ht="15" customHeight="1" x14ac:dyDescent="0.2">
      <c r="A7" s="56">
        <f>+A6+1</f>
        <v>4</v>
      </c>
      <c r="B7" s="34" t="e">
        <f>+'SEMANA DEL 2 AL 7-3-26'!#REF!</f>
        <v>#REF!</v>
      </c>
      <c r="C7" s="34"/>
      <c r="D7" s="48"/>
      <c r="E7" s="46"/>
      <c r="F7" s="46"/>
      <c r="G7" s="46"/>
      <c r="H7" s="46"/>
      <c r="I7" s="46"/>
      <c r="J7" s="45"/>
      <c r="K7" s="46"/>
      <c r="L7" s="46"/>
      <c r="M7" s="46"/>
    </row>
    <row r="8" spans="1:13" ht="15" customHeight="1" x14ac:dyDescent="0.2">
      <c r="A8" s="56">
        <f>+A7+1</f>
        <v>5</v>
      </c>
      <c r="B8" s="34" t="e">
        <f>+'SEMANA DEL 2 AL 7-3-26'!#REF!</f>
        <v>#REF!</v>
      </c>
      <c r="C8" s="34"/>
      <c r="D8" s="48"/>
      <c r="E8" s="46"/>
      <c r="F8" s="46"/>
      <c r="G8" s="46"/>
      <c r="H8" s="46"/>
      <c r="I8" s="46"/>
      <c r="J8" s="45"/>
      <c r="K8" s="46"/>
      <c r="L8" s="46"/>
      <c r="M8" s="46"/>
    </row>
    <row r="9" spans="1:13" ht="15" customHeight="1" x14ac:dyDescent="0.25">
      <c r="A9" s="56">
        <f>+A8+1</f>
        <v>6</v>
      </c>
      <c r="B9" s="34" t="str">
        <f>+'SEMANA DEL 2 AL 7-3-26'!A9</f>
        <v xml:space="preserve">ELIZABETH REYES SERRANO </v>
      </c>
      <c r="C9" s="34"/>
      <c r="D9" s="55"/>
      <c r="E9" s="46"/>
      <c r="F9" s="46"/>
      <c r="G9" s="46"/>
      <c r="H9" s="46"/>
      <c r="I9" s="46"/>
      <c r="J9" s="46"/>
      <c r="K9" s="46"/>
      <c r="L9" s="46"/>
      <c r="M9" s="46"/>
    </row>
    <row r="10" spans="1:13" ht="15" customHeight="1" x14ac:dyDescent="0.2">
      <c r="A10" s="56">
        <f t="shared" ref="A10:A48" si="0">+A9+1</f>
        <v>7</v>
      </c>
      <c r="B10" s="34" t="str">
        <f>+'SEMANA DEL 2 AL 7-3-26'!A10</f>
        <v>ELVIRA LOPEZ</v>
      </c>
      <c r="C10" s="34"/>
      <c r="D10" s="48"/>
      <c r="E10" s="46"/>
      <c r="F10" s="46"/>
      <c r="G10" s="46"/>
      <c r="H10" s="46"/>
      <c r="I10" s="46"/>
      <c r="J10" s="46"/>
      <c r="K10" s="46"/>
      <c r="L10" s="46"/>
      <c r="M10" s="46"/>
    </row>
    <row r="11" spans="1:13" ht="15" customHeight="1" x14ac:dyDescent="0.25">
      <c r="A11" s="56">
        <f t="shared" si="0"/>
        <v>8</v>
      </c>
      <c r="B11" s="34" t="str">
        <f>+'SEMANA DEL 2 AL 7-3-26'!A11</f>
        <v>ERNESTO REYES</v>
      </c>
      <c r="C11" s="34"/>
      <c r="D11" s="55"/>
      <c r="E11" s="46"/>
      <c r="F11" s="46"/>
      <c r="G11" s="46"/>
      <c r="H11" s="46"/>
      <c r="I11" s="46"/>
      <c r="J11" s="46"/>
      <c r="K11" s="46"/>
      <c r="L11" s="46"/>
      <c r="M11" s="46"/>
    </row>
    <row r="12" spans="1:13" ht="15" customHeight="1" x14ac:dyDescent="0.25">
      <c r="A12" s="56">
        <f t="shared" si="0"/>
        <v>9</v>
      </c>
      <c r="B12" s="34" t="str">
        <f>+'SEMANA DEL 2 AL 7-3-26'!A12</f>
        <v xml:space="preserve">GUILLERMO ZAMBRANO </v>
      </c>
      <c r="C12" s="34"/>
      <c r="D12" s="55"/>
      <c r="E12" s="46"/>
      <c r="F12" s="46"/>
      <c r="G12" s="46"/>
      <c r="H12" s="46"/>
      <c r="I12" s="46"/>
      <c r="J12" s="46"/>
      <c r="K12" s="46"/>
      <c r="L12" s="46"/>
      <c r="M12" s="46"/>
    </row>
    <row r="13" spans="1:13" ht="15" customHeight="1" x14ac:dyDescent="0.25">
      <c r="A13" s="56">
        <f t="shared" si="0"/>
        <v>10</v>
      </c>
      <c r="B13" s="34" t="e">
        <f>+'SEMANA DEL 2 AL 7-3-26'!#REF!</f>
        <v>#REF!</v>
      </c>
      <c r="C13" s="34"/>
      <c r="D13" s="55"/>
      <c r="E13" s="46"/>
      <c r="F13" s="46"/>
      <c r="G13" s="46"/>
      <c r="H13" s="46"/>
      <c r="I13" s="46"/>
      <c r="J13" s="46"/>
      <c r="K13" s="46"/>
      <c r="L13" s="46"/>
      <c r="M13" s="46"/>
    </row>
    <row r="14" spans="1:13" ht="15" customHeight="1" x14ac:dyDescent="0.25">
      <c r="A14" s="56">
        <f t="shared" si="0"/>
        <v>11</v>
      </c>
      <c r="B14" s="34" t="str">
        <f>+'SEMANA DEL 2 AL 7-3-26'!A13</f>
        <v>HUGO ALMEIDA</v>
      </c>
      <c r="C14" s="34"/>
      <c r="D14" s="55"/>
      <c r="E14" s="46"/>
      <c r="F14" s="46"/>
      <c r="G14" s="46"/>
      <c r="H14" s="46"/>
      <c r="I14" s="46"/>
      <c r="J14" s="46"/>
      <c r="K14" s="46"/>
      <c r="L14" s="46"/>
      <c r="M14" s="46"/>
    </row>
    <row r="15" spans="1:13" ht="15" customHeight="1" x14ac:dyDescent="0.2">
      <c r="A15" s="56">
        <f t="shared" si="0"/>
        <v>12</v>
      </c>
      <c r="B15" s="34" t="str">
        <f>+'SEMANA DEL 2 AL 7-3-26'!A14</f>
        <v>HILDA SERRANO</v>
      </c>
      <c r="C15" s="34"/>
      <c r="D15" s="48"/>
      <c r="E15" s="45"/>
      <c r="F15" s="45"/>
      <c r="G15" s="45"/>
      <c r="H15" s="45"/>
      <c r="I15" s="45"/>
      <c r="J15" s="45"/>
      <c r="K15" s="46"/>
      <c r="L15" s="45"/>
      <c r="M15" s="46"/>
    </row>
    <row r="16" spans="1:13" ht="15" customHeight="1" x14ac:dyDescent="0.2">
      <c r="A16" s="56">
        <f t="shared" si="0"/>
        <v>13</v>
      </c>
      <c r="B16" s="34" t="str">
        <f>+'SEMANA DEL 2 AL 7-3-26'!A15</f>
        <v xml:space="preserve">HUMBERTO LUNA </v>
      </c>
      <c r="C16" s="34"/>
      <c r="D16" s="48"/>
      <c r="E16" s="45"/>
      <c r="F16" s="45"/>
      <c r="G16" s="45"/>
      <c r="H16" s="45"/>
      <c r="I16" s="45"/>
      <c r="J16" s="45"/>
      <c r="K16" s="46"/>
      <c r="L16" s="45"/>
      <c r="M16" s="46"/>
    </row>
    <row r="17" spans="1:13" ht="15" customHeight="1" x14ac:dyDescent="0.2">
      <c r="A17" s="56">
        <f t="shared" si="0"/>
        <v>14</v>
      </c>
      <c r="B17" s="34" t="str">
        <f>+'SEMANA DEL 2 AL 7-3-26'!A16</f>
        <v>JOSE EBLAN GIRON</v>
      </c>
      <c r="C17" s="34"/>
      <c r="D17" s="48"/>
      <c r="E17" s="45"/>
      <c r="F17" s="45"/>
      <c r="G17" s="45"/>
      <c r="H17" s="45"/>
      <c r="I17" s="45"/>
      <c r="J17" s="45"/>
      <c r="K17" s="46"/>
      <c r="L17" s="45"/>
      <c r="M17" s="46"/>
    </row>
    <row r="18" spans="1:13" ht="15" customHeight="1" x14ac:dyDescent="0.2">
      <c r="A18" s="56">
        <f t="shared" si="0"/>
        <v>15</v>
      </c>
      <c r="B18" s="34" t="str">
        <f>+'SEMANA DEL 2 AL 7-3-26'!A17</f>
        <v xml:space="preserve">JOSE JURADO </v>
      </c>
      <c r="C18" s="34"/>
      <c r="D18" s="48"/>
      <c r="E18" s="45"/>
      <c r="F18" s="45"/>
      <c r="G18" s="45"/>
      <c r="H18" s="45"/>
      <c r="I18" s="45"/>
      <c r="J18" s="45"/>
      <c r="K18" s="46"/>
      <c r="L18" s="45"/>
      <c r="M18" s="46"/>
    </row>
    <row r="19" spans="1:13" ht="15" customHeight="1" x14ac:dyDescent="0.2">
      <c r="A19" s="56">
        <f t="shared" si="0"/>
        <v>16</v>
      </c>
      <c r="B19" s="34" t="str">
        <f>+'SEMANA DEL 2 AL 7-3-26'!A18</f>
        <v xml:space="preserve">KARINA SILVA </v>
      </c>
      <c r="C19" s="34"/>
      <c r="D19" s="48"/>
      <c r="E19" s="45"/>
      <c r="F19" s="45"/>
      <c r="G19" s="45"/>
      <c r="H19" s="45"/>
      <c r="I19" s="45"/>
      <c r="J19" s="45"/>
      <c r="K19" s="46"/>
      <c r="L19" s="45"/>
      <c r="M19" s="46"/>
    </row>
    <row r="20" spans="1:13" ht="15" customHeight="1" x14ac:dyDescent="0.2">
      <c r="A20" s="56">
        <f t="shared" si="0"/>
        <v>17</v>
      </c>
      <c r="B20" s="34" t="str">
        <f>+'SEMANA DEL 2 AL 7-3-26'!A19</f>
        <v>LUZ MERY ABAUNZA</v>
      </c>
      <c r="C20" s="34"/>
      <c r="D20" s="48"/>
      <c r="E20" s="45"/>
      <c r="F20" s="45"/>
      <c r="G20" s="45"/>
      <c r="H20" s="45"/>
      <c r="I20" s="45"/>
      <c r="J20" s="45"/>
      <c r="K20" s="46"/>
      <c r="L20" s="45"/>
      <c r="M20" s="46"/>
    </row>
    <row r="21" spans="1:13" ht="15" customHeight="1" x14ac:dyDescent="0.2">
      <c r="A21" s="56">
        <f t="shared" si="0"/>
        <v>18</v>
      </c>
      <c r="B21" s="34" t="str">
        <f>+'SEMANA DEL 2 AL 7-3-26'!A20</f>
        <v>LUIS ROJAS</v>
      </c>
      <c r="C21" s="34"/>
      <c r="D21" s="48"/>
      <c r="E21" s="45"/>
      <c r="F21" s="45"/>
      <c r="G21" s="45"/>
      <c r="H21" s="45"/>
      <c r="I21" s="45"/>
      <c r="J21" s="45"/>
      <c r="K21" s="46"/>
      <c r="L21" s="45"/>
      <c r="M21" s="46"/>
    </row>
    <row r="22" spans="1:13" ht="15" customHeight="1" x14ac:dyDescent="0.2">
      <c r="A22" s="56">
        <f t="shared" si="0"/>
        <v>19</v>
      </c>
      <c r="B22" s="34" t="str">
        <f>+'SEMANA DEL 2 AL 7-3-26'!A21</f>
        <v xml:space="preserve">LUIS VALDERRAMA </v>
      </c>
      <c r="C22" s="34"/>
      <c r="D22" s="48"/>
      <c r="E22" s="45"/>
      <c r="F22" s="45"/>
      <c r="G22" s="45"/>
      <c r="H22" s="45"/>
      <c r="I22" s="45"/>
      <c r="J22" s="45"/>
      <c r="K22" s="46"/>
      <c r="L22" s="45"/>
      <c r="M22" s="46"/>
    </row>
    <row r="23" spans="1:13" ht="15" customHeight="1" x14ac:dyDescent="0.2">
      <c r="A23" s="56">
        <f t="shared" si="0"/>
        <v>20</v>
      </c>
      <c r="B23" s="34" t="str">
        <f>+'SEMANA DEL 2 AL 7-3-26'!A22</f>
        <v>LILIANA  VEGA</v>
      </c>
      <c r="C23" s="34"/>
      <c r="D23" s="48"/>
      <c r="E23" s="45"/>
      <c r="F23" s="45"/>
      <c r="G23" s="45"/>
      <c r="H23" s="45"/>
      <c r="I23" s="45"/>
      <c r="J23" s="45"/>
      <c r="K23" s="46"/>
      <c r="L23" s="45"/>
      <c r="M23" s="46"/>
    </row>
    <row r="24" spans="1:13" ht="15" customHeight="1" x14ac:dyDescent="0.2">
      <c r="A24" s="56">
        <f t="shared" si="0"/>
        <v>21</v>
      </c>
      <c r="B24" s="34" t="str">
        <f>+'SEMANA DEL 2 AL 7-3-26'!A23</f>
        <v xml:space="preserve">LUIS ERNESTO ALMEIDA </v>
      </c>
      <c r="C24" s="34"/>
      <c r="D24" s="48"/>
      <c r="E24" s="45"/>
      <c r="F24" s="45"/>
      <c r="G24" s="45"/>
      <c r="H24" s="45"/>
      <c r="I24" s="45"/>
      <c r="J24" s="45"/>
      <c r="K24" s="46"/>
      <c r="L24" s="45"/>
      <c r="M24" s="46"/>
    </row>
    <row r="25" spans="1:13" ht="15" customHeight="1" x14ac:dyDescent="0.2">
      <c r="A25" s="56">
        <f t="shared" si="0"/>
        <v>22</v>
      </c>
      <c r="B25" s="34" t="str">
        <f>+'SEMANA DEL 2 AL 7-3-26'!A25</f>
        <v xml:space="preserve">MAYERLIN BOLIVAR </v>
      </c>
      <c r="C25" s="34"/>
      <c r="D25" s="48"/>
      <c r="E25" s="45"/>
      <c r="F25" s="45"/>
      <c r="G25" s="45"/>
      <c r="H25" s="45"/>
      <c r="I25" s="45"/>
      <c r="J25" s="45"/>
      <c r="K25" s="46"/>
      <c r="L25" s="45"/>
      <c r="M25" s="46"/>
    </row>
    <row r="26" spans="1:13" ht="15" customHeight="1" x14ac:dyDescent="0.2">
      <c r="A26" s="56">
        <f t="shared" si="0"/>
        <v>23</v>
      </c>
      <c r="B26" s="34" t="str">
        <f>+'SEMANA DEL 2 AL 7-3-26'!A26</f>
        <v xml:space="preserve">MARTHA SILVA </v>
      </c>
      <c r="C26" s="34"/>
      <c r="D26" s="48"/>
      <c r="E26" s="45"/>
      <c r="F26" s="45"/>
      <c r="G26" s="45"/>
      <c r="H26" s="45"/>
      <c r="I26" s="45"/>
      <c r="J26" s="45"/>
      <c r="K26" s="46"/>
      <c r="L26" s="45"/>
      <c r="M26" s="46"/>
    </row>
    <row r="27" spans="1:13" ht="15" customHeight="1" x14ac:dyDescent="0.2">
      <c r="A27" s="56">
        <f t="shared" si="0"/>
        <v>24</v>
      </c>
      <c r="B27" s="34" t="e">
        <f>+'SEMANA DEL 2 AL 7-3-26'!#REF!</f>
        <v>#REF!</v>
      </c>
      <c r="C27" s="34"/>
      <c r="D27" s="48"/>
      <c r="E27" s="45"/>
      <c r="F27" s="45"/>
      <c r="G27" s="45"/>
      <c r="H27" s="45"/>
      <c r="I27" s="45"/>
      <c r="J27" s="45"/>
      <c r="K27" s="46"/>
      <c r="L27" s="45"/>
      <c r="M27" s="46"/>
    </row>
    <row r="28" spans="1:13" ht="15" customHeight="1" x14ac:dyDescent="0.2">
      <c r="A28" s="56">
        <f t="shared" si="0"/>
        <v>25</v>
      </c>
      <c r="B28" s="34" t="e">
        <f>+'SEMANA DEL 2 AL 7-3-26'!#REF!</f>
        <v>#REF!</v>
      </c>
      <c r="C28" s="34"/>
      <c r="D28" s="48"/>
      <c r="E28" s="45"/>
      <c r="F28" s="45"/>
      <c r="G28" s="45"/>
      <c r="H28" s="45"/>
      <c r="I28" s="45"/>
      <c r="J28" s="45"/>
      <c r="K28" s="46"/>
      <c r="L28" s="45"/>
      <c r="M28" s="46"/>
    </row>
    <row r="29" spans="1:13" ht="15" customHeight="1" x14ac:dyDescent="0.2">
      <c r="A29" s="56">
        <f t="shared" si="0"/>
        <v>26</v>
      </c>
      <c r="B29" s="34" t="str">
        <f>+'SEMANA DEL 2 AL 7-3-26'!A29</f>
        <v xml:space="preserve">MARIA MEDINA </v>
      </c>
      <c r="C29" s="34"/>
      <c r="D29" s="48"/>
      <c r="E29" s="45"/>
      <c r="F29" s="45"/>
      <c r="G29" s="45"/>
      <c r="H29" s="45"/>
      <c r="I29" s="45"/>
      <c r="J29" s="45"/>
      <c r="K29" s="46"/>
      <c r="L29" s="45"/>
      <c r="M29" s="46"/>
    </row>
    <row r="30" spans="1:13" ht="15" customHeight="1" x14ac:dyDescent="0.2">
      <c r="A30" s="56">
        <f t="shared" si="0"/>
        <v>27</v>
      </c>
      <c r="B30" s="34" t="e">
        <f>+'SEMANA DEL 2 AL 7-3-26'!#REF!</f>
        <v>#REF!</v>
      </c>
      <c r="C30" s="34"/>
      <c r="D30" s="48"/>
      <c r="E30" s="45"/>
      <c r="F30" s="45"/>
      <c r="G30" s="45"/>
      <c r="H30" s="45"/>
      <c r="I30" s="45"/>
      <c r="J30" s="45"/>
      <c r="K30" s="46"/>
      <c r="L30" s="45"/>
      <c r="M30" s="46"/>
    </row>
    <row r="31" spans="1:13" ht="15" customHeight="1" x14ac:dyDescent="0.2">
      <c r="A31" s="56">
        <f t="shared" si="0"/>
        <v>28</v>
      </c>
      <c r="B31" s="34" t="str">
        <f>+'SEMANA DEL 2 AL 7-3-26'!A31</f>
        <v xml:space="preserve">RAMON PARRA </v>
      </c>
      <c r="C31" s="34"/>
      <c r="D31" s="48"/>
      <c r="E31" s="45"/>
      <c r="F31" s="45"/>
      <c r="G31" s="45"/>
      <c r="H31" s="45"/>
      <c r="I31" s="45"/>
      <c r="J31" s="45"/>
      <c r="K31" s="46"/>
      <c r="L31" s="45"/>
      <c r="M31" s="46"/>
    </row>
    <row r="32" spans="1:13" ht="15" customHeight="1" x14ac:dyDescent="0.2">
      <c r="A32" s="56">
        <f t="shared" si="0"/>
        <v>29</v>
      </c>
      <c r="B32" s="34" t="str">
        <f>+'SEMANA DEL 2 AL 7-3-26'!A32</f>
        <v>SULAY ALMEIDA</v>
      </c>
      <c r="C32" s="34"/>
      <c r="D32" s="48"/>
      <c r="E32" s="45"/>
      <c r="F32" s="45"/>
      <c r="G32" s="45"/>
      <c r="H32" s="45"/>
      <c r="I32" s="45"/>
      <c r="J32" s="45"/>
      <c r="K32" s="46"/>
      <c r="L32" s="45"/>
      <c r="M32" s="46"/>
    </row>
    <row r="33" spans="1:13" ht="15" customHeight="1" x14ac:dyDescent="0.2">
      <c r="A33" s="56">
        <f t="shared" si="0"/>
        <v>30</v>
      </c>
      <c r="B33" s="34" t="str">
        <f>+'SEMANA DEL 2 AL 7-3-26'!A33</f>
        <v xml:space="preserve">RENE ALMEIDA </v>
      </c>
      <c r="C33" s="34"/>
      <c r="D33" s="48"/>
      <c r="E33" s="45"/>
      <c r="F33" s="45"/>
      <c r="G33" s="45"/>
      <c r="H33" s="45"/>
      <c r="I33" s="45"/>
      <c r="J33" s="45"/>
      <c r="K33" s="46"/>
      <c r="L33" s="45"/>
      <c r="M33" s="46"/>
    </row>
    <row r="34" spans="1:13" ht="15" customHeight="1" x14ac:dyDescent="0.2">
      <c r="A34" s="56">
        <f t="shared" si="0"/>
        <v>31</v>
      </c>
      <c r="B34" s="34" t="str">
        <f>+'SEMANA DEL 2 AL 7-3-26'!A34</f>
        <v>RUBIELA MARTINEZ</v>
      </c>
      <c r="C34" s="34"/>
      <c r="D34" s="48"/>
      <c r="E34" s="45"/>
      <c r="F34" s="45"/>
      <c r="G34" s="45"/>
      <c r="H34" s="45"/>
      <c r="I34" s="45"/>
      <c r="J34" s="45"/>
      <c r="K34" s="46"/>
      <c r="L34" s="45"/>
      <c r="M34" s="46"/>
    </row>
    <row r="35" spans="1:13" ht="15" customHeight="1" x14ac:dyDescent="0.2">
      <c r="A35" s="56">
        <f t="shared" si="0"/>
        <v>32</v>
      </c>
      <c r="B35" s="34" t="str">
        <f>+'SEMANA DEL 2 AL 7-3-26'!A35</f>
        <v xml:space="preserve">ROSMIRA DURAN </v>
      </c>
      <c r="C35" s="34"/>
      <c r="D35" s="48"/>
      <c r="E35" s="45"/>
      <c r="F35" s="45"/>
      <c r="G35" s="45"/>
      <c r="H35" s="45"/>
      <c r="I35" s="45"/>
      <c r="J35" s="45"/>
      <c r="K35" s="46"/>
      <c r="L35" s="45"/>
      <c r="M35" s="46"/>
    </row>
    <row r="36" spans="1:13" x14ac:dyDescent="0.2">
      <c r="A36" s="56">
        <f t="shared" si="0"/>
        <v>33</v>
      </c>
      <c r="B36" s="34" t="e">
        <f>+'SEMANA DEL 2 AL 7-3-26'!#REF!</f>
        <v>#REF!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spans="1:13" x14ac:dyDescent="0.2">
      <c r="A37" s="56">
        <f t="shared" si="0"/>
        <v>34</v>
      </c>
      <c r="B37" s="34" t="str">
        <f>+'SEMANA DEL 2 AL 7-3-26'!A36</f>
        <v xml:space="preserve">ROSALBA MATAGIRA 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 spans="1:13" x14ac:dyDescent="0.2">
      <c r="A38" s="56">
        <f t="shared" si="0"/>
        <v>35</v>
      </c>
      <c r="B38" s="34" t="e">
        <f>+'SEMANA DEL 2 AL 7-3-26'!#REF!</f>
        <v>#REF!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3" x14ac:dyDescent="0.2">
      <c r="A39" s="56">
        <f t="shared" si="0"/>
        <v>36</v>
      </c>
      <c r="B39" s="34" t="str">
        <f>+'SEMANA DEL 2 AL 7-3-26'!A37</f>
        <v>STELLA SILVA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</row>
    <row r="40" spans="1:13" x14ac:dyDescent="0.2">
      <c r="A40" s="56">
        <f t="shared" si="0"/>
        <v>37</v>
      </c>
      <c r="B40" s="34" t="e">
        <f>+'SEMANA DEL 2 AL 7-3-26'!#REF!</f>
        <v>#REF!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x14ac:dyDescent="0.2">
      <c r="A41" s="56">
        <f t="shared" si="0"/>
        <v>38</v>
      </c>
      <c r="B41" s="34" t="e">
        <f>+'SEMANA DEL 2 AL 7-3-26'!#REF!</f>
        <v>#REF!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</row>
    <row r="42" spans="1:13" x14ac:dyDescent="0.2">
      <c r="A42" s="56">
        <f t="shared" si="0"/>
        <v>39</v>
      </c>
      <c r="B42" s="34" t="str">
        <f>+'SEMANA DEL 2 AL 7-3-26'!A42</f>
        <v>YARIRETH ROA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</row>
    <row r="43" spans="1:13" x14ac:dyDescent="0.2">
      <c r="A43" s="56">
        <f t="shared" si="0"/>
        <v>40</v>
      </c>
      <c r="B43" s="34" t="str">
        <f>+'SEMANA DEL 2 AL 7-3-26'!A43</f>
        <v xml:space="preserve">YOLI BECERRA 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</row>
    <row r="44" spans="1:13" x14ac:dyDescent="0.2">
      <c r="A44" s="56">
        <f t="shared" si="0"/>
        <v>41</v>
      </c>
      <c r="B44" s="34">
        <f>+'SEMANA DEL 2 AL 7-3-26'!A45</f>
        <v>0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</row>
    <row r="45" spans="1:13" x14ac:dyDescent="0.2">
      <c r="A45" s="56">
        <f t="shared" si="0"/>
        <v>42</v>
      </c>
      <c r="B45" s="34">
        <f>+'SEMANA DEL 2 AL 7-3-26'!A46</f>
        <v>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 spans="1:13" x14ac:dyDescent="0.2">
      <c r="A46" s="56">
        <f t="shared" si="0"/>
        <v>43</v>
      </c>
      <c r="B46" s="34">
        <f>+'SEMANA DEL 2 AL 7-3-26'!A47</f>
        <v>0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</row>
    <row r="47" spans="1:13" x14ac:dyDescent="0.2">
      <c r="A47" s="56">
        <f t="shared" si="0"/>
        <v>44</v>
      </c>
      <c r="B47" s="34">
        <f>+'SEMANA DEL 2 AL 7-3-26'!A48</f>
        <v>0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</row>
    <row r="48" spans="1:13" x14ac:dyDescent="0.2">
      <c r="A48" s="56">
        <f t="shared" si="0"/>
        <v>45</v>
      </c>
      <c r="B48" s="34">
        <f>+'SEMANA DEL 2 AL 7-3-26'!A49</f>
        <v>0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</row>
  </sheetData>
  <pageMargins left="0.70866141732283472" right="0.70866141732283472" top="0.74803149606299213" bottom="0.74803149606299213" header="0.31496062992125984" footer="0.31496062992125984"/>
  <pageSetup scale="8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indexed="44"/>
    <pageSetUpPr fitToPage="1"/>
  </sheetPr>
  <dimension ref="A1:I29"/>
  <sheetViews>
    <sheetView workbookViewId="0">
      <pane ySplit="4" topLeftCell="A5" activePane="bottomLeft" state="frozen"/>
      <selection pane="bottomLeft" activeCell="D21" sqref="D21"/>
    </sheetView>
  </sheetViews>
  <sheetFormatPr baseColWidth="10" defaultColWidth="11.42578125" defaultRowHeight="12.75" x14ac:dyDescent="0.2"/>
  <cols>
    <col min="2" max="2" width="22.28515625" customWidth="1"/>
    <col min="3" max="3" width="30.5703125" customWidth="1"/>
    <col min="4" max="5" width="15.42578125" bestFit="1" customWidth="1"/>
    <col min="6" max="6" width="17.28515625" customWidth="1"/>
    <col min="7" max="8" width="15.42578125" bestFit="1" customWidth="1"/>
  </cols>
  <sheetData>
    <row r="1" spans="1:9" ht="31.5" customHeight="1" x14ac:dyDescent="0.4">
      <c r="A1" s="14"/>
      <c r="B1" s="138"/>
      <c r="C1" s="414" t="s">
        <v>162</v>
      </c>
      <c r="D1" s="414"/>
      <c r="E1" s="414"/>
      <c r="F1" s="414"/>
      <c r="G1" s="139"/>
      <c r="H1" s="22"/>
      <c r="I1" s="22"/>
    </row>
    <row r="2" spans="1:9" ht="27" customHeight="1" x14ac:dyDescent="0.25">
      <c r="A2" s="14"/>
      <c r="B2" s="69"/>
      <c r="C2" s="32"/>
      <c r="D2" s="111" t="e">
        <f>+'ACUM-DET'!BN30</f>
        <v>#REF!</v>
      </c>
      <c r="E2" s="32"/>
      <c r="F2" s="32"/>
      <c r="G2" s="27"/>
      <c r="H2" s="14"/>
    </row>
    <row r="3" spans="1:9" ht="2.25" customHeight="1" thickBot="1" x14ac:dyDescent="0.25">
      <c r="A3" s="14"/>
      <c r="B3" s="21"/>
      <c r="C3" s="21"/>
      <c r="D3" s="21"/>
      <c r="E3" s="21"/>
      <c r="F3" s="14"/>
      <c r="G3" s="14"/>
      <c r="H3" s="14"/>
    </row>
    <row r="4" spans="1:9" ht="15.75" thickBot="1" x14ac:dyDescent="0.25">
      <c r="A4" s="14"/>
      <c r="B4" s="141" t="s">
        <v>29</v>
      </c>
      <c r="C4" s="142" t="s">
        <v>49</v>
      </c>
      <c r="D4" s="143" t="s">
        <v>30</v>
      </c>
      <c r="E4" s="143" t="s">
        <v>31</v>
      </c>
      <c r="F4" s="143" t="s">
        <v>32</v>
      </c>
      <c r="G4" s="144" t="s">
        <v>25</v>
      </c>
      <c r="H4" s="14"/>
    </row>
    <row r="5" spans="1:9" ht="15" x14ac:dyDescent="0.2">
      <c r="A5" s="14"/>
      <c r="B5" s="145" t="s">
        <v>21</v>
      </c>
      <c r="C5" s="146">
        <f>+'ACUM-DET'!B39</f>
        <v>0</v>
      </c>
      <c r="D5" s="147" t="e">
        <f>+'ACUM-DET'!R39</f>
        <v>#REF!</v>
      </c>
      <c r="E5" s="148" t="e">
        <f t="shared" ref="E5:E27" si="0">+C5+D5</f>
        <v>#REF!</v>
      </c>
      <c r="F5" s="149" t="e">
        <f>+'ACUM-DET'!AH30</f>
        <v>#REF!</v>
      </c>
      <c r="G5" s="148" t="e">
        <f t="shared" ref="G5:G23" si="1">E5-F5</f>
        <v>#REF!</v>
      </c>
      <c r="H5" s="31"/>
    </row>
    <row r="6" spans="1:9" ht="15" x14ac:dyDescent="0.2">
      <c r="A6" s="14"/>
      <c r="B6" s="78" t="s">
        <v>22</v>
      </c>
      <c r="C6" s="146">
        <f>+'ACUM-DET'!C39</f>
        <v>0</v>
      </c>
      <c r="D6" s="147" t="e">
        <f>+'ACUM-DET'!S39</f>
        <v>#REF!</v>
      </c>
      <c r="E6" s="148" t="e">
        <f t="shared" si="0"/>
        <v>#REF!</v>
      </c>
      <c r="F6" s="149" t="e">
        <f>+'ACUM-DET'!AI30</f>
        <v>#REF!</v>
      </c>
      <c r="G6" s="150" t="e">
        <f t="shared" si="1"/>
        <v>#REF!</v>
      </c>
      <c r="H6" s="31"/>
    </row>
    <row r="7" spans="1:9" ht="15" x14ac:dyDescent="0.2">
      <c r="A7" s="14"/>
      <c r="B7" s="78"/>
      <c r="C7" s="146"/>
      <c r="D7" s="147"/>
      <c r="E7" s="148"/>
      <c r="F7" s="149"/>
      <c r="G7" s="150"/>
      <c r="H7" s="31"/>
    </row>
    <row r="8" spans="1:9" ht="15" x14ac:dyDescent="0.2">
      <c r="A8" s="14"/>
      <c r="B8" s="78" t="s">
        <v>33</v>
      </c>
      <c r="C8" s="146">
        <f>+'ACUM-DET'!D39</f>
        <v>0</v>
      </c>
      <c r="D8" s="147" t="e">
        <f>+'ACUM-DET'!T39</f>
        <v>#REF!</v>
      </c>
      <c r="E8" s="148" t="e">
        <f t="shared" si="0"/>
        <v>#REF!</v>
      </c>
      <c r="F8" s="149" t="e">
        <f>+'ACUM-DET'!AJ30</f>
        <v>#REF!</v>
      </c>
      <c r="G8" s="150" t="e">
        <f t="shared" si="1"/>
        <v>#REF!</v>
      </c>
      <c r="H8" s="31"/>
    </row>
    <row r="9" spans="1:9" ht="15" x14ac:dyDescent="0.2">
      <c r="A9" s="14"/>
      <c r="B9" s="78"/>
      <c r="C9" s="146"/>
      <c r="D9" s="147"/>
      <c r="E9" s="148">
        <f t="shared" si="0"/>
        <v>0</v>
      </c>
      <c r="F9" s="149"/>
      <c r="G9" s="150">
        <f t="shared" si="1"/>
        <v>0</v>
      </c>
      <c r="H9" s="14"/>
    </row>
    <row r="10" spans="1:9" ht="15" x14ac:dyDescent="0.2">
      <c r="A10" s="14"/>
      <c r="B10" s="78"/>
      <c r="C10" s="146"/>
      <c r="D10" s="147"/>
      <c r="E10" s="148">
        <f t="shared" si="0"/>
        <v>0</v>
      </c>
      <c r="F10" s="149"/>
      <c r="G10" s="150">
        <f t="shared" si="1"/>
        <v>0</v>
      </c>
      <c r="H10" s="14"/>
    </row>
    <row r="11" spans="1:9" ht="15" x14ac:dyDescent="0.2">
      <c r="A11" s="14"/>
      <c r="B11" s="78" t="s">
        <v>108</v>
      </c>
      <c r="C11" s="146">
        <f>+'ACUM-DET'!E39</f>
        <v>0</v>
      </c>
      <c r="D11" s="147" t="e">
        <f>+'ACUM-DET'!U39</f>
        <v>#REF!</v>
      </c>
      <c r="E11" s="148" t="e">
        <f t="shared" si="0"/>
        <v>#REF!</v>
      </c>
      <c r="F11" s="149" t="e">
        <f>+'ACUM-DET'!AK30</f>
        <v>#REF!</v>
      </c>
      <c r="G11" s="150" t="e">
        <f t="shared" si="1"/>
        <v>#REF!</v>
      </c>
      <c r="H11" s="14"/>
    </row>
    <row r="12" spans="1:9" ht="15" x14ac:dyDescent="0.2">
      <c r="A12" s="14"/>
      <c r="B12" s="78" t="s">
        <v>34</v>
      </c>
      <c r="C12" s="146"/>
      <c r="D12" s="147"/>
      <c r="E12" s="148">
        <f t="shared" si="0"/>
        <v>0</v>
      </c>
      <c r="F12" s="149"/>
      <c r="G12" s="150">
        <f t="shared" si="1"/>
        <v>0</v>
      </c>
      <c r="H12" s="14"/>
    </row>
    <row r="13" spans="1:9" ht="15" x14ac:dyDescent="0.2">
      <c r="A13" s="14"/>
      <c r="B13" s="78" t="s">
        <v>71</v>
      </c>
      <c r="C13" s="146">
        <f>+'ACUM-DET'!F39</f>
        <v>0</v>
      </c>
      <c r="D13" s="147" t="e">
        <f>+'ACUM-DET'!V39</f>
        <v>#REF!</v>
      </c>
      <c r="E13" s="148" t="e">
        <f t="shared" si="0"/>
        <v>#REF!</v>
      </c>
      <c r="F13" s="149" t="e">
        <f>+'ACUM-DET'!AL30</f>
        <v>#REF!</v>
      </c>
      <c r="G13" s="150" t="e">
        <f t="shared" si="1"/>
        <v>#REF!</v>
      </c>
      <c r="H13" s="14"/>
    </row>
    <row r="14" spans="1:9" ht="15" x14ac:dyDescent="0.2">
      <c r="A14" s="14"/>
      <c r="B14" s="78" t="s">
        <v>66</v>
      </c>
      <c r="C14" s="146">
        <f>+'ACUM-DET'!G39</f>
        <v>0</v>
      </c>
      <c r="D14" s="147" t="e">
        <f>+'ACUM-DET'!W39</f>
        <v>#REF!</v>
      </c>
      <c r="E14" s="148" t="e">
        <f t="shared" si="0"/>
        <v>#REF!</v>
      </c>
      <c r="F14" s="149" t="e">
        <f>+'ACUM-DET'!AN30</f>
        <v>#REF!</v>
      </c>
      <c r="G14" s="150" t="e">
        <f t="shared" si="1"/>
        <v>#REF!</v>
      </c>
      <c r="H14" s="14"/>
    </row>
    <row r="15" spans="1:9" ht="15" x14ac:dyDescent="0.2">
      <c r="A15" s="14"/>
      <c r="B15" s="78" t="s">
        <v>36</v>
      </c>
      <c r="C15" s="146">
        <f>+'ACUM-DET'!H39</f>
        <v>0</v>
      </c>
      <c r="D15" s="147" t="e">
        <f>+'ACUM-DET'!X30</f>
        <v>#REF!</v>
      </c>
      <c r="E15" s="148" t="e">
        <f t="shared" si="0"/>
        <v>#REF!</v>
      </c>
      <c r="F15" s="149" t="e">
        <f>+'ACUM-DET'!AN30</f>
        <v>#REF!</v>
      </c>
      <c r="G15" s="150" t="e">
        <f t="shared" si="1"/>
        <v>#REF!</v>
      </c>
      <c r="H15" s="14"/>
    </row>
    <row r="16" spans="1:9" ht="15" x14ac:dyDescent="0.2">
      <c r="A16" s="14"/>
      <c r="B16" s="78" t="s">
        <v>10</v>
      </c>
      <c r="C16" s="146">
        <f>+'ACUM-DET'!I39</f>
        <v>0</v>
      </c>
      <c r="D16" s="147" t="e">
        <f>+'ACUM-DET'!Y30</f>
        <v>#REF!</v>
      </c>
      <c r="E16" s="148" t="e">
        <f t="shared" si="0"/>
        <v>#REF!</v>
      </c>
      <c r="F16" s="149" t="e">
        <f>+'ACUM-DET'!AO30</f>
        <v>#REF!</v>
      </c>
      <c r="G16" s="150" t="e">
        <f t="shared" si="1"/>
        <v>#REF!</v>
      </c>
      <c r="H16" s="14"/>
    </row>
    <row r="17" spans="1:8" ht="15" x14ac:dyDescent="0.2">
      <c r="A17" s="14"/>
      <c r="B17" s="78" t="s">
        <v>114</v>
      </c>
      <c r="C17" s="146">
        <f>+'ACUM-DET'!J39</f>
        <v>0</v>
      </c>
      <c r="D17" s="147" t="e">
        <f>+'ACUM-DET'!Z30</f>
        <v>#REF!</v>
      </c>
      <c r="E17" s="148" t="e">
        <f t="shared" si="0"/>
        <v>#REF!</v>
      </c>
      <c r="F17" s="149" t="e">
        <f>+'ACUM-DET'!AP30</f>
        <v>#REF!</v>
      </c>
      <c r="G17" s="150" t="e">
        <f t="shared" si="1"/>
        <v>#REF!</v>
      </c>
      <c r="H17" s="14"/>
    </row>
    <row r="18" spans="1:8" ht="15" x14ac:dyDescent="0.2">
      <c r="A18" s="14"/>
      <c r="B18" s="78" t="s">
        <v>116</v>
      </c>
      <c r="C18" s="146">
        <f>+'ACUM-DET'!K39</f>
        <v>0</v>
      </c>
      <c r="D18" s="147" t="e">
        <f>+'ACUM-DET'!AA30</f>
        <v>#REF!</v>
      </c>
      <c r="E18" s="148" t="e">
        <f t="shared" si="0"/>
        <v>#REF!</v>
      </c>
      <c r="F18" s="149" t="e">
        <f>+'ACUM-DET'!AQ30</f>
        <v>#REF!</v>
      </c>
      <c r="G18" s="150" t="e">
        <f t="shared" si="1"/>
        <v>#REF!</v>
      </c>
      <c r="H18" s="14"/>
    </row>
    <row r="19" spans="1:8" ht="15" x14ac:dyDescent="0.2">
      <c r="A19" s="14"/>
      <c r="B19" s="78" t="s">
        <v>50</v>
      </c>
      <c r="C19" s="146">
        <f>+'ACUM-DET'!L39</f>
        <v>0</v>
      </c>
      <c r="D19" s="147" t="e">
        <f>+'ACUM-DET'!AB30</f>
        <v>#REF!</v>
      </c>
      <c r="E19" s="148" t="e">
        <f t="shared" si="0"/>
        <v>#REF!</v>
      </c>
      <c r="F19" s="149" t="e">
        <f>+'ACUM-DET'!AR30</f>
        <v>#REF!</v>
      </c>
      <c r="G19" s="150" t="e">
        <f t="shared" si="1"/>
        <v>#REF!</v>
      </c>
      <c r="H19" s="14"/>
    </row>
    <row r="20" spans="1:8" ht="15" x14ac:dyDescent="0.2">
      <c r="A20" s="14"/>
      <c r="B20" s="78" t="s">
        <v>67</v>
      </c>
      <c r="C20" s="146">
        <f>+'ACUM-DET'!M39</f>
        <v>0</v>
      </c>
      <c r="D20" s="147" t="e">
        <f>+'ACUM-DET'!AC30</f>
        <v>#REF!</v>
      </c>
      <c r="E20" s="148" t="e">
        <f t="shared" si="0"/>
        <v>#REF!</v>
      </c>
      <c r="F20" s="149" t="e">
        <f>+'ACUM-DET'!AS30</f>
        <v>#REF!</v>
      </c>
      <c r="G20" s="150" t="e">
        <f t="shared" si="1"/>
        <v>#REF!</v>
      </c>
      <c r="H20" s="14"/>
    </row>
    <row r="21" spans="1:8" ht="15" x14ac:dyDescent="0.2">
      <c r="A21" s="14"/>
      <c r="B21" s="78" t="s">
        <v>65</v>
      </c>
      <c r="C21" s="146">
        <f>+'ACUM-DET'!N39</f>
        <v>0</v>
      </c>
      <c r="D21" s="147" t="e">
        <f>+'ACUM-DET'!AD30</f>
        <v>#REF!</v>
      </c>
      <c r="E21" s="148" t="e">
        <f t="shared" si="0"/>
        <v>#REF!</v>
      </c>
      <c r="F21" s="149" t="e">
        <f>+'ACUM-DET'!AT30</f>
        <v>#REF!</v>
      </c>
      <c r="G21" s="150" t="e">
        <f t="shared" si="1"/>
        <v>#REF!</v>
      </c>
      <c r="H21" s="14"/>
    </row>
    <row r="22" spans="1:8" ht="15" x14ac:dyDescent="0.2">
      <c r="A22" s="14"/>
      <c r="B22" s="78" t="s">
        <v>107</v>
      </c>
      <c r="C22" s="146">
        <f>+'ACUM-DET'!O39</f>
        <v>0</v>
      </c>
      <c r="D22" s="147" t="e">
        <f>+'ACUM-DET'!AE30</f>
        <v>#REF!</v>
      </c>
      <c r="E22" s="148" t="e">
        <f t="shared" si="0"/>
        <v>#REF!</v>
      </c>
      <c r="F22" s="149" t="e">
        <f>+'ACUM-DET'!AU30</f>
        <v>#REF!</v>
      </c>
      <c r="G22" s="150" t="e">
        <f t="shared" si="1"/>
        <v>#REF!</v>
      </c>
      <c r="H22" s="14"/>
    </row>
    <row r="23" spans="1:8" ht="15" x14ac:dyDescent="0.2">
      <c r="A23" s="14"/>
      <c r="B23" s="78" t="s">
        <v>37</v>
      </c>
      <c r="C23" s="146">
        <f>+'ACUM-DET'!P39</f>
        <v>0</v>
      </c>
      <c r="D23" s="147" t="e">
        <f>+'ACUM-DET'!AG30</f>
        <v>#REF!</v>
      </c>
      <c r="E23" s="148" t="e">
        <f t="shared" si="0"/>
        <v>#REF!</v>
      </c>
      <c r="F23" s="149" t="e">
        <f>+'ACUM-DET'!AW30</f>
        <v>#REF!</v>
      </c>
      <c r="G23" s="150" t="e">
        <f t="shared" si="1"/>
        <v>#REF!</v>
      </c>
      <c r="H23" s="14"/>
    </row>
    <row r="24" spans="1:8" ht="15" x14ac:dyDescent="0.2">
      <c r="A24" s="14"/>
      <c r="B24" s="78"/>
      <c r="C24" s="146">
        <f>+'ACUM-DET'!Q31</f>
        <v>0</v>
      </c>
      <c r="D24" s="147" t="e">
        <f>+'ACUM-DET'!AG31</f>
        <v>#REF!</v>
      </c>
      <c r="E24" s="148" t="e">
        <f t="shared" si="0"/>
        <v>#REF!</v>
      </c>
      <c r="F24" s="149" t="e">
        <f>+'ACUM-DET'!AW31</f>
        <v>#REF!</v>
      </c>
      <c r="G24" s="150" t="e">
        <f>E24-F24</f>
        <v>#REF!</v>
      </c>
      <c r="H24" s="14"/>
    </row>
    <row r="25" spans="1:8" ht="15" x14ac:dyDescent="0.2">
      <c r="A25" s="14"/>
      <c r="B25" s="78"/>
      <c r="C25" s="146">
        <f>+'ACUM-DET'!Q32</f>
        <v>0</v>
      </c>
      <c r="D25" s="147" t="e">
        <f>+'ACUM-DET'!AG32</f>
        <v>#REF!</v>
      </c>
      <c r="E25" s="148" t="e">
        <f t="shared" si="0"/>
        <v>#REF!</v>
      </c>
      <c r="F25" s="149" t="e">
        <f>+'ACUM-DET'!AW32</f>
        <v>#REF!</v>
      </c>
      <c r="G25" s="150" t="e">
        <f>E25-F25</f>
        <v>#REF!</v>
      </c>
      <c r="H25" s="14"/>
    </row>
    <row r="26" spans="1:8" ht="15" x14ac:dyDescent="0.2">
      <c r="A26" s="14"/>
      <c r="B26" s="78"/>
      <c r="C26" s="146">
        <f>+'ACUM-DET'!Q33</f>
        <v>0</v>
      </c>
      <c r="D26" s="147" t="e">
        <f>+'ACUM-DET'!AG33</f>
        <v>#REF!</v>
      </c>
      <c r="E26" s="148" t="e">
        <f t="shared" si="0"/>
        <v>#REF!</v>
      </c>
      <c r="F26" s="149" t="e">
        <f>+'ACUM-DET'!AW33</f>
        <v>#REF!</v>
      </c>
      <c r="G26" s="150" t="e">
        <f>E26-F26</f>
        <v>#REF!</v>
      </c>
      <c r="H26" s="14"/>
    </row>
    <row r="27" spans="1:8" ht="15" x14ac:dyDescent="0.2">
      <c r="B27" s="78"/>
      <c r="C27" s="146">
        <f>+'ACUM-DET'!Q34</f>
        <v>0</v>
      </c>
      <c r="D27" s="147" t="e">
        <f>+'ACUM-DET'!AG34</f>
        <v>#REF!</v>
      </c>
      <c r="E27" s="148" t="e">
        <f t="shared" si="0"/>
        <v>#REF!</v>
      </c>
      <c r="F27" s="149" t="e">
        <f>+'ACUM-DET'!AW34</f>
        <v>#REF!</v>
      </c>
      <c r="G27" s="150" t="e">
        <f>E27-F27</f>
        <v>#REF!</v>
      </c>
    </row>
    <row r="28" spans="1:8" ht="15" x14ac:dyDescent="0.2">
      <c r="B28" s="78"/>
      <c r="C28" s="146">
        <f>+'ACUM-DET'!Q35</f>
        <v>0</v>
      </c>
      <c r="D28" s="147" t="e">
        <f>+'ACUM-DET'!AG35</f>
        <v>#REF!</v>
      </c>
      <c r="E28" s="148" t="e">
        <f>+C28+D28</f>
        <v>#REF!</v>
      </c>
      <c r="F28" s="149" t="e">
        <f>+'ACUM-DET'!AW35</f>
        <v>#REF!</v>
      </c>
      <c r="G28" s="150" t="e">
        <f>E28-F28</f>
        <v>#REF!</v>
      </c>
    </row>
    <row r="29" spans="1:8" x14ac:dyDescent="0.2">
      <c r="D29" s="33"/>
      <c r="E29" s="29"/>
    </row>
  </sheetData>
  <mergeCells count="1">
    <mergeCell ref="C1:F1"/>
  </mergeCells>
  <phoneticPr fontId="5" type="noConversion"/>
  <pageMargins left="0.41" right="6.11" top="0.98" bottom="1" header="0" footer="0"/>
  <pageSetup paperSize="9" scale="60" orientation="landscape" r:id="rId1"/>
  <headerFooter alignWithMargins="0"/>
  <cellWatches>
    <cellWatch r="A6"/>
  </cellWatch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indexed="44"/>
  </sheetPr>
  <dimension ref="A1:CO47"/>
  <sheetViews>
    <sheetView zoomScale="75" workbookViewId="0">
      <pane xSplit="1" ySplit="3" topLeftCell="BW25" activePane="bottomRight" state="frozen"/>
      <selection pane="topRight" activeCell="B1" sqref="B1"/>
      <selection pane="bottomLeft" activeCell="A4" sqref="A4"/>
      <selection pane="bottomRight" activeCell="CI43" sqref="CI43"/>
    </sheetView>
  </sheetViews>
  <sheetFormatPr baseColWidth="10" defaultColWidth="11.42578125" defaultRowHeight="12.75" x14ac:dyDescent="0.2"/>
  <cols>
    <col min="1" max="1" width="39.28515625" customWidth="1"/>
    <col min="2" max="2" width="8.7109375" customWidth="1"/>
    <col min="3" max="3" width="10.28515625" customWidth="1"/>
    <col min="4" max="4" width="11" customWidth="1"/>
    <col min="5" max="5" width="10.5703125" customWidth="1"/>
    <col min="6" max="6" width="7.140625" customWidth="1"/>
    <col min="7" max="7" width="7.28515625" customWidth="1"/>
    <col min="8" max="8" width="7.140625" customWidth="1"/>
    <col min="9" max="9" width="7.5703125" customWidth="1"/>
    <col min="10" max="10" width="7.42578125" customWidth="1"/>
    <col min="11" max="11" width="8.42578125" customWidth="1"/>
    <col min="12" max="12" width="7.42578125" customWidth="1"/>
    <col min="13" max="13" width="7.5703125" customWidth="1"/>
    <col min="14" max="16" width="9.7109375" customWidth="1"/>
    <col min="17" max="17" width="13.140625" customWidth="1"/>
    <col min="18" max="18" width="11.42578125" customWidth="1"/>
    <col min="19" max="19" width="11.140625" customWidth="1"/>
    <col min="20" max="20" width="12.5703125" customWidth="1"/>
    <col min="21" max="22" width="11.85546875" customWidth="1"/>
    <col min="23" max="23" width="8.28515625" customWidth="1"/>
    <col min="24" max="24" width="10.42578125" customWidth="1"/>
    <col min="25" max="25" width="7.85546875" customWidth="1"/>
    <col min="26" max="26" width="7" customWidth="1"/>
    <col min="27" max="27" width="6.85546875" customWidth="1"/>
    <col min="28" max="28" width="9.5703125" customWidth="1"/>
    <col min="29" max="29" width="8.140625" customWidth="1"/>
    <col min="30" max="30" width="7.42578125" customWidth="1"/>
    <col min="31" max="32" width="9.28515625" customWidth="1"/>
    <col min="33" max="33" width="16.140625" customWidth="1"/>
    <col min="34" max="34" width="13.5703125" customWidth="1"/>
    <col min="35" max="35" width="11.7109375" customWidth="1"/>
    <col min="36" max="36" width="11.85546875" customWidth="1"/>
    <col min="37" max="38" width="11" customWidth="1"/>
    <col min="39" max="39" width="7.85546875" customWidth="1"/>
    <col min="40" max="40" width="8.28515625" customWidth="1"/>
    <col min="41" max="41" width="7.42578125" customWidth="1"/>
    <col min="42" max="42" width="7" customWidth="1"/>
    <col min="43" max="43" width="6.5703125" customWidth="1"/>
    <col min="44" max="44" width="9.140625" customWidth="1"/>
    <col min="45" max="45" width="6.85546875" customWidth="1"/>
    <col min="46" max="46" width="7.28515625" customWidth="1"/>
    <col min="47" max="48" width="10" customWidth="1"/>
    <col min="49" max="49" width="19" customWidth="1"/>
    <col min="50" max="50" width="9" customWidth="1"/>
    <col min="51" max="51" width="12.7109375" customWidth="1"/>
    <col min="52" max="52" width="12.140625" customWidth="1"/>
    <col min="53" max="64" width="9" customWidth="1"/>
    <col min="65" max="65" width="9.5703125" customWidth="1"/>
    <col min="66" max="66" width="15.140625" customWidth="1"/>
    <col min="67" max="69" width="9.140625" customWidth="1"/>
    <col min="70" max="70" width="14.85546875" customWidth="1"/>
    <col min="71" max="71" width="12" customWidth="1"/>
    <col min="72" max="72" width="9.140625" customWidth="1"/>
    <col min="73" max="77" width="12.7109375" customWidth="1"/>
    <col min="78" max="78" width="16.85546875" customWidth="1"/>
    <col min="79" max="79" width="12.7109375" customWidth="1"/>
    <col min="80" max="80" width="12.140625" customWidth="1"/>
    <col min="81" max="81" width="15" customWidth="1"/>
    <col min="82" max="82" width="17.28515625" customWidth="1"/>
    <col min="83" max="83" width="15.5703125" customWidth="1"/>
    <col min="84" max="84" width="16.28515625" customWidth="1"/>
    <col min="85" max="85" width="16.7109375" customWidth="1"/>
    <col min="86" max="86" width="16.28515625" customWidth="1"/>
    <col min="87" max="87" width="17.7109375" customWidth="1"/>
  </cols>
  <sheetData>
    <row r="1" spans="1:87" ht="16.5" thickBot="1" x14ac:dyDescent="0.3">
      <c r="A1" s="12" t="s">
        <v>163</v>
      </c>
      <c r="B1" s="16"/>
      <c r="C1" s="13"/>
      <c r="D1" s="16"/>
      <c r="E1" s="23"/>
      <c r="F1" s="23"/>
      <c r="G1" s="24"/>
      <c r="H1" s="24"/>
      <c r="I1" s="24"/>
      <c r="J1" s="25"/>
      <c r="K1" s="25"/>
      <c r="L1" s="25"/>
      <c r="M1" s="25"/>
      <c r="N1" s="25"/>
      <c r="O1" s="25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</row>
    <row r="2" spans="1:87" ht="16.5" thickBot="1" x14ac:dyDescent="0.3">
      <c r="A2" s="15"/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4"/>
      <c r="T2" s="4"/>
      <c r="U2" s="4"/>
      <c r="V2" s="4"/>
      <c r="W2" s="4"/>
      <c r="X2" s="4"/>
      <c r="Y2" s="4"/>
      <c r="Z2" s="4"/>
      <c r="AA2" s="4"/>
      <c r="AB2" s="4" t="s">
        <v>2</v>
      </c>
      <c r="AC2" s="4"/>
      <c r="AD2" s="4"/>
      <c r="AE2" s="5"/>
      <c r="AF2" s="4"/>
      <c r="AG2" s="4"/>
      <c r="AH2" s="6" t="s">
        <v>3</v>
      </c>
      <c r="AI2" s="7"/>
      <c r="AJ2" s="7"/>
      <c r="AK2" s="7"/>
      <c r="AL2" s="7"/>
      <c r="AM2" s="8"/>
      <c r="AN2" s="8"/>
      <c r="AO2" s="8"/>
      <c r="AP2" s="8"/>
      <c r="AQ2" s="8"/>
      <c r="AR2" s="8"/>
      <c r="AS2" s="8"/>
      <c r="AT2" s="8"/>
      <c r="AU2" s="9"/>
      <c r="AV2" s="9"/>
      <c r="AW2" s="9"/>
      <c r="AX2" s="415" t="s">
        <v>4</v>
      </c>
      <c r="AY2" s="415"/>
      <c r="AZ2" s="415"/>
      <c r="BA2" s="415"/>
      <c r="BB2" s="415"/>
      <c r="BC2" s="415"/>
      <c r="BD2" s="415"/>
      <c r="BE2" s="415"/>
      <c r="BF2" s="415"/>
      <c r="BG2" s="415"/>
      <c r="BH2" s="415"/>
      <c r="BI2" s="415"/>
      <c r="BJ2" s="415"/>
      <c r="BK2" s="415"/>
      <c r="BL2" s="10"/>
      <c r="BM2" s="10"/>
      <c r="BN2" s="18" t="s">
        <v>47</v>
      </c>
      <c r="BO2" s="88"/>
      <c r="BP2" s="89"/>
      <c r="BQ2" s="89"/>
      <c r="BR2" s="89"/>
      <c r="BS2" s="89"/>
      <c r="BT2" s="89"/>
      <c r="BU2" s="89"/>
      <c r="BV2" s="89" t="s">
        <v>44</v>
      </c>
      <c r="BW2" s="89"/>
      <c r="BX2" s="89"/>
      <c r="BY2" s="90"/>
      <c r="BZ2" s="91"/>
      <c r="CA2" s="91"/>
      <c r="CB2" s="19"/>
      <c r="CC2" s="35"/>
      <c r="CD2" s="36"/>
      <c r="CE2" s="36"/>
      <c r="CF2" s="36"/>
      <c r="CG2" s="36"/>
      <c r="CH2" s="36" t="s">
        <v>61</v>
      </c>
      <c r="CI2" s="269"/>
    </row>
    <row r="3" spans="1:87" ht="15.75" x14ac:dyDescent="0.25">
      <c r="A3" s="11" t="s">
        <v>5</v>
      </c>
      <c r="B3" s="97" t="s">
        <v>18</v>
      </c>
      <c r="C3" s="97" t="s">
        <v>19</v>
      </c>
      <c r="D3" s="97" t="s">
        <v>101</v>
      </c>
      <c r="E3" s="97" t="s">
        <v>48</v>
      </c>
      <c r="F3" s="97" t="s">
        <v>71</v>
      </c>
      <c r="G3" s="97" t="s">
        <v>66</v>
      </c>
      <c r="H3" s="97" t="s">
        <v>9</v>
      </c>
      <c r="I3" s="97" t="s">
        <v>10</v>
      </c>
      <c r="J3" s="97" t="s">
        <v>11</v>
      </c>
      <c r="K3" s="97" t="s">
        <v>124</v>
      </c>
      <c r="L3" s="97" t="s">
        <v>13</v>
      </c>
      <c r="M3" s="97" t="s">
        <v>14</v>
      </c>
      <c r="N3" s="97" t="s">
        <v>15</v>
      </c>
      <c r="O3" s="97" t="s">
        <v>16</v>
      </c>
      <c r="P3" s="97" t="s">
        <v>17</v>
      </c>
      <c r="Q3" s="97" t="s">
        <v>103</v>
      </c>
      <c r="R3" s="97" t="s">
        <v>18</v>
      </c>
      <c r="S3" s="97" t="s">
        <v>19</v>
      </c>
      <c r="T3" s="97" t="s">
        <v>101</v>
      </c>
      <c r="U3" s="97" t="s">
        <v>48</v>
      </c>
      <c r="V3" s="97" t="s">
        <v>71</v>
      </c>
      <c r="W3" s="97" t="s">
        <v>66</v>
      </c>
      <c r="X3" s="97" t="s">
        <v>9</v>
      </c>
      <c r="Y3" s="97" t="s">
        <v>10</v>
      </c>
      <c r="Z3" s="97" t="s">
        <v>11</v>
      </c>
      <c r="AA3" s="97" t="s">
        <v>124</v>
      </c>
      <c r="AB3" s="97" t="s">
        <v>13</v>
      </c>
      <c r="AC3" s="97" t="s">
        <v>14</v>
      </c>
      <c r="AD3" s="97" t="s">
        <v>15</v>
      </c>
      <c r="AE3" s="97" t="s">
        <v>16</v>
      </c>
      <c r="AF3" s="97" t="s">
        <v>17</v>
      </c>
      <c r="AG3" s="97" t="s">
        <v>103</v>
      </c>
      <c r="AH3" s="97" t="s">
        <v>18</v>
      </c>
      <c r="AI3" s="97" t="s">
        <v>19</v>
      </c>
      <c r="AJ3" s="97" t="s">
        <v>101</v>
      </c>
      <c r="AK3" s="97" t="s">
        <v>48</v>
      </c>
      <c r="AL3" s="97" t="s">
        <v>71</v>
      </c>
      <c r="AM3" s="97" t="s">
        <v>66</v>
      </c>
      <c r="AN3" s="97" t="s">
        <v>9</v>
      </c>
      <c r="AO3" s="97" t="s">
        <v>10</v>
      </c>
      <c r="AP3" s="97" t="s">
        <v>11</v>
      </c>
      <c r="AQ3" s="97" t="s">
        <v>124</v>
      </c>
      <c r="AR3" s="97" t="s">
        <v>13</v>
      </c>
      <c r="AS3" s="97" t="s">
        <v>14</v>
      </c>
      <c r="AT3" s="97" t="s">
        <v>15</v>
      </c>
      <c r="AU3" s="97" t="s">
        <v>16</v>
      </c>
      <c r="AV3" s="97" t="s">
        <v>17</v>
      </c>
      <c r="AW3" s="97" t="s">
        <v>103</v>
      </c>
      <c r="AX3" s="97" t="s">
        <v>18</v>
      </c>
      <c r="AY3" s="97" t="s">
        <v>19</v>
      </c>
      <c r="AZ3" s="97" t="s">
        <v>101</v>
      </c>
      <c r="BA3" s="97" t="s">
        <v>48</v>
      </c>
      <c r="BB3" s="97" t="s">
        <v>71</v>
      </c>
      <c r="BC3" s="97" t="s">
        <v>66</v>
      </c>
      <c r="BD3" s="97" t="s">
        <v>9</v>
      </c>
      <c r="BE3" s="97" t="s">
        <v>10</v>
      </c>
      <c r="BF3" s="97" t="s">
        <v>11</v>
      </c>
      <c r="BG3" s="97" t="s">
        <v>12</v>
      </c>
      <c r="BH3" s="97" t="s">
        <v>13</v>
      </c>
      <c r="BI3" s="97" t="s">
        <v>14</v>
      </c>
      <c r="BJ3" s="97" t="s">
        <v>15</v>
      </c>
      <c r="BK3" s="97" t="s">
        <v>16</v>
      </c>
      <c r="BL3" s="97" t="s">
        <v>17</v>
      </c>
      <c r="BM3" s="97" t="s">
        <v>103</v>
      </c>
      <c r="BN3" s="97" t="s">
        <v>110</v>
      </c>
      <c r="BO3" s="97" t="s">
        <v>71</v>
      </c>
      <c r="BP3" s="97" t="s">
        <v>66</v>
      </c>
      <c r="BQ3" s="97" t="s">
        <v>9</v>
      </c>
      <c r="BR3" s="97" t="s">
        <v>10</v>
      </c>
      <c r="BS3" s="97" t="s">
        <v>11</v>
      </c>
      <c r="BT3" s="97" t="s">
        <v>12</v>
      </c>
      <c r="BU3" s="97" t="s">
        <v>13</v>
      </c>
      <c r="BV3" s="97" t="s">
        <v>14</v>
      </c>
      <c r="BW3" s="97" t="s">
        <v>15</v>
      </c>
      <c r="BX3" s="97" t="s">
        <v>16</v>
      </c>
      <c r="BY3" s="97" t="s">
        <v>17</v>
      </c>
      <c r="BZ3" s="97" t="s">
        <v>103</v>
      </c>
      <c r="CA3" s="103" t="s">
        <v>68</v>
      </c>
      <c r="CB3" s="20" t="s">
        <v>45</v>
      </c>
      <c r="CC3" s="37" t="s">
        <v>38</v>
      </c>
      <c r="CD3" s="38" t="s">
        <v>39</v>
      </c>
      <c r="CE3" s="38" t="s">
        <v>40</v>
      </c>
      <c r="CF3" s="38" t="s">
        <v>60</v>
      </c>
      <c r="CG3" s="38" t="s">
        <v>41</v>
      </c>
      <c r="CH3" s="38" t="s">
        <v>62</v>
      </c>
      <c r="CI3" s="270" t="s">
        <v>42</v>
      </c>
    </row>
    <row r="4" spans="1:87" x14ac:dyDescent="0.2">
      <c r="A4" s="34" t="str">
        <f>+'SEMANA DEL 2 AL 7-3-26'!A5</f>
        <v xml:space="preserve">ALCIDES CORREA </v>
      </c>
      <c r="B4" s="203">
        <f>+'SEMANA DEL 2 AL 7-3-26'!B5</f>
        <v>0</v>
      </c>
      <c r="C4" s="203">
        <f>+'SEMANA DEL 2 AL 7-3-26'!C5</f>
        <v>0</v>
      </c>
      <c r="D4" s="203">
        <f>+'SEMANA DEL 2 AL 7-3-26'!D5</f>
        <v>0</v>
      </c>
      <c r="E4" s="203">
        <f>+'SEMANA DEL 2 AL 7-3-26'!E5</f>
        <v>0</v>
      </c>
      <c r="F4" s="203">
        <f>+'SEMANA DEL 2 AL 7-3-26'!F5</f>
        <v>0</v>
      </c>
      <c r="G4" s="203">
        <f>+'SEMANA DEL 2 AL 7-3-26'!G5</f>
        <v>0</v>
      </c>
      <c r="H4" s="203">
        <f>+'SEMANA DEL 2 AL 7-3-26'!H5</f>
        <v>0</v>
      </c>
      <c r="I4" s="203">
        <f>+'SEMANA DEL 2 AL 7-3-26'!I5</f>
        <v>0</v>
      </c>
      <c r="J4" s="203">
        <f>+'SEMANA DEL 2 AL 7-3-26'!J5</f>
        <v>0</v>
      </c>
      <c r="K4" s="203">
        <f>+'SEMANA DEL 2 AL 7-3-26'!K5</f>
        <v>0</v>
      </c>
      <c r="L4" s="203">
        <f>+'SEMANA DEL 2 AL 7-3-26'!L5</f>
        <v>0</v>
      </c>
      <c r="M4" s="203">
        <f>+'SEMANA DEL 2 AL 7-3-26'!M5</f>
        <v>0</v>
      </c>
      <c r="N4" s="203">
        <f>+'SEMANA DEL 2 AL 7-3-26'!N5</f>
        <v>0</v>
      </c>
      <c r="O4" s="203">
        <f>+'SEMANA DEL 2 AL 7-3-26'!O5</f>
        <v>0</v>
      </c>
      <c r="P4" s="203">
        <f>+'SEMANA DEL 2 AL 7-3-26'!P5</f>
        <v>0</v>
      </c>
      <c r="Q4" s="203">
        <f>+'SEMANA DEL 2 AL 7-3-26'!Q5</f>
        <v>0</v>
      </c>
      <c r="R4" s="203" t="e">
        <f>+'SEMANA DEL 2 AL 7-3-26'!R5+'SEMANA DEL 7 AL 14'!R5+'SEMANA DEL 14 AL 21 '!R5+'SEMANA DEL 21AL 28-3'!R5+#REF!</f>
        <v>#REF!</v>
      </c>
      <c r="S4" s="203" t="e">
        <f>+'SEMANA DEL 2 AL 7-3-26'!S5+'SEMANA DEL 7 AL 14'!S5+'SEMANA DEL 14 AL 21 '!S5+'SEMANA DEL 21AL 28-3'!S5+#REF!</f>
        <v>#REF!</v>
      </c>
      <c r="T4" s="203" t="e">
        <f>+'SEMANA DEL 2 AL 7-3-26'!T5+'SEMANA DEL 7 AL 14'!T5+'SEMANA DEL 14 AL 21 '!T5+'SEMANA DEL 21AL 28-3'!T5+#REF!</f>
        <v>#REF!</v>
      </c>
      <c r="U4" s="203" t="e">
        <f>+'SEMANA DEL 2 AL 7-3-26'!U5+'SEMANA DEL 7 AL 14'!U5+'SEMANA DEL 14 AL 21 '!U5+'SEMANA DEL 21AL 28-3'!U5+#REF!</f>
        <v>#REF!</v>
      </c>
      <c r="V4" s="203" t="e">
        <f>+'SEMANA DEL 2 AL 7-3-26'!V5+'SEMANA DEL 7 AL 14'!V5+'SEMANA DEL 14 AL 21 '!V5+'SEMANA DEL 21AL 28-3'!V5+#REF!</f>
        <v>#REF!</v>
      </c>
      <c r="W4" s="203" t="e">
        <f>+'SEMANA DEL 2 AL 7-3-26'!W5+'SEMANA DEL 7 AL 14'!W5+'SEMANA DEL 14 AL 21 '!W5+'SEMANA DEL 21AL 28-3'!W5+#REF!</f>
        <v>#REF!</v>
      </c>
      <c r="X4" s="203" t="e">
        <f>+'SEMANA DEL 2 AL 7-3-26'!X5+'SEMANA DEL 7 AL 14'!X5+'SEMANA DEL 14 AL 21 '!X5+'SEMANA DEL 21AL 28-3'!X5+#REF!</f>
        <v>#REF!</v>
      </c>
      <c r="Y4" s="203" t="e">
        <f>+'SEMANA DEL 2 AL 7-3-26'!Y5+'SEMANA DEL 7 AL 14'!Y5+'SEMANA DEL 14 AL 21 '!Y5+'SEMANA DEL 21AL 28-3'!Y5+#REF!</f>
        <v>#REF!</v>
      </c>
      <c r="Z4" s="203" t="e">
        <f>+'SEMANA DEL 2 AL 7-3-26'!Z5+'SEMANA DEL 7 AL 14'!Z5+'SEMANA DEL 14 AL 21 '!Z5+'SEMANA DEL 21AL 28-3'!Z5+#REF!</f>
        <v>#REF!</v>
      </c>
      <c r="AA4" s="203" t="e">
        <f>+'SEMANA DEL 2 AL 7-3-26'!AA5+'SEMANA DEL 7 AL 14'!AA5+'SEMANA DEL 14 AL 21 '!AA5+'SEMANA DEL 21AL 28-3'!AA5+#REF!</f>
        <v>#REF!</v>
      </c>
      <c r="AB4" s="203" t="e">
        <f>+'SEMANA DEL 2 AL 7-3-26'!AB5+'SEMANA DEL 7 AL 14'!AB5+'SEMANA DEL 14 AL 21 '!AB5+'SEMANA DEL 21AL 28-3'!AB5+#REF!</f>
        <v>#REF!</v>
      </c>
      <c r="AC4" s="203" t="e">
        <f>+'SEMANA DEL 2 AL 7-3-26'!AC5+'SEMANA DEL 7 AL 14'!AC5+'SEMANA DEL 14 AL 21 '!AC5+'SEMANA DEL 21AL 28-3'!AC5+#REF!</f>
        <v>#REF!</v>
      </c>
      <c r="AD4" s="203" t="e">
        <f>+'SEMANA DEL 2 AL 7-3-26'!AD5+'SEMANA DEL 7 AL 14'!AD5+'SEMANA DEL 14 AL 21 '!AD5+'SEMANA DEL 21AL 28-3'!AD5+#REF!</f>
        <v>#REF!</v>
      </c>
      <c r="AE4" s="203" t="e">
        <f>+'SEMANA DEL 2 AL 7-3-26'!AE5+'SEMANA DEL 7 AL 14'!AE5+'SEMANA DEL 14 AL 21 '!AE5+'SEMANA DEL 21AL 28-3'!AE5+#REF!</f>
        <v>#REF!</v>
      </c>
      <c r="AF4" s="203" t="e">
        <f>+'SEMANA DEL 2 AL 7-3-26'!AF5+'SEMANA DEL 7 AL 14'!AF5+'SEMANA DEL 14 AL 21 '!AF5+'SEMANA DEL 21AL 28-3'!AF5+#REF!</f>
        <v>#REF!</v>
      </c>
      <c r="AG4" s="203" t="e">
        <f>+'SEMANA DEL 2 AL 7-3-26'!AG5+'SEMANA DEL 7 AL 14'!AG5+'SEMANA DEL 14 AL 21 '!AG5+'SEMANA DEL 21AL 28-3'!AG5+#REF!</f>
        <v>#REF!</v>
      </c>
      <c r="AH4" s="203" t="e">
        <f>+'SEMANA DEL 2 AL 7-3-26'!AH5+'SEMANA DEL 7 AL 14'!AH5+'SEMANA DEL 14 AL 21 '!AH5+'SEMANA DEL 21AL 28-3'!AH5+#REF!</f>
        <v>#REF!</v>
      </c>
      <c r="AI4" s="203" t="e">
        <f>+'SEMANA DEL 2 AL 7-3-26'!AI5+'SEMANA DEL 7 AL 14'!AI5+'SEMANA DEL 14 AL 21 '!AI5+'SEMANA DEL 21AL 28-3'!AI5+#REF!</f>
        <v>#REF!</v>
      </c>
      <c r="AJ4" s="203" t="e">
        <f>+'SEMANA DEL 2 AL 7-3-26'!AJ5+'SEMANA DEL 7 AL 14'!AJ5+'SEMANA DEL 14 AL 21 '!AJ5+'SEMANA DEL 21AL 28-3'!AJ5+#REF!</f>
        <v>#REF!</v>
      </c>
      <c r="AK4" s="203" t="e">
        <f>+'SEMANA DEL 2 AL 7-3-26'!AK5+'SEMANA DEL 7 AL 14'!AK5+'SEMANA DEL 14 AL 21 '!AK5+'SEMANA DEL 21AL 28-3'!AK5+#REF!</f>
        <v>#REF!</v>
      </c>
      <c r="AL4" s="203" t="e">
        <f>+'SEMANA DEL 2 AL 7-3-26'!AL5+'SEMANA DEL 7 AL 14'!AL5+'SEMANA DEL 14 AL 21 '!AL5+'SEMANA DEL 21AL 28-3'!AL5+#REF!</f>
        <v>#REF!</v>
      </c>
      <c r="AM4" s="203" t="e">
        <f>+'SEMANA DEL 2 AL 7-3-26'!AM5+'SEMANA DEL 7 AL 14'!AM5+'SEMANA DEL 14 AL 21 '!AM5+'SEMANA DEL 21AL 28-3'!AM5+#REF!</f>
        <v>#REF!</v>
      </c>
      <c r="AN4" s="203" t="e">
        <f>+'SEMANA DEL 2 AL 7-3-26'!AN5+'SEMANA DEL 7 AL 14'!AN5+'SEMANA DEL 14 AL 21 '!AN5+'SEMANA DEL 21AL 28-3'!AN5+#REF!</f>
        <v>#REF!</v>
      </c>
      <c r="AO4" s="203" t="e">
        <f>+'SEMANA DEL 2 AL 7-3-26'!AO5+'SEMANA DEL 7 AL 14'!AO5+'SEMANA DEL 14 AL 21 '!AO5+'SEMANA DEL 21AL 28-3'!AO5+#REF!</f>
        <v>#REF!</v>
      </c>
      <c r="AP4" s="203" t="e">
        <f>+'SEMANA DEL 2 AL 7-3-26'!AP5+'SEMANA DEL 7 AL 14'!AP5+'SEMANA DEL 14 AL 21 '!AP5+'SEMANA DEL 21AL 28-3'!AP5+#REF!</f>
        <v>#REF!</v>
      </c>
      <c r="AQ4" s="203" t="e">
        <f>+'SEMANA DEL 2 AL 7-3-26'!AQ5+'SEMANA DEL 7 AL 14'!AQ5+'SEMANA DEL 14 AL 21 '!AQ5+'SEMANA DEL 21AL 28-3'!AQ5+#REF!</f>
        <v>#REF!</v>
      </c>
      <c r="AR4" s="203" t="e">
        <f>+'SEMANA DEL 2 AL 7-3-26'!AR5+'SEMANA DEL 7 AL 14'!AR5+'SEMANA DEL 14 AL 21 '!AR5+'SEMANA DEL 21AL 28-3'!AR5+#REF!</f>
        <v>#REF!</v>
      </c>
      <c r="AS4" s="203" t="e">
        <f>+'SEMANA DEL 2 AL 7-3-26'!AS5+'SEMANA DEL 7 AL 14'!AS5+'SEMANA DEL 14 AL 21 '!AS5+'SEMANA DEL 21AL 28-3'!AS5+#REF!</f>
        <v>#REF!</v>
      </c>
      <c r="AT4" s="203" t="e">
        <f>+'SEMANA DEL 2 AL 7-3-26'!AT5+'SEMANA DEL 7 AL 14'!AT5+'SEMANA DEL 14 AL 21 '!AT5+'SEMANA DEL 21AL 28-3'!AT5+#REF!</f>
        <v>#REF!</v>
      </c>
      <c r="AU4" s="203" t="e">
        <f>+'SEMANA DEL 2 AL 7-3-26'!AU5+'SEMANA DEL 7 AL 14'!AU5+'SEMANA DEL 14 AL 21 '!AU5+'SEMANA DEL 21AL 28-3'!AU5+#REF!</f>
        <v>#REF!</v>
      </c>
      <c r="AV4" s="203" t="e">
        <f>+'SEMANA DEL 2 AL 7-3-26'!AV5+'SEMANA DEL 7 AL 14'!AV5+'SEMANA DEL 14 AL 21 '!AV5+'SEMANA DEL 21AL 28-3'!AV5+#REF!</f>
        <v>#REF!</v>
      </c>
      <c r="AW4" s="203" t="e">
        <f>+'SEMANA DEL 2 AL 7-3-26'!AW5+'SEMANA DEL 7 AL 14'!AW5+'SEMANA DEL 14 AL 21 '!AW5+'SEMANA DEL 21AL 28-3'!AW5+#REF!</f>
        <v>#REF!</v>
      </c>
      <c r="AX4" s="203" t="e">
        <f>+B4+R4-AH4</f>
        <v>#REF!</v>
      </c>
      <c r="AY4" s="203" t="e">
        <f t="shared" ref="AY4:BM4" si="0">+C4+S4-AI4</f>
        <v>#REF!</v>
      </c>
      <c r="AZ4" s="203" t="e">
        <f t="shared" si="0"/>
        <v>#REF!</v>
      </c>
      <c r="BA4" s="203" t="e">
        <f t="shared" si="0"/>
        <v>#REF!</v>
      </c>
      <c r="BB4" s="203" t="e">
        <f t="shared" si="0"/>
        <v>#REF!</v>
      </c>
      <c r="BC4" s="203" t="e">
        <f t="shared" si="0"/>
        <v>#REF!</v>
      </c>
      <c r="BD4" s="203" t="e">
        <f t="shared" si="0"/>
        <v>#REF!</v>
      </c>
      <c r="BE4" s="203" t="e">
        <f t="shared" si="0"/>
        <v>#REF!</v>
      </c>
      <c r="BF4" s="203" t="e">
        <f t="shared" si="0"/>
        <v>#REF!</v>
      </c>
      <c r="BG4" s="203" t="e">
        <f t="shared" si="0"/>
        <v>#REF!</v>
      </c>
      <c r="BH4" s="203" t="e">
        <f t="shared" si="0"/>
        <v>#REF!</v>
      </c>
      <c r="BI4" s="203" t="e">
        <f t="shared" si="0"/>
        <v>#REF!</v>
      </c>
      <c r="BJ4" s="203" t="e">
        <f t="shared" si="0"/>
        <v>#REF!</v>
      </c>
      <c r="BK4" s="203" t="e">
        <f t="shared" si="0"/>
        <v>#REF!</v>
      </c>
      <c r="BL4" s="203" t="e">
        <f t="shared" si="0"/>
        <v>#REF!</v>
      </c>
      <c r="BM4" s="203" t="e">
        <f t="shared" si="0"/>
        <v>#REF!</v>
      </c>
      <c r="BN4" s="203" t="e">
        <f>+'SEMANA DEL 2 AL 7-3-26'!BN5+'SEMANA DEL 7 AL 14'!BN5+'SEMANA DEL 14 AL 21 '!BN5+'SEMANA DEL 21AL 28-3'!BN5+#REF!</f>
        <v>#REF!</v>
      </c>
      <c r="BO4" s="203" t="e">
        <f>+'SEMANA DEL 2 AL 7-3-26'!BO5+'SEMANA DEL 7 AL 14'!BO5+'SEMANA DEL 14 AL 21 '!BO5+'SEMANA DEL 21AL 28-3'!BO5+#REF!</f>
        <v>#REF!</v>
      </c>
      <c r="BP4" s="203" t="e">
        <f>+'SEMANA DEL 2 AL 7-3-26'!BP5+'SEMANA DEL 7 AL 14'!BP5+'SEMANA DEL 14 AL 21 '!BP5+'SEMANA DEL 21AL 28-3'!BP5+#REF!</f>
        <v>#REF!</v>
      </c>
      <c r="BQ4" s="203" t="e">
        <f>+'SEMANA DEL 2 AL 7-3-26'!BQ5+'SEMANA DEL 7 AL 14'!BQ5+'SEMANA DEL 14 AL 21 '!BQ5+'SEMANA DEL 21AL 28-3'!BQ5+#REF!</f>
        <v>#REF!</v>
      </c>
      <c r="BR4" s="203" t="e">
        <f>+'SEMANA DEL 2 AL 7-3-26'!BR5+'SEMANA DEL 7 AL 14'!BR5+'SEMANA DEL 14 AL 21 '!BR5+'SEMANA DEL 21AL 28-3'!BR5+#REF!</f>
        <v>#REF!</v>
      </c>
      <c r="BS4" s="203" t="e">
        <f>+'SEMANA DEL 2 AL 7-3-26'!BS5+'SEMANA DEL 7 AL 14'!BS5+'SEMANA DEL 14 AL 21 '!BS5+'SEMANA DEL 21AL 28-3'!BS5+#REF!</f>
        <v>#REF!</v>
      </c>
      <c r="BT4" s="203" t="e">
        <f>+'SEMANA DEL 2 AL 7-3-26'!BT5+'SEMANA DEL 7 AL 14'!BT5+'SEMANA DEL 14 AL 21 '!BT5+'SEMANA DEL 21AL 28-3'!BT5+#REF!</f>
        <v>#REF!</v>
      </c>
      <c r="BU4" s="203" t="e">
        <f>+'SEMANA DEL 2 AL 7-3-26'!BU5+'SEMANA DEL 7 AL 14'!BU5+'SEMANA DEL 14 AL 21 '!BU5+'SEMANA DEL 21AL 28-3'!BU5+#REF!</f>
        <v>#REF!</v>
      </c>
      <c r="BV4" s="203" t="e">
        <f>+'SEMANA DEL 2 AL 7-3-26'!BV5+'SEMANA DEL 7 AL 14'!BV5+'SEMANA DEL 14 AL 21 '!BV5+'SEMANA DEL 21AL 28-3'!BV5+#REF!</f>
        <v>#REF!</v>
      </c>
      <c r="BW4" s="203" t="e">
        <f>+'SEMANA DEL 2 AL 7-3-26'!BW5+'SEMANA DEL 7 AL 14'!BW5+'SEMANA DEL 14 AL 21 '!BW5+'SEMANA DEL 21AL 28-3'!BW5+#REF!</f>
        <v>#REF!</v>
      </c>
      <c r="BX4" s="203" t="e">
        <f>+'SEMANA DEL 2 AL 7-3-26'!BX5+'SEMANA DEL 7 AL 14'!BX5+'SEMANA DEL 14 AL 21 '!BX5+'SEMANA DEL 21AL 28-3'!BX5+#REF!</f>
        <v>#REF!</v>
      </c>
      <c r="BY4" s="203" t="e">
        <f>+'SEMANA DEL 2 AL 7-3-26'!BY5+'SEMANA DEL 7 AL 14'!BY5+'SEMANA DEL 14 AL 21 '!BY5+'SEMANA DEL 21AL 28-3'!BY5+#REF!</f>
        <v>#REF!</v>
      </c>
      <c r="BZ4" s="203" t="e">
        <f>+'SEMANA DEL 2 AL 7-3-26'!BZ5+'SEMANA DEL 7 AL 14'!BZ5+'SEMANA DEL 14 AL 21 '!BZ5+'SEMANA DEL 21AL 28-3'!BZ5+#REF!</f>
        <v>#REF!</v>
      </c>
      <c r="CA4" s="203" t="e">
        <f>+'SEMANA DEL 2 AL 7-3-26'!CA5+'SEMANA DEL 7 AL 14'!CA5+'SEMANA DEL 14 AL 21 '!CA5+'SEMANA DEL 21AL 28-3'!CA5+#REF!</f>
        <v>#REF!</v>
      </c>
      <c r="CB4" s="203" t="e">
        <f>+'SEMANA DEL 2 AL 7-3-26'!CB5+'SEMANA DEL 7 AL 14'!CB5+'SEMANA DEL 14 AL 21 '!CB5+'SEMANA DEL 21AL 28-3'!CB5+#REF!</f>
        <v>#REF!</v>
      </c>
      <c r="CC4" s="203" t="e">
        <f>+'SEMANA DEL 2 AL 7-3-26'!CC5+'SEMANA DEL 7 AL 14'!CC5+'SEMANA DEL 14 AL 21 '!CC5+'SEMANA DEL 21AL 28-3'!CC5+#REF!</f>
        <v>#REF!</v>
      </c>
      <c r="CD4" s="203" t="e">
        <f>+'SEMANA DEL 2 AL 7-3-26'!CD5+'SEMANA DEL 7 AL 14'!CD5+'SEMANA DEL 14 AL 21 '!CD5+'SEMANA DEL 21AL 28-3'!CD5+#REF!</f>
        <v>#REF!</v>
      </c>
      <c r="CE4" s="203" t="e">
        <f>+'SEMANA DEL 2 AL 7-3-26'!CE5+'SEMANA DEL 7 AL 14'!CE5+'SEMANA DEL 14 AL 21 '!CE5+'SEMANA DEL 21AL 28-3'!CE5+#REF!</f>
        <v>#REF!</v>
      </c>
      <c r="CF4" s="203" t="e">
        <f>+'SEMANA DEL 2 AL 7-3-26'!CF5+'SEMANA DEL 7 AL 14'!CF5+'SEMANA DEL 14 AL 21 '!CF5+'SEMANA DEL 21AL 28-3'!CF5+#REF!</f>
        <v>#REF!</v>
      </c>
      <c r="CG4" s="203" t="e">
        <f>+'SEMANA DEL 2 AL 7-3-26'!CG5+'SEMANA DEL 7 AL 14'!CG5+'SEMANA DEL 14 AL 21 '!CG5+'SEMANA DEL 21AL 28-3'!CG5+#REF!</f>
        <v>#REF!</v>
      </c>
      <c r="CH4" s="203" t="e">
        <f>+'SEMANA DEL 2 AL 7-3-26'!CH5+'SEMANA DEL 7 AL 14'!CH5+'SEMANA DEL 14 AL 21 '!CH5+'SEMANA DEL 21AL 28-3'!CH5+#REF!</f>
        <v>#REF!</v>
      </c>
      <c r="CI4" s="203" t="e">
        <f>+'SEMANA DEL 2 AL 7-3-26'!CI5+'SEMANA DEL 7 AL 14'!CI5+'SEMANA DEL 14 AL 21 '!CI5+'SEMANA DEL 21AL 28-3'!CI5+#REF!</f>
        <v>#REF!</v>
      </c>
    </row>
    <row r="5" spans="1:87" x14ac:dyDescent="0.2">
      <c r="A5" s="34" t="str">
        <f>+'SEMANA DEL 2 AL 7-3-26'!A7</f>
        <v xml:space="preserve">BLANCA ALVARADO </v>
      </c>
      <c r="B5" s="203">
        <f>+'SEMANA DEL 2 AL 7-3-26'!B7</f>
        <v>0</v>
      </c>
      <c r="C5" s="203">
        <f>+'SEMANA DEL 2 AL 7-3-26'!C7</f>
        <v>0</v>
      </c>
      <c r="D5" s="203">
        <f>+'SEMANA DEL 2 AL 7-3-26'!D7</f>
        <v>0</v>
      </c>
      <c r="E5" s="203">
        <f>+'SEMANA DEL 2 AL 7-3-26'!E7</f>
        <v>0</v>
      </c>
      <c r="F5" s="203">
        <f>+'SEMANA DEL 2 AL 7-3-26'!F7</f>
        <v>0</v>
      </c>
      <c r="G5" s="203">
        <f>+'SEMANA DEL 2 AL 7-3-26'!G7</f>
        <v>0</v>
      </c>
      <c r="H5" s="203">
        <f>+'SEMANA DEL 2 AL 7-3-26'!H7</f>
        <v>0</v>
      </c>
      <c r="I5" s="203">
        <f>+'SEMANA DEL 2 AL 7-3-26'!I7</f>
        <v>0</v>
      </c>
      <c r="J5" s="203">
        <f>+'SEMANA DEL 2 AL 7-3-26'!J7</f>
        <v>0</v>
      </c>
      <c r="K5" s="203">
        <f>+'SEMANA DEL 2 AL 7-3-26'!K7</f>
        <v>0</v>
      </c>
      <c r="L5" s="203">
        <f>+'SEMANA DEL 2 AL 7-3-26'!L7</f>
        <v>0</v>
      </c>
      <c r="M5" s="203">
        <f>+'SEMANA DEL 2 AL 7-3-26'!M7</f>
        <v>0</v>
      </c>
      <c r="N5" s="203">
        <f>+'SEMANA DEL 2 AL 7-3-26'!N7</f>
        <v>0</v>
      </c>
      <c r="O5" s="203">
        <f>+'SEMANA DEL 2 AL 7-3-26'!O7</f>
        <v>0</v>
      </c>
      <c r="P5" s="203">
        <f>+'SEMANA DEL 2 AL 7-3-26'!P7</f>
        <v>0</v>
      </c>
      <c r="Q5" s="203">
        <f>+'SEMANA DEL 2 AL 7-3-26'!Q7</f>
        <v>0</v>
      </c>
      <c r="R5" s="203" t="e">
        <f>+'SEMANA DEL 2 AL 7-3-26'!#REF!+'SEMANA DEL 7 AL 14'!R6+'SEMANA DEL 14 AL 21 '!R6+'SEMANA DEL 21AL 28-3'!R7+#REF!</f>
        <v>#REF!</v>
      </c>
      <c r="S5" s="203" t="e">
        <f>+'SEMANA DEL 2 AL 7-3-26'!#REF!+'SEMANA DEL 7 AL 14'!S6+'SEMANA DEL 14 AL 21 '!S6+'SEMANA DEL 21AL 28-3'!S7+#REF!</f>
        <v>#REF!</v>
      </c>
      <c r="T5" s="203" t="e">
        <f>+'SEMANA DEL 2 AL 7-3-26'!#REF!+'SEMANA DEL 7 AL 14'!T6+'SEMANA DEL 14 AL 21 '!T6+'SEMANA DEL 21AL 28-3'!T7+#REF!</f>
        <v>#REF!</v>
      </c>
      <c r="U5" s="203" t="e">
        <f>+'SEMANA DEL 2 AL 7-3-26'!#REF!+'SEMANA DEL 7 AL 14'!U6+'SEMANA DEL 14 AL 21 '!U6+'SEMANA DEL 21AL 28-3'!U7+#REF!</f>
        <v>#REF!</v>
      </c>
      <c r="V5" s="203" t="e">
        <f>+'SEMANA DEL 2 AL 7-3-26'!#REF!+'SEMANA DEL 7 AL 14'!V6+'SEMANA DEL 14 AL 21 '!V6+'SEMANA DEL 21AL 28-3'!V7+#REF!</f>
        <v>#REF!</v>
      </c>
      <c r="W5" s="203" t="e">
        <f>+'SEMANA DEL 2 AL 7-3-26'!#REF!+'SEMANA DEL 7 AL 14'!W6+'SEMANA DEL 14 AL 21 '!W6+'SEMANA DEL 21AL 28-3'!W7+#REF!</f>
        <v>#REF!</v>
      </c>
      <c r="X5" s="203" t="e">
        <f>+'SEMANA DEL 2 AL 7-3-26'!#REF!+'SEMANA DEL 7 AL 14'!X6+'SEMANA DEL 14 AL 21 '!X6+'SEMANA DEL 21AL 28-3'!X7+#REF!</f>
        <v>#REF!</v>
      </c>
      <c r="Y5" s="203" t="e">
        <f>+'SEMANA DEL 2 AL 7-3-26'!#REF!+'SEMANA DEL 7 AL 14'!Y6+'SEMANA DEL 14 AL 21 '!Y6+'SEMANA DEL 21AL 28-3'!Y7+#REF!</f>
        <v>#REF!</v>
      </c>
      <c r="Z5" s="203" t="e">
        <f>+'SEMANA DEL 2 AL 7-3-26'!#REF!+'SEMANA DEL 7 AL 14'!Z6+'SEMANA DEL 14 AL 21 '!Z6+'SEMANA DEL 21AL 28-3'!Z7+#REF!</f>
        <v>#REF!</v>
      </c>
      <c r="AA5" s="203" t="e">
        <f>+'SEMANA DEL 2 AL 7-3-26'!#REF!+'SEMANA DEL 7 AL 14'!AA6+'SEMANA DEL 14 AL 21 '!AA6+'SEMANA DEL 21AL 28-3'!AA7+#REF!</f>
        <v>#REF!</v>
      </c>
      <c r="AB5" s="203" t="e">
        <f>+'SEMANA DEL 2 AL 7-3-26'!#REF!+'SEMANA DEL 7 AL 14'!AB6+'SEMANA DEL 14 AL 21 '!AB6+'SEMANA DEL 21AL 28-3'!AB7+#REF!</f>
        <v>#REF!</v>
      </c>
      <c r="AC5" s="203" t="e">
        <f>+'SEMANA DEL 2 AL 7-3-26'!#REF!+'SEMANA DEL 7 AL 14'!AC6+'SEMANA DEL 14 AL 21 '!AC6+'SEMANA DEL 21AL 28-3'!AC7+#REF!</f>
        <v>#REF!</v>
      </c>
      <c r="AD5" s="203" t="e">
        <f>+'SEMANA DEL 2 AL 7-3-26'!#REF!+'SEMANA DEL 7 AL 14'!AD6+'SEMANA DEL 14 AL 21 '!AD6+'SEMANA DEL 21AL 28-3'!AD7+#REF!</f>
        <v>#REF!</v>
      </c>
      <c r="AE5" s="203" t="e">
        <f>+'SEMANA DEL 2 AL 7-3-26'!#REF!+'SEMANA DEL 7 AL 14'!AE6+'SEMANA DEL 14 AL 21 '!AE6+'SEMANA DEL 21AL 28-3'!AE7+#REF!</f>
        <v>#REF!</v>
      </c>
      <c r="AF5" s="203" t="e">
        <f>+'SEMANA DEL 2 AL 7-3-26'!#REF!+'SEMANA DEL 7 AL 14'!AF6+'SEMANA DEL 14 AL 21 '!AF6+'SEMANA DEL 21AL 28-3'!AF7+#REF!</f>
        <v>#REF!</v>
      </c>
      <c r="AG5" s="203" t="e">
        <f>+'SEMANA DEL 2 AL 7-3-26'!#REF!+'SEMANA DEL 7 AL 14'!AG6+'SEMANA DEL 14 AL 21 '!AG6+'SEMANA DEL 21AL 28-3'!AG7+#REF!</f>
        <v>#REF!</v>
      </c>
      <c r="AH5" s="203" t="e">
        <f>+'SEMANA DEL 2 AL 7-3-26'!#REF!+'SEMANA DEL 7 AL 14'!AH6+'SEMANA DEL 14 AL 21 '!AH6+'SEMANA DEL 21AL 28-3'!AH7+#REF!</f>
        <v>#REF!</v>
      </c>
      <c r="AI5" s="203" t="e">
        <f>+'SEMANA DEL 2 AL 7-3-26'!#REF!+'SEMANA DEL 7 AL 14'!AI6+'SEMANA DEL 14 AL 21 '!AI6+'SEMANA DEL 21AL 28-3'!AI7+#REF!</f>
        <v>#REF!</v>
      </c>
      <c r="AJ5" s="203" t="e">
        <f>+'SEMANA DEL 2 AL 7-3-26'!#REF!+'SEMANA DEL 7 AL 14'!AJ6+'SEMANA DEL 14 AL 21 '!AJ6+'SEMANA DEL 21AL 28-3'!AJ7+#REF!</f>
        <v>#REF!</v>
      </c>
      <c r="AK5" s="203" t="e">
        <f>+'SEMANA DEL 2 AL 7-3-26'!#REF!+'SEMANA DEL 7 AL 14'!AK6+'SEMANA DEL 14 AL 21 '!AK6+'SEMANA DEL 21AL 28-3'!AK7+#REF!</f>
        <v>#REF!</v>
      </c>
      <c r="AL5" s="203" t="e">
        <f>+'SEMANA DEL 2 AL 7-3-26'!#REF!+'SEMANA DEL 7 AL 14'!AL6+'SEMANA DEL 14 AL 21 '!AL6+'SEMANA DEL 21AL 28-3'!AL7+#REF!</f>
        <v>#REF!</v>
      </c>
      <c r="AM5" s="203" t="e">
        <f>+'SEMANA DEL 2 AL 7-3-26'!#REF!+'SEMANA DEL 7 AL 14'!AM6+'SEMANA DEL 14 AL 21 '!AM6+'SEMANA DEL 21AL 28-3'!AM7+#REF!</f>
        <v>#REF!</v>
      </c>
      <c r="AN5" s="203" t="e">
        <f>+'SEMANA DEL 2 AL 7-3-26'!#REF!+'SEMANA DEL 7 AL 14'!AN6+'SEMANA DEL 14 AL 21 '!AN6+'SEMANA DEL 21AL 28-3'!AN7+#REF!</f>
        <v>#REF!</v>
      </c>
      <c r="AO5" s="203" t="e">
        <f>+'SEMANA DEL 2 AL 7-3-26'!#REF!+'SEMANA DEL 7 AL 14'!AO6+'SEMANA DEL 14 AL 21 '!AO6+'SEMANA DEL 21AL 28-3'!AO7+#REF!</f>
        <v>#REF!</v>
      </c>
      <c r="AP5" s="203" t="e">
        <f>+'SEMANA DEL 2 AL 7-3-26'!#REF!+'SEMANA DEL 7 AL 14'!AP6+'SEMANA DEL 14 AL 21 '!AP6+'SEMANA DEL 21AL 28-3'!AP7+#REF!</f>
        <v>#REF!</v>
      </c>
      <c r="AQ5" s="203" t="e">
        <f>+'SEMANA DEL 2 AL 7-3-26'!#REF!+'SEMANA DEL 7 AL 14'!AQ6+'SEMANA DEL 14 AL 21 '!AQ6+'SEMANA DEL 21AL 28-3'!AQ7+#REF!</f>
        <v>#REF!</v>
      </c>
      <c r="AR5" s="203" t="e">
        <f>+'SEMANA DEL 2 AL 7-3-26'!#REF!+'SEMANA DEL 7 AL 14'!AR6+'SEMANA DEL 14 AL 21 '!AR6+'SEMANA DEL 21AL 28-3'!AR7+#REF!</f>
        <v>#REF!</v>
      </c>
      <c r="AS5" s="203" t="e">
        <f>+'SEMANA DEL 2 AL 7-3-26'!#REF!+'SEMANA DEL 7 AL 14'!AS6+'SEMANA DEL 14 AL 21 '!AS6+'SEMANA DEL 21AL 28-3'!AS7+#REF!</f>
        <v>#REF!</v>
      </c>
      <c r="AT5" s="203" t="e">
        <f>+'SEMANA DEL 2 AL 7-3-26'!#REF!+'SEMANA DEL 7 AL 14'!AT6+'SEMANA DEL 14 AL 21 '!AT6+'SEMANA DEL 21AL 28-3'!AT7+#REF!</f>
        <v>#REF!</v>
      </c>
      <c r="AU5" s="203" t="e">
        <f>+'SEMANA DEL 2 AL 7-3-26'!#REF!+'SEMANA DEL 7 AL 14'!AU6+'SEMANA DEL 14 AL 21 '!AU6+'SEMANA DEL 21AL 28-3'!AU7+#REF!</f>
        <v>#REF!</v>
      </c>
      <c r="AV5" s="203" t="e">
        <f>+'SEMANA DEL 2 AL 7-3-26'!#REF!+'SEMANA DEL 7 AL 14'!AV6+'SEMANA DEL 14 AL 21 '!AV6+'SEMANA DEL 21AL 28-3'!AV7+#REF!</f>
        <v>#REF!</v>
      </c>
      <c r="AW5" s="203" t="e">
        <f>+'SEMANA DEL 2 AL 7-3-26'!#REF!+'SEMANA DEL 7 AL 14'!AW6+'SEMANA DEL 14 AL 21 '!AW6+'SEMANA DEL 21AL 28-3'!AW7+#REF!</f>
        <v>#REF!</v>
      </c>
      <c r="AX5" s="203" t="e">
        <f t="shared" ref="AX5:AX38" si="1">+B5+R5-AH5</f>
        <v>#REF!</v>
      </c>
      <c r="AY5" s="203" t="e">
        <f t="shared" ref="AY5:AY38" si="2">+C5+S5-AI5</f>
        <v>#REF!</v>
      </c>
      <c r="AZ5" s="203" t="e">
        <f t="shared" ref="AZ5:AZ38" si="3">+D5+T5-AJ5</f>
        <v>#REF!</v>
      </c>
      <c r="BA5" s="203" t="e">
        <f t="shared" ref="BA5:BA38" si="4">+E5+U5-AK5</f>
        <v>#REF!</v>
      </c>
      <c r="BB5" s="203" t="e">
        <f t="shared" ref="BB5:BB38" si="5">+F5+V5-AL5</f>
        <v>#REF!</v>
      </c>
      <c r="BC5" s="203" t="e">
        <f t="shared" ref="BC5:BC38" si="6">+G5+W5-AM5</f>
        <v>#REF!</v>
      </c>
      <c r="BD5" s="203" t="e">
        <f t="shared" ref="BD5:BD38" si="7">+H5+X5-AN5</f>
        <v>#REF!</v>
      </c>
      <c r="BE5" s="203" t="e">
        <f t="shared" ref="BE5:BE38" si="8">+I5+Y5-AO5</f>
        <v>#REF!</v>
      </c>
      <c r="BF5" s="203" t="e">
        <f t="shared" ref="BF5:BF38" si="9">+J5+Z5-AP5</f>
        <v>#REF!</v>
      </c>
      <c r="BG5" s="203" t="e">
        <f t="shared" ref="BG5:BG38" si="10">+K5+AA5-AQ5</f>
        <v>#REF!</v>
      </c>
      <c r="BH5" s="203" t="e">
        <f t="shared" ref="BH5:BH38" si="11">+L5+AB5-AR5</f>
        <v>#REF!</v>
      </c>
      <c r="BI5" s="203" t="e">
        <f t="shared" ref="BI5:BI38" si="12">+M5+AC5-AS5</f>
        <v>#REF!</v>
      </c>
      <c r="BJ5" s="203" t="e">
        <f t="shared" ref="BJ5:BJ38" si="13">+N5+AD5-AT5</f>
        <v>#REF!</v>
      </c>
      <c r="BK5" s="203" t="e">
        <f t="shared" ref="BK5:BK38" si="14">+O5+AE5-AU5</f>
        <v>#REF!</v>
      </c>
      <c r="BL5" s="203" t="e">
        <f t="shared" ref="BL5:BL38" si="15">+P5+AF5-AV5</f>
        <v>#REF!</v>
      </c>
      <c r="BM5" s="203" t="e">
        <f t="shared" ref="BM5:BM38" si="16">+Q5+AG5-AW5</f>
        <v>#REF!</v>
      </c>
      <c r="BN5" s="203" t="e">
        <f>+'SEMANA DEL 2 AL 7-3-26'!#REF!+'SEMANA DEL 7 AL 14'!BN6+'SEMANA DEL 14 AL 21 '!BN6+'SEMANA DEL 21AL 28-3'!BN7+#REF!</f>
        <v>#REF!</v>
      </c>
      <c r="BO5" s="203" t="e">
        <f>+'SEMANA DEL 2 AL 7-3-26'!#REF!+'SEMANA DEL 7 AL 14'!BO6+'SEMANA DEL 14 AL 21 '!BO6+'SEMANA DEL 21AL 28-3'!BO7+#REF!</f>
        <v>#REF!</v>
      </c>
      <c r="BP5" s="203" t="e">
        <f>+'SEMANA DEL 2 AL 7-3-26'!#REF!+'SEMANA DEL 7 AL 14'!BP6+'SEMANA DEL 14 AL 21 '!BP6+'SEMANA DEL 21AL 28-3'!BP7+#REF!</f>
        <v>#REF!</v>
      </c>
      <c r="BQ5" s="203" t="e">
        <f>+'SEMANA DEL 2 AL 7-3-26'!#REF!+'SEMANA DEL 7 AL 14'!BQ6+'SEMANA DEL 14 AL 21 '!BQ6+'SEMANA DEL 21AL 28-3'!BQ7+#REF!</f>
        <v>#REF!</v>
      </c>
      <c r="BR5" s="203" t="e">
        <f>+'SEMANA DEL 2 AL 7-3-26'!#REF!+'SEMANA DEL 7 AL 14'!BR6+'SEMANA DEL 14 AL 21 '!BR6+'SEMANA DEL 21AL 28-3'!BR7+#REF!</f>
        <v>#REF!</v>
      </c>
      <c r="BS5" s="203" t="e">
        <f>+'SEMANA DEL 2 AL 7-3-26'!#REF!+'SEMANA DEL 7 AL 14'!BS6+'SEMANA DEL 14 AL 21 '!BS6+'SEMANA DEL 21AL 28-3'!BS7+#REF!</f>
        <v>#REF!</v>
      </c>
      <c r="BT5" s="203" t="e">
        <f>+'SEMANA DEL 2 AL 7-3-26'!#REF!+'SEMANA DEL 7 AL 14'!BT6+'SEMANA DEL 14 AL 21 '!BT6+'SEMANA DEL 21AL 28-3'!BT7+#REF!</f>
        <v>#REF!</v>
      </c>
      <c r="BU5" s="203" t="e">
        <f>+'SEMANA DEL 2 AL 7-3-26'!#REF!+'SEMANA DEL 7 AL 14'!BU6+'SEMANA DEL 14 AL 21 '!BU6+'SEMANA DEL 21AL 28-3'!BU7+#REF!</f>
        <v>#REF!</v>
      </c>
      <c r="BV5" s="203" t="e">
        <f>+'SEMANA DEL 2 AL 7-3-26'!#REF!+'SEMANA DEL 7 AL 14'!BV6+'SEMANA DEL 14 AL 21 '!BV6+'SEMANA DEL 21AL 28-3'!BV7+#REF!</f>
        <v>#REF!</v>
      </c>
      <c r="BW5" s="203" t="e">
        <f>+'SEMANA DEL 2 AL 7-3-26'!#REF!+'SEMANA DEL 7 AL 14'!BW6+'SEMANA DEL 14 AL 21 '!BW6+'SEMANA DEL 21AL 28-3'!BW7+#REF!</f>
        <v>#REF!</v>
      </c>
      <c r="BX5" s="203" t="e">
        <f>+'SEMANA DEL 2 AL 7-3-26'!#REF!+'SEMANA DEL 7 AL 14'!BX6+'SEMANA DEL 14 AL 21 '!BX6+'SEMANA DEL 21AL 28-3'!BX7+#REF!</f>
        <v>#REF!</v>
      </c>
      <c r="BY5" s="203" t="e">
        <f>+'SEMANA DEL 2 AL 7-3-26'!#REF!+'SEMANA DEL 7 AL 14'!BY6+'SEMANA DEL 14 AL 21 '!BY6+'SEMANA DEL 21AL 28-3'!BY7+#REF!</f>
        <v>#REF!</v>
      </c>
      <c r="BZ5" s="203" t="e">
        <f>+'SEMANA DEL 2 AL 7-3-26'!#REF!+'SEMANA DEL 7 AL 14'!BZ6+'SEMANA DEL 14 AL 21 '!BZ6+'SEMANA DEL 21AL 28-3'!BZ7+#REF!</f>
        <v>#REF!</v>
      </c>
      <c r="CA5" s="203" t="e">
        <f>+'SEMANA DEL 2 AL 7-3-26'!#REF!+'SEMANA DEL 7 AL 14'!CA6+'SEMANA DEL 14 AL 21 '!CA6+'SEMANA DEL 21AL 28-3'!CA7+#REF!</f>
        <v>#REF!</v>
      </c>
      <c r="CB5" s="203" t="e">
        <f>+'SEMANA DEL 2 AL 7-3-26'!#REF!+'SEMANA DEL 7 AL 14'!CB6+'SEMANA DEL 14 AL 21 '!CB6+'SEMANA DEL 21AL 28-3'!CB7+#REF!</f>
        <v>#REF!</v>
      </c>
      <c r="CC5" s="203" t="e">
        <f>+'SEMANA DEL 2 AL 7-3-26'!#REF!+'SEMANA DEL 7 AL 14'!CC6+'SEMANA DEL 14 AL 21 '!CC6+'SEMANA DEL 21AL 28-3'!CC7+#REF!</f>
        <v>#REF!</v>
      </c>
      <c r="CD5" s="203" t="e">
        <f>+'SEMANA DEL 2 AL 7-3-26'!#REF!+'SEMANA DEL 7 AL 14'!CD6+'SEMANA DEL 14 AL 21 '!CD6+'SEMANA DEL 21AL 28-3'!CD7+#REF!</f>
        <v>#REF!</v>
      </c>
      <c r="CE5" s="203" t="e">
        <f>+'SEMANA DEL 2 AL 7-3-26'!#REF!+'SEMANA DEL 7 AL 14'!CE6+'SEMANA DEL 14 AL 21 '!CE6+'SEMANA DEL 21AL 28-3'!CE7+#REF!</f>
        <v>#REF!</v>
      </c>
      <c r="CF5" s="203" t="e">
        <f>+'SEMANA DEL 2 AL 7-3-26'!#REF!+'SEMANA DEL 7 AL 14'!CF6+'SEMANA DEL 14 AL 21 '!CF6+'SEMANA DEL 21AL 28-3'!CF7+#REF!</f>
        <v>#REF!</v>
      </c>
      <c r="CG5" s="203" t="e">
        <f>+'SEMANA DEL 2 AL 7-3-26'!#REF!+'SEMANA DEL 7 AL 14'!CG6+'SEMANA DEL 14 AL 21 '!CG6+'SEMANA DEL 21AL 28-3'!CG7+#REF!</f>
        <v>#REF!</v>
      </c>
      <c r="CH5" s="203" t="e">
        <f>+'SEMANA DEL 2 AL 7-3-26'!#REF!+'SEMANA DEL 7 AL 14'!CH6+'SEMANA DEL 14 AL 21 '!CH6+'SEMANA DEL 21AL 28-3'!CH7+#REF!</f>
        <v>#REF!</v>
      </c>
      <c r="CI5" s="203" t="e">
        <f>+'SEMANA DEL 2 AL 7-3-26'!#REF!+'SEMANA DEL 7 AL 14'!CI6+'SEMANA DEL 14 AL 21 '!CI6+'SEMANA DEL 21AL 28-3'!CI7+#REF!</f>
        <v>#REF!</v>
      </c>
    </row>
    <row r="6" spans="1:87" x14ac:dyDescent="0.2">
      <c r="A6" s="34" t="e">
        <f>+'SEMANA DEL 2 AL 7-3-26'!#REF!</f>
        <v>#REF!</v>
      </c>
      <c r="B6" s="203" t="e">
        <f>+'SEMANA DEL 2 AL 7-3-26'!#REF!</f>
        <v>#REF!</v>
      </c>
      <c r="C6" s="203" t="e">
        <f>+'SEMANA DEL 2 AL 7-3-26'!#REF!</f>
        <v>#REF!</v>
      </c>
      <c r="D6" s="203" t="e">
        <f>+'SEMANA DEL 2 AL 7-3-26'!#REF!</f>
        <v>#REF!</v>
      </c>
      <c r="E6" s="203" t="e">
        <f>+'SEMANA DEL 2 AL 7-3-26'!#REF!</f>
        <v>#REF!</v>
      </c>
      <c r="F6" s="203" t="e">
        <f>+'SEMANA DEL 2 AL 7-3-26'!#REF!</f>
        <v>#REF!</v>
      </c>
      <c r="G6" s="203" t="e">
        <f>+'SEMANA DEL 2 AL 7-3-26'!#REF!</f>
        <v>#REF!</v>
      </c>
      <c r="H6" s="203" t="e">
        <f>+'SEMANA DEL 2 AL 7-3-26'!#REF!</f>
        <v>#REF!</v>
      </c>
      <c r="I6" s="203" t="e">
        <f>+'SEMANA DEL 2 AL 7-3-26'!#REF!</f>
        <v>#REF!</v>
      </c>
      <c r="J6" s="203" t="e">
        <f>+'SEMANA DEL 2 AL 7-3-26'!#REF!</f>
        <v>#REF!</v>
      </c>
      <c r="K6" s="203" t="e">
        <f>+'SEMANA DEL 2 AL 7-3-26'!#REF!</f>
        <v>#REF!</v>
      </c>
      <c r="L6" s="203" t="e">
        <f>+'SEMANA DEL 2 AL 7-3-26'!#REF!</f>
        <v>#REF!</v>
      </c>
      <c r="M6" s="203" t="e">
        <f>+'SEMANA DEL 2 AL 7-3-26'!#REF!</f>
        <v>#REF!</v>
      </c>
      <c r="N6" s="203" t="e">
        <f>+'SEMANA DEL 2 AL 7-3-26'!#REF!</f>
        <v>#REF!</v>
      </c>
      <c r="O6" s="203" t="e">
        <f>+'SEMANA DEL 2 AL 7-3-26'!#REF!</f>
        <v>#REF!</v>
      </c>
      <c r="P6" s="203" t="e">
        <f>+'SEMANA DEL 2 AL 7-3-26'!#REF!</f>
        <v>#REF!</v>
      </c>
      <c r="Q6" s="203" t="e">
        <f>+'SEMANA DEL 2 AL 7-3-26'!#REF!</f>
        <v>#REF!</v>
      </c>
      <c r="R6" s="203" t="e">
        <f>+'SEMANA DEL 2 AL 7-3-26'!R7+'SEMANA DEL 7 AL 14'!#REF!+'SEMANA DEL 14 AL 21 '!#REF!+'SEMANA DEL 21AL 28-3'!#REF!+#REF!</f>
        <v>#REF!</v>
      </c>
      <c r="S6" s="203" t="e">
        <f>+'SEMANA DEL 2 AL 7-3-26'!S7+'SEMANA DEL 7 AL 14'!#REF!+'SEMANA DEL 14 AL 21 '!#REF!+'SEMANA DEL 21AL 28-3'!#REF!+#REF!</f>
        <v>#REF!</v>
      </c>
      <c r="T6" s="203" t="e">
        <f>+'SEMANA DEL 2 AL 7-3-26'!T7+'SEMANA DEL 7 AL 14'!#REF!+'SEMANA DEL 14 AL 21 '!#REF!+'SEMANA DEL 21AL 28-3'!#REF!+#REF!</f>
        <v>#REF!</v>
      </c>
      <c r="U6" s="203" t="e">
        <f>+'SEMANA DEL 2 AL 7-3-26'!U7+'SEMANA DEL 7 AL 14'!#REF!+'SEMANA DEL 14 AL 21 '!#REF!+'SEMANA DEL 21AL 28-3'!#REF!+#REF!</f>
        <v>#REF!</v>
      </c>
      <c r="V6" s="203" t="e">
        <f>+'SEMANA DEL 2 AL 7-3-26'!V7+'SEMANA DEL 7 AL 14'!#REF!+'SEMANA DEL 14 AL 21 '!#REF!+'SEMANA DEL 21AL 28-3'!#REF!+#REF!</f>
        <v>#REF!</v>
      </c>
      <c r="W6" s="203" t="e">
        <f>+'SEMANA DEL 2 AL 7-3-26'!W7+'SEMANA DEL 7 AL 14'!#REF!+'SEMANA DEL 14 AL 21 '!#REF!+'SEMANA DEL 21AL 28-3'!#REF!+#REF!</f>
        <v>#REF!</v>
      </c>
      <c r="X6" s="203" t="e">
        <f>+'SEMANA DEL 2 AL 7-3-26'!X7+'SEMANA DEL 7 AL 14'!#REF!+'SEMANA DEL 14 AL 21 '!#REF!+'SEMANA DEL 21AL 28-3'!#REF!+#REF!</f>
        <v>#REF!</v>
      </c>
      <c r="Y6" s="203" t="e">
        <f>+'SEMANA DEL 2 AL 7-3-26'!Y7+'SEMANA DEL 7 AL 14'!#REF!+'SEMANA DEL 14 AL 21 '!#REF!+'SEMANA DEL 21AL 28-3'!#REF!+#REF!</f>
        <v>#REF!</v>
      </c>
      <c r="Z6" s="203" t="e">
        <f>+'SEMANA DEL 2 AL 7-3-26'!Z7+'SEMANA DEL 7 AL 14'!#REF!+'SEMANA DEL 14 AL 21 '!#REF!+'SEMANA DEL 21AL 28-3'!#REF!+#REF!</f>
        <v>#REF!</v>
      </c>
      <c r="AA6" s="203" t="e">
        <f>+'SEMANA DEL 2 AL 7-3-26'!AA7+'SEMANA DEL 7 AL 14'!#REF!+'SEMANA DEL 14 AL 21 '!#REF!+'SEMANA DEL 21AL 28-3'!#REF!+#REF!</f>
        <v>#REF!</v>
      </c>
      <c r="AB6" s="203" t="e">
        <f>+'SEMANA DEL 2 AL 7-3-26'!AB7+'SEMANA DEL 7 AL 14'!#REF!+'SEMANA DEL 14 AL 21 '!#REF!+'SEMANA DEL 21AL 28-3'!#REF!+#REF!</f>
        <v>#REF!</v>
      </c>
      <c r="AC6" s="203" t="e">
        <f>+'SEMANA DEL 2 AL 7-3-26'!AC7+'SEMANA DEL 7 AL 14'!#REF!+'SEMANA DEL 14 AL 21 '!#REF!+'SEMANA DEL 21AL 28-3'!#REF!+#REF!</f>
        <v>#REF!</v>
      </c>
      <c r="AD6" s="203" t="e">
        <f>+'SEMANA DEL 2 AL 7-3-26'!AD7+'SEMANA DEL 7 AL 14'!#REF!+'SEMANA DEL 14 AL 21 '!#REF!+'SEMANA DEL 21AL 28-3'!#REF!+#REF!</f>
        <v>#REF!</v>
      </c>
      <c r="AE6" s="203" t="e">
        <f>+'SEMANA DEL 2 AL 7-3-26'!AE7+'SEMANA DEL 7 AL 14'!#REF!+'SEMANA DEL 14 AL 21 '!#REF!+'SEMANA DEL 21AL 28-3'!#REF!+#REF!</f>
        <v>#REF!</v>
      </c>
      <c r="AF6" s="203" t="e">
        <f>+'SEMANA DEL 2 AL 7-3-26'!AF7+'SEMANA DEL 7 AL 14'!#REF!+'SEMANA DEL 14 AL 21 '!#REF!+'SEMANA DEL 21AL 28-3'!#REF!+#REF!</f>
        <v>#REF!</v>
      </c>
      <c r="AG6" s="203" t="e">
        <f>+'SEMANA DEL 2 AL 7-3-26'!AG7+'SEMANA DEL 7 AL 14'!#REF!+'SEMANA DEL 14 AL 21 '!#REF!+'SEMANA DEL 21AL 28-3'!#REF!+#REF!</f>
        <v>#REF!</v>
      </c>
      <c r="AH6" s="203" t="e">
        <f>+'SEMANA DEL 2 AL 7-3-26'!AH7+'SEMANA DEL 7 AL 14'!#REF!+'SEMANA DEL 14 AL 21 '!#REF!+'SEMANA DEL 21AL 28-3'!#REF!+#REF!</f>
        <v>#REF!</v>
      </c>
      <c r="AI6" s="203" t="e">
        <f>+'SEMANA DEL 2 AL 7-3-26'!AI7+'SEMANA DEL 7 AL 14'!#REF!+'SEMANA DEL 14 AL 21 '!#REF!+'SEMANA DEL 21AL 28-3'!#REF!+#REF!</f>
        <v>#REF!</v>
      </c>
      <c r="AJ6" s="203" t="e">
        <f>+'SEMANA DEL 2 AL 7-3-26'!AJ7+'SEMANA DEL 7 AL 14'!#REF!+'SEMANA DEL 14 AL 21 '!#REF!+'SEMANA DEL 21AL 28-3'!#REF!+#REF!</f>
        <v>#REF!</v>
      </c>
      <c r="AK6" s="203" t="e">
        <f>+'SEMANA DEL 2 AL 7-3-26'!AK7+'SEMANA DEL 7 AL 14'!#REF!+'SEMANA DEL 14 AL 21 '!#REF!+'SEMANA DEL 21AL 28-3'!#REF!+#REF!</f>
        <v>#REF!</v>
      </c>
      <c r="AL6" s="203" t="e">
        <f>+'SEMANA DEL 2 AL 7-3-26'!AL7+'SEMANA DEL 7 AL 14'!#REF!+'SEMANA DEL 14 AL 21 '!#REF!+'SEMANA DEL 21AL 28-3'!#REF!+#REF!</f>
        <v>#REF!</v>
      </c>
      <c r="AM6" s="203" t="e">
        <f>+'SEMANA DEL 2 AL 7-3-26'!AM7+'SEMANA DEL 7 AL 14'!#REF!+'SEMANA DEL 14 AL 21 '!#REF!+'SEMANA DEL 21AL 28-3'!#REF!+#REF!</f>
        <v>#REF!</v>
      </c>
      <c r="AN6" s="203" t="e">
        <f>+'SEMANA DEL 2 AL 7-3-26'!AN7+'SEMANA DEL 7 AL 14'!#REF!+'SEMANA DEL 14 AL 21 '!#REF!+'SEMANA DEL 21AL 28-3'!#REF!+#REF!</f>
        <v>#REF!</v>
      </c>
      <c r="AO6" s="203" t="e">
        <f>+'SEMANA DEL 2 AL 7-3-26'!AO7+'SEMANA DEL 7 AL 14'!#REF!+'SEMANA DEL 14 AL 21 '!#REF!+'SEMANA DEL 21AL 28-3'!#REF!+#REF!</f>
        <v>#REF!</v>
      </c>
      <c r="AP6" s="203" t="e">
        <f>+'SEMANA DEL 2 AL 7-3-26'!AP7+'SEMANA DEL 7 AL 14'!#REF!+'SEMANA DEL 14 AL 21 '!#REF!+'SEMANA DEL 21AL 28-3'!#REF!+#REF!</f>
        <v>#REF!</v>
      </c>
      <c r="AQ6" s="203" t="e">
        <f>+'SEMANA DEL 2 AL 7-3-26'!AQ7+'SEMANA DEL 7 AL 14'!#REF!+'SEMANA DEL 14 AL 21 '!#REF!+'SEMANA DEL 21AL 28-3'!#REF!+#REF!</f>
        <v>#REF!</v>
      </c>
      <c r="AR6" s="203" t="e">
        <f>+'SEMANA DEL 2 AL 7-3-26'!AR7+'SEMANA DEL 7 AL 14'!#REF!+'SEMANA DEL 14 AL 21 '!#REF!+'SEMANA DEL 21AL 28-3'!#REF!+#REF!</f>
        <v>#REF!</v>
      </c>
      <c r="AS6" s="203" t="e">
        <f>+'SEMANA DEL 2 AL 7-3-26'!AS7+'SEMANA DEL 7 AL 14'!#REF!+'SEMANA DEL 14 AL 21 '!#REF!+'SEMANA DEL 21AL 28-3'!#REF!+#REF!</f>
        <v>#REF!</v>
      </c>
      <c r="AT6" s="203" t="e">
        <f>+'SEMANA DEL 2 AL 7-3-26'!AT7+'SEMANA DEL 7 AL 14'!#REF!+'SEMANA DEL 14 AL 21 '!#REF!+'SEMANA DEL 21AL 28-3'!#REF!+#REF!</f>
        <v>#REF!</v>
      </c>
      <c r="AU6" s="203" t="e">
        <f>+'SEMANA DEL 2 AL 7-3-26'!AU7+'SEMANA DEL 7 AL 14'!#REF!+'SEMANA DEL 14 AL 21 '!#REF!+'SEMANA DEL 21AL 28-3'!#REF!+#REF!</f>
        <v>#REF!</v>
      </c>
      <c r="AV6" s="203" t="e">
        <f>+'SEMANA DEL 2 AL 7-3-26'!AV7+'SEMANA DEL 7 AL 14'!#REF!+'SEMANA DEL 14 AL 21 '!#REF!+'SEMANA DEL 21AL 28-3'!#REF!+#REF!</f>
        <v>#REF!</v>
      </c>
      <c r="AW6" s="203" t="e">
        <f>+'SEMANA DEL 2 AL 7-3-26'!AW7+'SEMANA DEL 7 AL 14'!#REF!+'SEMANA DEL 14 AL 21 '!#REF!+'SEMANA DEL 21AL 28-3'!#REF!+#REF!</f>
        <v>#REF!</v>
      </c>
      <c r="AX6" s="203" t="e">
        <f t="shared" ref="AX6:BM6" si="17">+B6+R6-AH6</f>
        <v>#REF!</v>
      </c>
      <c r="AY6" s="203" t="e">
        <f t="shared" si="17"/>
        <v>#REF!</v>
      </c>
      <c r="AZ6" s="203" t="e">
        <f t="shared" si="17"/>
        <v>#REF!</v>
      </c>
      <c r="BA6" s="203" t="e">
        <f t="shared" si="17"/>
        <v>#REF!</v>
      </c>
      <c r="BB6" s="203" t="e">
        <f t="shared" si="17"/>
        <v>#REF!</v>
      </c>
      <c r="BC6" s="203" t="e">
        <f t="shared" si="17"/>
        <v>#REF!</v>
      </c>
      <c r="BD6" s="203" t="e">
        <f t="shared" si="17"/>
        <v>#REF!</v>
      </c>
      <c r="BE6" s="203" t="e">
        <f t="shared" si="17"/>
        <v>#REF!</v>
      </c>
      <c r="BF6" s="203" t="e">
        <f t="shared" si="17"/>
        <v>#REF!</v>
      </c>
      <c r="BG6" s="203" t="e">
        <f t="shared" si="17"/>
        <v>#REF!</v>
      </c>
      <c r="BH6" s="203" t="e">
        <f t="shared" si="17"/>
        <v>#REF!</v>
      </c>
      <c r="BI6" s="203" t="e">
        <f t="shared" si="17"/>
        <v>#REF!</v>
      </c>
      <c r="BJ6" s="203" t="e">
        <f t="shared" si="17"/>
        <v>#REF!</v>
      </c>
      <c r="BK6" s="203" t="e">
        <f t="shared" si="17"/>
        <v>#REF!</v>
      </c>
      <c r="BL6" s="203" t="e">
        <f t="shared" si="17"/>
        <v>#REF!</v>
      </c>
      <c r="BM6" s="203" t="e">
        <f t="shared" si="17"/>
        <v>#REF!</v>
      </c>
      <c r="BN6" s="203" t="e">
        <f>+'SEMANA DEL 2 AL 7-3-26'!BN7+'SEMANA DEL 7 AL 14'!#REF!+'SEMANA DEL 14 AL 21 '!#REF!+'SEMANA DEL 21AL 28-3'!#REF!+#REF!</f>
        <v>#REF!</v>
      </c>
      <c r="BO6" s="203" t="e">
        <f>+'SEMANA DEL 2 AL 7-3-26'!BO7+'SEMANA DEL 7 AL 14'!#REF!+'SEMANA DEL 14 AL 21 '!#REF!+'SEMANA DEL 21AL 28-3'!#REF!+#REF!</f>
        <v>#REF!</v>
      </c>
      <c r="BP6" s="203" t="e">
        <f>+'SEMANA DEL 2 AL 7-3-26'!BP7+'SEMANA DEL 7 AL 14'!#REF!+'SEMANA DEL 14 AL 21 '!#REF!+'SEMANA DEL 21AL 28-3'!#REF!+#REF!</f>
        <v>#REF!</v>
      </c>
      <c r="BQ6" s="203" t="e">
        <f>+'SEMANA DEL 2 AL 7-3-26'!BQ7+'SEMANA DEL 7 AL 14'!#REF!+'SEMANA DEL 14 AL 21 '!#REF!+'SEMANA DEL 21AL 28-3'!#REF!+#REF!</f>
        <v>#REF!</v>
      </c>
      <c r="BR6" s="203" t="e">
        <f>+'SEMANA DEL 2 AL 7-3-26'!BR7+'SEMANA DEL 7 AL 14'!#REF!+'SEMANA DEL 14 AL 21 '!#REF!+'SEMANA DEL 21AL 28-3'!#REF!+#REF!</f>
        <v>#REF!</v>
      </c>
      <c r="BS6" s="203" t="e">
        <f>+'SEMANA DEL 2 AL 7-3-26'!BS7+'SEMANA DEL 7 AL 14'!#REF!+'SEMANA DEL 14 AL 21 '!#REF!+'SEMANA DEL 21AL 28-3'!#REF!+#REF!</f>
        <v>#REF!</v>
      </c>
      <c r="BT6" s="203" t="e">
        <f>+'SEMANA DEL 2 AL 7-3-26'!BT7+'SEMANA DEL 7 AL 14'!#REF!+'SEMANA DEL 14 AL 21 '!#REF!+'SEMANA DEL 21AL 28-3'!#REF!+#REF!</f>
        <v>#REF!</v>
      </c>
      <c r="BU6" s="203" t="e">
        <f>+'SEMANA DEL 2 AL 7-3-26'!BU7+'SEMANA DEL 7 AL 14'!#REF!+'SEMANA DEL 14 AL 21 '!#REF!+'SEMANA DEL 21AL 28-3'!#REF!+#REF!</f>
        <v>#REF!</v>
      </c>
      <c r="BV6" s="203" t="e">
        <f>+'SEMANA DEL 2 AL 7-3-26'!BV7+'SEMANA DEL 7 AL 14'!#REF!+'SEMANA DEL 14 AL 21 '!#REF!+'SEMANA DEL 21AL 28-3'!#REF!+#REF!</f>
        <v>#REF!</v>
      </c>
      <c r="BW6" s="203" t="e">
        <f>+'SEMANA DEL 2 AL 7-3-26'!BW7+'SEMANA DEL 7 AL 14'!#REF!+'SEMANA DEL 14 AL 21 '!#REF!+'SEMANA DEL 21AL 28-3'!#REF!+#REF!</f>
        <v>#REF!</v>
      </c>
      <c r="BX6" s="203" t="e">
        <f>+'SEMANA DEL 2 AL 7-3-26'!BX7+'SEMANA DEL 7 AL 14'!#REF!+'SEMANA DEL 14 AL 21 '!#REF!+'SEMANA DEL 21AL 28-3'!#REF!+#REF!</f>
        <v>#REF!</v>
      </c>
      <c r="BY6" s="203" t="e">
        <f>+'SEMANA DEL 2 AL 7-3-26'!BY7+'SEMANA DEL 7 AL 14'!#REF!+'SEMANA DEL 14 AL 21 '!#REF!+'SEMANA DEL 21AL 28-3'!#REF!+#REF!</f>
        <v>#REF!</v>
      </c>
      <c r="BZ6" s="203" t="e">
        <f>+'SEMANA DEL 2 AL 7-3-26'!BZ7+'SEMANA DEL 7 AL 14'!#REF!+'SEMANA DEL 14 AL 21 '!#REF!+'SEMANA DEL 21AL 28-3'!#REF!+#REF!</f>
        <v>#REF!</v>
      </c>
      <c r="CA6" s="203" t="e">
        <f>+'SEMANA DEL 2 AL 7-3-26'!CA7+'SEMANA DEL 7 AL 14'!#REF!+'SEMANA DEL 14 AL 21 '!#REF!+'SEMANA DEL 21AL 28-3'!#REF!+#REF!</f>
        <v>#REF!</v>
      </c>
      <c r="CB6" s="203" t="e">
        <f>+'SEMANA DEL 2 AL 7-3-26'!CB7+'SEMANA DEL 7 AL 14'!#REF!+'SEMANA DEL 14 AL 21 '!#REF!+'SEMANA DEL 21AL 28-3'!#REF!+#REF!</f>
        <v>#REF!</v>
      </c>
      <c r="CC6" s="203" t="e">
        <f>+'SEMANA DEL 2 AL 7-3-26'!CC7+'SEMANA DEL 7 AL 14'!#REF!+'SEMANA DEL 14 AL 21 '!#REF!+'SEMANA DEL 21AL 28-3'!#REF!+#REF!</f>
        <v>#REF!</v>
      </c>
      <c r="CD6" s="203" t="e">
        <f>+'SEMANA DEL 2 AL 7-3-26'!CD7+'SEMANA DEL 7 AL 14'!#REF!+'SEMANA DEL 14 AL 21 '!#REF!+'SEMANA DEL 21AL 28-3'!#REF!+#REF!</f>
        <v>#REF!</v>
      </c>
      <c r="CE6" s="203" t="e">
        <f>+'SEMANA DEL 2 AL 7-3-26'!CE7+'SEMANA DEL 7 AL 14'!#REF!+'SEMANA DEL 14 AL 21 '!#REF!+'SEMANA DEL 21AL 28-3'!#REF!+#REF!</f>
        <v>#REF!</v>
      </c>
      <c r="CF6" s="203" t="e">
        <f>+'SEMANA DEL 2 AL 7-3-26'!CF7+'SEMANA DEL 7 AL 14'!#REF!+'SEMANA DEL 14 AL 21 '!#REF!+'SEMANA DEL 21AL 28-3'!#REF!+#REF!</f>
        <v>#REF!</v>
      </c>
      <c r="CG6" s="203" t="e">
        <f>+'SEMANA DEL 2 AL 7-3-26'!CG7+'SEMANA DEL 7 AL 14'!#REF!+'SEMANA DEL 14 AL 21 '!#REF!+'SEMANA DEL 21AL 28-3'!#REF!+#REF!</f>
        <v>#REF!</v>
      </c>
      <c r="CH6" s="203" t="e">
        <f>+'SEMANA DEL 2 AL 7-3-26'!CH7+'SEMANA DEL 7 AL 14'!#REF!+'SEMANA DEL 14 AL 21 '!#REF!+'SEMANA DEL 21AL 28-3'!#REF!+#REF!</f>
        <v>#REF!</v>
      </c>
      <c r="CI6" s="203" t="e">
        <f>+'SEMANA DEL 2 AL 7-3-26'!CI7+'SEMANA DEL 7 AL 14'!#REF!+'SEMANA DEL 14 AL 21 '!#REF!+'SEMANA DEL 21AL 28-3'!#REF!+#REF!</f>
        <v>#REF!</v>
      </c>
    </row>
    <row r="7" spans="1:87" x14ac:dyDescent="0.2">
      <c r="A7" s="34" t="e">
        <f>+'SEMANA DEL 2 AL 7-3-26'!#REF!</f>
        <v>#REF!</v>
      </c>
      <c r="B7" s="203" t="e">
        <f>+'SEMANA DEL 2 AL 7-3-26'!#REF!</f>
        <v>#REF!</v>
      </c>
      <c r="C7" s="203" t="e">
        <f>+'SEMANA DEL 2 AL 7-3-26'!#REF!</f>
        <v>#REF!</v>
      </c>
      <c r="D7" s="203" t="e">
        <f>+'SEMANA DEL 2 AL 7-3-26'!#REF!</f>
        <v>#REF!</v>
      </c>
      <c r="E7" s="203" t="e">
        <f>+'SEMANA DEL 2 AL 7-3-26'!#REF!</f>
        <v>#REF!</v>
      </c>
      <c r="F7" s="203" t="e">
        <f>+'SEMANA DEL 2 AL 7-3-26'!#REF!</f>
        <v>#REF!</v>
      </c>
      <c r="G7" s="203" t="e">
        <f>+'SEMANA DEL 2 AL 7-3-26'!#REF!</f>
        <v>#REF!</v>
      </c>
      <c r="H7" s="203" t="e">
        <f>+'SEMANA DEL 2 AL 7-3-26'!#REF!</f>
        <v>#REF!</v>
      </c>
      <c r="I7" s="203" t="e">
        <f>+'SEMANA DEL 2 AL 7-3-26'!#REF!</f>
        <v>#REF!</v>
      </c>
      <c r="J7" s="203" t="e">
        <f>+'SEMANA DEL 2 AL 7-3-26'!#REF!</f>
        <v>#REF!</v>
      </c>
      <c r="K7" s="203" t="e">
        <f>+'SEMANA DEL 2 AL 7-3-26'!#REF!</f>
        <v>#REF!</v>
      </c>
      <c r="L7" s="203" t="e">
        <f>+'SEMANA DEL 2 AL 7-3-26'!#REF!</f>
        <v>#REF!</v>
      </c>
      <c r="M7" s="203" t="e">
        <f>+'SEMANA DEL 2 AL 7-3-26'!#REF!</f>
        <v>#REF!</v>
      </c>
      <c r="N7" s="203" t="e">
        <f>+'SEMANA DEL 2 AL 7-3-26'!#REF!</f>
        <v>#REF!</v>
      </c>
      <c r="O7" s="203" t="e">
        <f>+'SEMANA DEL 2 AL 7-3-26'!#REF!</f>
        <v>#REF!</v>
      </c>
      <c r="P7" s="203" t="e">
        <f>+'SEMANA DEL 2 AL 7-3-26'!#REF!</f>
        <v>#REF!</v>
      </c>
      <c r="Q7" s="203" t="e">
        <f>+'SEMANA DEL 2 AL 7-3-26'!#REF!</f>
        <v>#REF!</v>
      </c>
      <c r="R7" s="203" t="e">
        <f>+'SEMANA DEL 2 AL 7-3-26'!#REF!+'SEMANA DEL 7 AL 14'!R9+'SEMANA DEL 14 AL 21 '!R9+'SEMANA DEL 21AL 28-3'!R11+#REF!</f>
        <v>#REF!</v>
      </c>
      <c r="S7" s="203" t="e">
        <f>+'SEMANA DEL 2 AL 7-3-26'!#REF!+'SEMANA DEL 7 AL 14'!S9+'SEMANA DEL 14 AL 21 '!S9+'SEMANA DEL 21AL 28-3'!S11+#REF!</f>
        <v>#REF!</v>
      </c>
      <c r="T7" s="203" t="e">
        <f>+'SEMANA DEL 2 AL 7-3-26'!#REF!+'SEMANA DEL 7 AL 14'!T9+'SEMANA DEL 14 AL 21 '!T9+'SEMANA DEL 21AL 28-3'!T11+#REF!</f>
        <v>#REF!</v>
      </c>
      <c r="U7" s="203" t="e">
        <f>+'SEMANA DEL 2 AL 7-3-26'!#REF!+'SEMANA DEL 7 AL 14'!U9+'SEMANA DEL 14 AL 21 '!U9+'SEMANA DEL 21AL 28-3'!U11+#REF!</f>
        <v>#REF!</v>
      </c>
      <c r="V7" s="203" t="e">
        <f>+'SEMANA DEL 2 AL 7-3-26'!#REF!+'SEMANA DEL 7 AL 14'!V9+'SEMANA DEL 14 AL 21 '!V9+'SEMANA DEL 21AL 28-3'!V11+#REF!</f>
        <v>#REF!</v>
      </c>
      <c r="W7" s="203" t="e">
        <f>+'SEMANA DEL 2 AL 7-3-26'!#REF!+'SEMANA DEL 7 AL 14'!W9+'SEMANA DEL 14 AL 21 '!W9+'SEMANA DEL 21AL 28-3'!W11+#REF!</f>
        <v>#REF!</v>
      </c>
      <c r="X7" s="203" t="e">
        <f>+'SEMANA DEL 2 AL 7-3-26'!#REF!+'SEMANA DEL 7 AL 14'!X9+'SEMANA DEL 14 AL 21 '!X9+'SEMANA DEL 21AL 28-3'!X11+#REF!</f>
        <v>#REF!</v>
      </c>
      <c r="Y7" s="203" t="e">
        <f>+'SEMANA DEL 2 AL 7-3-26'!#REF!+'SEMANA DEL 7 AL 14'!Y9+'SEMANA DEL 14 AL 21 '!Y9+'SEMANA DEL 21AL 28-3'!Y11+#REF!</f>
        <v>#REF!</v>
      </c>
      <c r="Z7" s="203" t="e">
        <f>+'SEMANA DEL 2 AL 7-3-26'!#REF!+'SEMANA DEL 7 AL 14'!Z9+'SEMANA DEL 14 AL 21 '!Z9+'SEMANA DEL 21AL 28-3'!Z11+#REF!</f>
        <v>#REF!</v>
      </c>
      <c r="AA7" s="203" t="e">
        <f>+'SEMANA DEL 2 AL 7-3-26'!#REF!+'SEMANA DEL 7 AL 14'!AA9+'SEMANA DEL 14 AL 21 '!AA9+'SEMANA DEL 21AL 28-3'!AA11+#REF!</f>
        <v>#REF!</v>
      </c>
      <c r="AB7" s="203" t="e">
        <f>+'SEMANA DEL 2 AL 7-3-26'!#REF!+'SEMANA DEL 7 AL 14'!AB9+'SEMANA DEL 14 AL 21 '!AB9+'SEMANA DEL 21AL 28-3'!AB11+#REF!</f>
        <v>#REF!</v>
      </c>
      <c r="AC7" s="203" t="e">
        <f>+'SEMANA DEL 2 AL 7-3-26'!#REF!+'SEMANA DEL 7 AL 14'!AC9+'SEMANA DEL 14 AL 21 '!AC9+'SEMANA DEL 21AL 28-3'!AC11+#REF!</f>
        <v>#REF!</v>
      </c>
      <c r="AD7" s="203" t="e">
        <f>+'SEMANA DEL 2 AL 7-3-26'!#REF!+'SEMANA DEL 7 AL 14'!AD9+'SEMANA DEL 14 AL 21 '!AD9+'SEMANA DEL 21AL 28-3'!AD11+#REF!</f>
        <v>#REF!</v>
      </c>
      <c r="AE7" s="203" t="e">
        <f>+'SEMANA DEL 2 AL 7-3-26'!#REF!+'SEMANA DEL 7 AL 14'!AE9+'SEMANA DEL 14 AL 21 '!AE9+'SEMANA DEL 21AL 28-3'!AE11+#REF!</f>
        <v>#REF!</v>
      </c>
      <c r="AF7" s="203" t="e">
        <f>+'SEMANA DEL 2 AL 7-3-26'!#REF!+'SEMANA DEL 7 AL 14'!AF9+'SEMANA DEL 14 AL 21 '!AF9+'SEMANA DEL 21AL 28-3'!AF11+#REF!</f>
        <v>#REF!</v>
      </c>
      <c r="AG7" s="203" t="e">
        <f>+'SEMANA DEL 2 AL 7-3-26'!#REF!+'SEMANA DEL 7 AL 14'!AG9+'SEMANA DEL 14 AL 21 '!AG9+'SEMANA DEL 21AL 28-3'!AG11+#REF!</f>
        <v>#REF!</v>
      </c>
      <c r="AH7" s="203" t="e">
        <f>+'SEMANA DEL 2 AL 7-3-26'!#REF!+'SEMANA DEL 7 AL 14'!AH9+'SEMANA DEL 14 AL 21 '!AH9+'SEMANA DEL 21AL 28-3'!AH11+#REF!</f>
        <v>#REF!</v>
      </c>
      <c r="AI7" s="203" t="e">
        <f>+'SEMANA DEL 2 AL 7-3-26'!#REF!+'SEMANA DEL 7 AL 14'!AI9+'SEMANA DEL 14 AL 21 '!AI9+'SEMANA DEL 21AL 28-3'!AI11+#REF!</f>
        <v>#REF!</v>
      </c>
      <c r="AJ7" s="203" t="e">
        <f>+'SEMANA DEL 2 AL 7-3-26'!#REF!+'SEMANA DEL 7 AL 14'!AJ9+'SEMANA DEL 14 AL 21 '!AJ9+'SEMANA DEL 21AL 28-3'!AJ11+#REF!</f>
        <v>#REF!</v>
      </c>
      <c r="AK7" s="203" t="e">
        <f>+'SEMANA DEL 2 AL 7-3-26'!#REF!+'SEMANA DEL 7 AL 14'!AK9+'SEMANA DEL 14 AL 21 '!AK9+'SEMANA DEL 21AL 28-3'!AK11+#REF!</f>
        <v>#REF!</v>
      </c>
      <c r="AL7" s="203" t="e">
        <f>+'SEMANA DEL 2 AL 7-3-26'!#REF!+'SEMANA DEL 7 AL 14'!AL9+'SEMANA DEL 14 AL 21 '!AL9+'SEMANA DEL 21AL 28-3'!AL11+#REF!</f>
        <v>#REF!</v>
      </c>
      <c r="AM7" s="203" t="e">
        <f>+'SEMANA DEL 2 AL 7-3-26'!#REF!+'SEMANA DEL 7 AL 14'!AM9+'SEMANA DEL 14 AL 21 '!AM9+'SEMANA DEL 21AL 28-3'!AM11+#REF!</f>
        <v>#REF!</v>
      </c>
      <c r="AN7" s="203" t="e">
        <f>+'SEMANA DEL 2 AL 7-3-26'!#REF!+'SEMANA DEL 7 AL 14'!AN9+'SEMANA DEL 14 AL 21 '!AN9+'SEMANA DEL 21AL 28-3'!AN11+#REF!</f>
        <v>#REF!</v>
      </c>
      <c r="AO7" s="203" t="e">
        <f>+'SEMANA DEL 2 AL 7-3-26'!#REF!+'SEMANA DEL 7 AL 14'!AO9+'SEMANA DEL 14 AL 21 '!AO9+'SEMANA DEL 21AL 28-3'!AO11+#REF!</f>
        <v>#REF!</v>
      </c>
      <c r="AP7" s="203" t="e">
        <f>+'SEMANA DEL 2 AL 7-3-26'!#REF!+'SEMANA DEL 7 AL 14'!AP9+'SEMANA DEL 14 AL 21 '!AP9+'SEMANA DEL 21AL 28-3'!AP11+#REF!</f>
        <v>#REF!</v>
      </c>
      <c r="AQ7" s="203" t="e">
        <f>+'SEMANA DEL 2 AL 7-3-26'!#REF!+'SEMANA DEL 7 AL 14'!AQ9+'SEMANA DEL 14 AL 21 '!AQ9+'SEMANA DEL 21AL 28-3'!AQ11+#REF!</f>
        <v>#REF!</v>
      </c>
      <c r="AR7" s="203" t="e">
        <f>+'SEMANA DEL 2 AL 7-3-26'!#REF!+'SEMANA DEL 7 AL 14'!AR9+'SEMANA DEL 14 AL 21 '!AR9+'SEMANA DEL 21AL 28-3'!AR11+#REF!</f>
        <v>#REF!</v>
      </c>
      <c r="AS7" s="203" t="e">
        <f>+'SEMANA DEL 2 AL 7-3-26'!#REF!+'SEMANA DEL 7 AL 14'!AS9+'SEMANA DEL 14 AL 21 '!AS9+'SEMANA DEL 21AL 28-3'!AS11+#REF!</f>
        <v>#REF!</v>
      </c>
      <c r="AT7" s="203" t="e">
        <f>+'SEMANA DEL 2 AL 7-3-26'!#REF!+'SEMANA DEL 7 AL 14'!AT9+'SEMANA DEL 14 AL 21 '!AT9+'SEMANA DEL 21AL 28-3'!AT11+#REF!</f>
        <v>#REF!</v>
      </c>
      <c r="AU7" s="203" t="e">
        <f>+'SEMANA DEL 2 AL 7-3-26'!#REF!+'SEMANA DEL 7 AL 14'!AU9+'SEMANA DEL 14 AL 21 '!AU9+'SEMANA DEL 21AL 28-3'!AU11+#REF!</f>
        <v>#REF!</v>
      </c>
      <c r="AV7" s="203" t="e">
        <f>+'SEMANA DEL 2 AL 7-3-26'!#REF!+'SEMANA DEL 7 AL 14'!AV9+'SEMANA DEL 14 AL 21 '!AV9+'SEMANA DEL 21AL 28-3'!AV11+#REF!</f>
        <v>#REF!</v>
      </c>
      <c r="AW7" s="203" t="e">
        <f>+'SEMANA DEL 2 AL 7-3-26'!#REF!+'SEMANA DEL 7 AL 14'!AW9+'SEMANA DEL 14 AL 21 '!AW9+'SEMANA DEL 21AL 28-3'!AW11+#REF!</f>
        <v>#REF!</v>
      </c>
      <c r="AX7" s="203" t="e">
        <f t="shared" si="1"/>
        <v>#REF!</v>
      </c>
      <c r="AY7" s="203" t="e">
        <f t="shared" si="2"/>
        <v>#REF!</v>
      </c>
      <c r="AZ7" s="203" t="e">
        <f t="shared" si="3"/>
        <v>#REF!</v>
      </c>
      <c r="BA7" s="203" t="e">
        <f t="shared" si="4"/>
        <v>#REF!</v>
      </c>
      <c r="BB7" s="203" t="e">
        <f t="shared" si="5"/>
        <v>#REF!</v>
      </c>
      <c r="BC7" s="203" t="e">
        <f t="shared" si="6"/>
        <v>#REF!</v>
      </c>
      <c r="BD7" s="203" t="e">
        <f t="shared" si="7"/>
        <v>#REF!</v>
      </c>
      <c r="BE7" s="203" t="e">
        <f t="shared" si="8"/>
        <v>#REF!</v>
      </c>
      <c r="BF7" s="203" t="e">
        <f t="shared" si="9"/>
        <v>#REF!</v>
      </c>
      <c r="BG7" s="203" t="e">
        <f t="shared" si="10"/>
        <v>#REF!</v>
      </c>
      <c r="BH7" s="203" t="e">
        <f t="shared" si="11"/>
        <v>#REF!</v>
      </c>
      <c r="BI7" s="203" t="e">
        <f t="shared" si="12"/>
        <v>#REF!</v>
      </c>
      <c r="BJ7" s="203" t="e">
        <f t="shared" si="13"/>
        <v>#REF!</v>
      </c>
      <c r="BK7" s="203" t="e">
        <f t="shared" si="14"/>
        <v>#REF!</v>
      </c>
      <c r="BL7" s="203" t="e">
        <f t="shared" si="15"/>
        <v>#REF!</v>
      </c>
      <c r="BM7" s="203" t="e">
        <f t="shared" si="16"/>
        <v>#REF!</v>
      </c>
      <c r="BN7" s="203" t="e">
        <f>+'SEMANA DEL 2 AL 7-3-26'!#REF!+'SEMANA DEL 7 AL 14'!BN9+'SEMANA DEL 14 AL 21 '!BN9+'SEMANA DEL 21AL 28-3'!BN11+#REF!</f>
        <v>#REF!</v>
      </c>
      <c r="BO7" s="203" t="e">
        <f>+'SEMANA DEL 2 AL 7-3-26'!#REF!+'SEMANA DEL 7 AL 14'!BO9+'SEMANA DEL 14 AL 21 '!BO9+'SEMANA DEL 21AL 28-3'!BO11+#REF!</f>
        <v>#REF!</v>
      </c>
      <c r="BP7" s="203" t="e">
        <f>+'SEMANA DEL 2 AL 7-3-26'!#REF!+'SEMANA DEL 7 AL 14'!BP9+'SEMANA DEL 14 AL 21 '!BP9+'SEMANA DEL 21AL 28-3'!BP11+#REF!</f>
        <v>#REF!</v>
      </c>
      <c r="BQ7" s="203" t="e">
        <f>+'SEMANA DEL 2 AL 7-3-26'!#REF!+'SEMANA DEL 7 AL 14'!BQ9+'SEMANA DEL 14 AL 21 '!BQ9+'SEMANA DEL 21AL 28-3'!BQ11+#REF!</f>
        <v>#REF!</v>
      </c>
      <c r="BR7" s="203" t="e">
        <f>+'SEMANA DEL 2 AL 7-3-26'!#REF!+'SEMANA DEL 7 AL 14'!BR9+'SEMANA DEL 14 AL 21 '!BR9+'SEMANA DEL 21AL 28-3'!BR11+#REF!</f>
        <v>#REF!</v>
      </c>
      <c r="BS7" s="203" t="e">
        <f>+'SEMANA DEL 2 AL 7-3-26'!#REF!+'SEMANA DEL 7 AL 14'!BS9+'SEMANA DEL 14 AL 21 '!BS9+'SEMANA DEL 21AL 28-3'!BS11+#REF!</f>
        <v>#REF!</v>
      </c>
      <c r="BT7" s="203" t="e">
        <f>+'SEMANA DEL 2 AL 7-3-26'!#REF!+'SEMANA DEL 7 AL 14'!BT9+'SEMANA DEL 14 AL 21 '!BT9+'SEMANA DEL 21AL 28-3'!BT11+#REF!</f>
        <v>#REF!</v>
      </c>
      <c r="BU7" s="203" t="e">
        <f>+'SEMANA DEL 2 AL 7-3-26'!#REF!+'SEMANA DEL 7 AL 14'!BU9+'SEMANA DEL 14 AL 21 '!BU9+'SEMANA DEL 21AL 28-3'!BU11+#REF!</f>
        <v>#REF!</v>
      </c>
      <c r="BV7" s="203" t="e">
        <f>+'SEMANA DEL 2 AL 7-3-26'!#REF!+'SEMANA DEL 7 AL 14'!BV9+'SEMANA DEL 14 AL 21 '!BV9+'SEMANA DEL 21AL 28-3'!BV11+#REF!</f>
        <v>#REF!</v>
      </c>
      <c r="BW7" s="203" t="e">
        <f>+'SEMANA DEL 2 AL 7-3-26'!#REF!+'SEMANA DEL 7 AL 14'!BW9+'SEMANA DEL 14 AL 21 '!BW9+'SEMANA DEL 21AL 28-3'!BW11+#REF!</f>
        <v>#REF!</v>
      </c>
      <c r="BX7" s="203" t="e">
        <f>+'SEMANA DEL 2 AL 7-3-26'!#REF!+'SEMANA DEL 7 AL 14'!BX9+'SEMANA DEL 14 AL 21 '!BX9+'SEMANA DEL 21AL 28-3'!BX11+#REF!</f>
        <v>#REF!</v>
      </c>
      <c r="BY7" s="203" t="e">
        <f>+'SEMANA DEL 2 AL 7-3-26'!#REF!+'SEMANA DEL 7 AL 14'!BY9+'SEMANA DEL 14 AL 21 '!BY9+'SEMANA DEL 21AL 28-3'!BY11+#REF!</f>
        <v>#REF!</v>
      </c>
      <c r="BZ7" s="203" t="e">
        <f>+'SEMANA DEL 2 AL 7-3-26'!#REF!+'SEMANA DEL 7 AL 14'!BZ9+'SEMANA DEL 14 AL 21 '!BZ9+'SEMANA DEL 21AL 28-3'!BZ11+#REF!</f>
        <v>#REF!</v>
      </c>
      <c r="CA7" s="203" t="e">
        <f>+'SEMANA DEL 2 AL 7-3-26'!#REF!+'SEMANA DEL 7 AL 14'!CA9+'SEMANA DEL 14 AL 21 '!CA9+'SEMANA DEL 21AL 28-3'!CA11+#REF!</f>
        <v>#REF!</v>
      </c>
      <c r="CB7" s="203" t="e">
        <f>+'SEMANA DEL 2 AL 7-3-26'!#REF!+'SEMANA DEL 7 AL 14'!CB9+'SEMANA DEL 14 AL 21 '!CB9+'SEMANA DEL 21AL 28-3'!CB11+#REF!</f>
        <v>#REF!</v>
      </c>
      <c r="CC7" s="203" t="e">
        <f>+'SEMANA DEL 2 AL 7-3-26'!#REF!+'SEMANA DEL 7 AL 14'!CC9+'SEMANA DEL 14 AL 21 '!CC9+'SEMANA DEL 21AL 28-3'!CC11+#REF!</f>
        <v>#REF!</v>
      </c>
      <c r="CD7" s="203" t="e">
        <f>+'SEMANA DEL 2 AL 7-3-26'!#REF!+'SEMANA DEL 7 AL 14'!CD9+'SEMANA DEL 14 AL 21 '!CD9+'SEMANA DEL 21AL 28-3'!CD11+#REF!</f>
        <v>#REF!</v>
      </c>
      <c r="CE7" s="203" t="e">
        <f>+'SEMANA DEL 2 AL 7-3-26'!#REF!+'SEMANA DEL 7 AL 14'!CE9+'SEMANA DEL 14 AL 21 '!CE9+'SEMANA DEL 21AL 28-3'!CE11+#REF!</f>
        <v>#REF!</v>
      </c>
      <c r="CF7" s="203" t="e">
        <f>+'SEMANA DEL 2 AL 7-3-26'!#REF!+'SEMANA DEL 7 AL 14'!CF9+'SEMANA DEL 14 AL 21 '!CF9+'SEMANA DEL 21AL 28-3'!CF11+#REF!</f>
        <v>#REF!</v>
      </c>
      <c r="CG7" s="203" t="e">
        <f>+'SEMANA DEL 2 AL 7-3-26'!#REF!+'SEMANA DEL 7 AL 14'!CG9+'SEMANA DEL 14 AL 21 '!CG9+'SEMANA DEL 21AL 28-3'!CG11+#REF!</f>
        <v>#REF!</v>
      </c>
      <c r="CH7" s="203" t="e">
        <f>+'SEMANA DEL 2 AL 7-3-26'!#REF!+'SEMANA DEL 7 AL 14'!CH9+'SEMANA DEL 14 AL 21 '!CH9+'SEMANA DEL 21AL 28-3'!CH11+#REF!</f>
        <v>#REF!</v>
      </c>
      <c r="CI7" s="203" t="e">
        <f>+'SEMANA DEL 2 AL 7-3-26'!#REF!+'SEMANA DEL 7 AL 14'!CI9+'SEMANA DEL 14 AL 21 '!CI9+'SEMANA DEL 21AL 28-3'!CI11+#REF!</f>
        <v>#REF!</v>
      </c>
    </row>
    <row r="8" spans="1:87" x14ac:dyDescent="0.2">
      <c r="A8" s="34" t="e">
        <f>+'SEMANA DEL 2 AL 7-3-26'!#REF!</f>
        <v>#REF!</v>
      </c>
      <c r="B8" s="203" t="e">
        <f>+'SEMANA DEL 2 AL 7-3-26'!#REF!</f>
        <v>#REF!</v>
      </c>
      <c r="C8" s="203" t="e">
        <f>+'SEMANA DEL 2 AL 7-3-26'!#REF!</f>
        <v>#REF!</v>
      </c>
      <c r="D8" s="203" t="e">
        <f>+'SEMANA DEL 2 AL 7-3-26'!#REF!</f>
        <v>#REF!</v>
      </c>
      <c r="E8" s="203" t="e">
        <f>+'SEMANA DEL 2 AL 7-3-26'!#REF!</f>
        <v>#REF!</v>
      </c>
      <c r="F8" s="203" t="e">
        <f>+'SEMANA DEL 2 AL 7-3-26'!#REF!</f>
        <v>#REF!</v>
      </c>
      <c r="G8" s="203" t="e">
        <f>+'SEMANA DEL 2 AL 7-3-26'!#REF!</f>
        <v>#REF!</v>
      </c>
      <c r="H8" s="203" t="e">
        <f>+'SEMANA DEL 2 AL 7-3-26'!#REF!</f>
        <v>#REF!</v>
      </c>
      <c r="I8" s="203" t="e">
        <f>+'SEMANA DEL 2 AL 7-3-26'!#REF!</f>
        <v>#REF!</v>
      </c>
      <c r="J8" s="203" t="e">
        <f>+'SEMANA DEL 2 AL 7-3-26'!#REF!</f>
        <v>#REF!</v>
      </c>
      <c r="K8" s="203" t="e">
        <f>+'SEMANA DEL 2 AL 7-3-26'!#REF!</f>
        <v>#REF!</v>
      </c>
      <c r="L8" s="203" t="e">
        <f>+'SEMANA DEL 2 AL 7-3-26'!#REF!</f>
        <v>#REF!</v>
      </c>
      <c r="M8" s="203" t="e">
        <f>+'SEMANA DEL 2 AL 7-3-26'!#REF!</f>
        <v>#REF!</v>
      </c>
      <c r="N8" s="203" t="e">
        <f>+'SEMANA DEL 2 AL 7-3-26'!#REF!</f>
        <v>#REF!</v>
      </c>
      <c r="O8" s="203" t="e">
        <f>+'SEMANA DEL 2 AL 7-3-26'!#REF!</f>
        <v>#REF!</v>
      </c>
      <c r="P8" s="203" t="e">
        <f>+'SEMANA DEL 2 AL 7-3-26'!#REF!</f>
        <v>#REF!</v>
      </c>
      <c r="Q8" s="203" t="e">
        <f>+'SEMANA DEL 2 AL 7-3-26'!#REF!</f>
        <v>#REF!</v>
      </c>
      <c r="R8" s="203" t="e">
        <f>+'SEMANA DEL 2 AL 7-3-26'!#REF!+'SEMANA DEL 7 AL 14'!R10+'SEMANA DEL 14 AL 21 '!R10+'SEMANA DEL 21AL 28-3'!R12+#REF!</f>
        <v>#REF!</v>
      </c>
      <c r="S8" s="203" t="e">
        <f>+'SEMANA DEL 2 AL 7-3-26'!#REF!+'SEMANA DEL 7 AL 14'!S10+'SEMANA DEL 14 AL 21 '!S10+'SEMANA DEL 21AL 28-3'!S12+#REF!</f>
        <v>#REF!</v>
      </c>
      <c r="T8" s="203" t="e">
        <f>+'SEMANA DEL 2 AL 7-3-26'!#REF!+'SEMANA DEL 7 AL 14'!T10+'SEMANA DEL 14 AL 21 '!T10+'SEMANA DEL 21AL 28-3'!T12+#REF!</f>
        <v>#REF!</v>
      </c>
      <c r="U8" s="203" t="e">
        <f>+'SEMANA DEL 2 AL 7-3-26'!#REF!+'SEMANA DEL 7 AL 14'!U10+'SEMANA DEL 14 AL 21 '!U10+'SEMANA DEL 21AL 28-3'!U12+#REF!</f>
        <v>#REF!</v>
      </c>
      <c r="V8" s="203" t="e">
        <f>+'SEMANA DEL 2 AL 7-3-26'!#REF!+'SEMANA DEL 7 AL 14'!V10+'SEMANA DEL 14 AL 21 '!V10+'SEMANA DEL 21AL 28-3'!V12+#REF!</f>
        <v>#REF!</v>
      </c>
      <c r="W8" s="203" t="e">
        <f>+'SEMANA DEL 2 AL 7-3-26'!#REF!+'SEMANA DEL 7 AL 14'!W10+'SEMANA DEL 14 AL 21 '!W10+'SEMANA DEL 21AL 28-3'!W12+#REF!</f>
        <v>#REF!</v>
      </c>
      <c r="X8" s="203" t="e">
        <f>+'SEMANA DEL 2 AL 7-3-26'!#REF!+'SEMANA DEL 7 AL 14'!X10+'SEMANA DEL 14 AL 21 '!X10+'SEMANA DEL 21AL 28-3'!X12+#REF!</f>
        <v>#REF!</v>
      </c>
      <c r="Y8" s="203" t="e">
        <f>+'SEMANA DEL 2 AL 7-3-26'!#REF!+'SEMANA DEL 7 AL 14'!Y10+'SEMANA DEL 14 AL 21 '!Y10+'SEMANA DEL 21AL 28-3'!Y12+#REF!</f>
        <v>#REF!</v>
      </c>
      <c r="Z8" s="203" t="e">
        <f>+'SEMANA DEL 2 AL 7-3-26'!#REF!+'SEMANA DEL 7 AL 14'!Z10+'SEMANA DEL 14 AL 21 '!Z10+'SEMANA DEL 21AL 28-3'!Z12+#REF!</f>
        <v>#REF!</v>
      </c>
      <c r="AA8" s="203" t="e">
        <f>+'SEMANA DEL 2 AL 7-3-26'!#REF!+'SEMANA DEL 7 AL 14'!AA10+'SEMANA DEL 14 AL 21 '!AA10+'SEMANA DEL 21AL 28-3'!AA12+#REF!</f>
        <v>#REF!</v>
      </c>
      <c r="AB8" s="203" t="e">
        <f>+'SEMANA DEL 2 AL 7-3-26'!#REF!+'SEMANA DEL 7 AL 14'!AB10+'SEMANA DEL 14 AL 21 '!AB10+'SEMANA DEL 21AL 28-3'!AB12+#REF!</f>
        <v>#REF!</v>
      </c>
      <c r="AC8" s="203" t="e">
        <f>+'SEMANA DEL 2 AL 7-3-26'!#REF!+'SEMANA DEL 7 AL 14'!AC10+'SEMANA DEL 14 AL 21 '!AC10+'SEMANA DEL 21AL 28-3'!AC12+#REF!</f>
        <v>#REF!</v>
      </c>
      <c r="AD8" s="203" t="e">
        <f>+'SEMANA DEL 2 AL 7-3-26'!#REF!+'SEMANA DEL 7 AL 14'!AD10+'SEMANA DEL 14 AL 21 '!AD10+'SEMANA DEL 21AL 28-3'!AD12+#REF!</f>
        <v>#REF!</v>
      </c>
      <c r="AE8" s="203" t="e">
        <f>+'SEMANA DEL 2 AL 7-3-26'!#REF!+'SEMANA DEL 7 AL 14'!AE10+'SEMANA DEL 14 AL 21 '!AE10+'SEMANA DEL 21AL 28-3'!AE12+#REF!</f>
        <v>#REF!</v>
      </c>
      <c r="AF8" s="203" t="e">
        <f>+'SEMANA DEL 2 AL 7-3-26'!#REF!+'SEMANA DEL 7 AL 14'!AF10+'SEMANA DEL 14 AL 21 '!AF10+'SEMANA DEL 21AL 28-3'!AF12+#REF!</f>
        <v>#REF!</v>
      </c>
      <c r="AG8" s="203" t="e">
        <f>+'SEMANA DEL 2 AL 7-3-26'!#REF!+'SEMANA DEL 7 AL 14'!AG10+'SEMANA DEL 14 AL 21 '!AG10+'SEMANA DEL 21AL 28-3'!AG12+#REF!</f>
        <v>#REF!</v>
      </c>
      <c r="AH8" s="203" t="e">
        <f>+'SEMANA DEL 2 AL 7-3-26'!#REF!+'SEMANA DEL 7 AL 14'!AH10+'SEMANA DEL 14 AL 21 '!AH10+'SEMANA DEL 21AL 28-3'!AH12+#REF!</f>
        <v>#REF!</v>
      </c>
      <c r="AI8" s="203" t="e">
        <f>+'SEMANA DEL 2 AL 7-3-26'!#REF!+'SEMANA DEL 7 AL 14'!AI10+'SEMANA DEL 14 AL 21 '!AI10+'SEMANA DEL 21AL 28-3'!AI12+#REF!</f>
        <v>#REF!</v>
      </c>
      <c r="AJ8" s="203" t="e">
        <f>+'SEMANA DEL 2 AL 7-3-26'!#REF!+'SEMANA DEL 7 AL 14'!AJ10+'SEMANA DEL 14 AL 21 '!AJ10+'SEMANA DEL 21AL 28-3'!AJ12+#REF!</f>
        <v>#REF!</v>
      </c>
      <c r="AK8" s="203" t="e">
        <f>+'SEMANA DEL 2 AL 7-3-26'!#REF!+'SEMANA DEL 7 AL 14'!AK10+'SEMANA DEL 14 AL 21 '!AK10+'SEMANA DEL 21AL 28-3'!AK12+#REF!</f>
        <v>#REF!</v>
      </c>
      <c r="AL8" s="203" t="e">
        <f>+'SEMANA DEL 2 AL 7-3-26'!#REF!+'SEMANA DEL 7 AL 14'!AL10+'SEMANA DEL 14 AL 21 '!AL10+'SEMANA DEL 21AL 28-3'!AL12+#REF!</f>
        <v>#REF!</v>
      </c>
      <c r="AM8" s="203" t="e">
        <f>+'SEMANA DEL 2 AL 7-3-26'!#REF!+'SEMANA DEL 7 AL 14'!AM10+'SEMANA DEL 14 AL 21 '!AM10+'SEMANA DEL 21AL 28-3'!AM12+#REF!</f>
        <v>#REF!</v>
      </c>
      <c r="AN8" s="203" t="e">
        <f>+'SEMANA DEL 2 AL 7-3-26'!#REF!+'SEMANA DEL 7 AL 14'!AN10+'SEMANA DEL 14 AL 21 '!AN10+'SEMANA DEL 21AL 28-3'!AN12+#REF!</f>
        <v>#REF!</v>
      </c>
      <c r="AO8" s="203" t="e">
        <f>+'SEMANA DEL 2 AL 7-3-26'!#REF!+'SEMANA DEL 7 AL 14'!AO10+'SEMANA DEL 14 AL 21 '!AO10+'SEMANA DEL 21AL 28-3'!AO12+#REF!</f>
        <v>#REF!</v>
      </c>
      <c r="AP8" s="203" t="e">
        <f>+'SEMANA DEL 2 AL 7-3-26'!#REF!+'SEMANA DEL 7 AL 14'!AP10+'SEMANA DEL 14 AL 21 '!AP10+'SEMANA DEL 21AL 28-3'!AP12+#REF!</f>
        <v>#REF!</v>
      </c>
      <c r="AQ8" s="203" t="e">
        <f>+'SEMANA DEL 2 AL 7-3-26'!#REF!+'SEMANA DEL 7 AL 14'!AQ10+'SEMANA DEL 14 AL 21 '!AQ10+'SEMANA DEL 21AL 28-3'!AQ12+#REF!</f>
        <v>#REF!</v>
      </c>
      <c r="AR8" s="203" t="e">
        <f>+'SEMANA DEL 2 AL 7-3-26'!#REF!+'SEMANA DEL 7 AL 14'!AR10+'SEMANA DEL 14 AL 21 '!AR10+'SEMANA DEL 21AL 28-3'!AR12+#REF!</f>
        <v>#REF!</v>
      </c>
      <c r="AS8" s="203" t="e">
        <f>+'SEMANA DEL 2 AL 7-3-26'!#REF!+'SEMANA DEL 7 AL 14'!AS10+'SEMANA DEL 14 AL 21 '!AS10+'SEMANA DEL 21AL 28-3'!AS12+#REF!</f>
        <v>#REF!</v>
      </c>
      <c r="AT8" s="203" t="e">
        <f>+'SEMANA DEL 2 AL 7-3-26'!#REF!+'SEMANA DEL 7 AL 14'!AT10+'SEMANA DEL 14 AL 21 '!AT10+'SEMANA DEL 21AL 28-3'!AT12+#REF!</f>
        <v>#REF!</v>
      </c>
      <c r="AU8" s="203" t="e">
        <f>+'SEMANA DEL 2 AL 7-3-26'!#REF!+'SEMANA DEL 7 AL 14'!AU10+'SEMANA DEL 14 AL 21 '!AU10+'SEMANA DEL 21AL 28-3'!AU12+#REF!</f>
        <v>#REF!</v>
      </c>
      <c r="AV8" s="203" t="e">
        <f>+'SEMANA DEL 2 AL 7-3-26'!#REF!+'SEMANA DEL 7 AL 14'!AV10+'SEMANA DEL 14 AL 21 '!AV10+'SEMANA DEL 21AL 28-3'!AV12+#REF!</f>
        <v>#REF!</v>
      </c>
      <c r="AW8" s="203" t="e">
        <f>+'SEMANA DEL 2 AL 7-3-26'!#REF!+'SEMANA DEL 7 AL 14'!AW10+'SEMANA DEL 14 AL 21 '!AW10+'SEMANA DEL 21AL 28-3'!AW12+#REF!</f>
        <v>#REF!</v>
      </c>
      <c r="AX8" s="203" t="e">
        <f t="shared" si="1"/>
        <v>#REF!</v>
      </c>
      <c r="AY8" s="203" t="e">
        <f t="shared" si="2"/>
        <v>#REF!</v>
      </c>
      <c r="AZ8" s="203" t="e">
        <f t="shared" si="3"/>
        <v>#REF!</v>
      </c>
      <c r="BA8" s="203" t="e">
        <f t="shared" si="4"/>
        <v>#REF!</v>
      </c>
      <c r="BB8" s="203" t="e">
        <f t="shared" si="5"/>
        <v>#REF!</v>
      </c>
      <c r="BC8" s="203" t="e">
        <f t="shared" si="6"/>
        <v>#REF!</v>
      </c>
      <c r="BD8" s="203" t="e">
        <f t="shared" si="7"/>
        <v>#REF!</v>
      </c>
      <c r="BE8" s="203" t="e">
        <f t="shared" si="8"/>
        <v>#REF!</v>
      </c>
      <c r="BF8" s="203" t="e">
        <f t="shared" si="9"/>
        <v>#REF!</v>
      </c>
      <c r="BG8" s="203" t="e">
        <f t="shared" si="10"/>
        <v>#REF!</v>
      </c>
      <c r="BH8" s="203" t="e">
        <f t="shared" si="11"/>
        <v>#REF!</v>
      </c>
      <c r="BI8" s="203" t="e">
        <f t="shared" si="12"/>
        <v>#REF!</v>
      </c>
      <c r="BJ8" s="203" t="e">
        <f t="shared" si="13"/>
        <v>#REF!</v>
      </c>
      <c r="BK8" s="203" t="e">
        <f t="shared" si="14"/>
        <v>#REF!</v>
      </c>
      <c r="BL8" s="203" t="e">
        <f t="shared" si="15"/>
        <v>#REF!</v>
      </c>
      <c r="BM8" s="203" t="e">
        <f t="shared" si="16"/>
        <v>#REF!</v>
      </c>
      <c r="BN8" s="203" t="e">
        <f>+'SEMANA DEL 2 AL 7-3-26'!#REF!+'SEMANA DEL 7 AL 14'!BN10+'SEMANA DEL 14 AL 21 '!BN10+'SEMANA DEL 21AL 28-3'!BN12+#REF!</f>
        <v>#REF!</v>
      </c>
      <c r="BO8" s="203" t="e">
        <f>+'SEMANA DEL 2 AL 7-3-26'!#REF!+'SEMANA DEL 7 AL 14'!BO10+'SEMANA DEL 14 AL 21 '!BO10+'SEMANA DEL 21AL 28-3'!BO12+#REF!</f>
        <v>#REF!</v>
      </c>
      <c r="BP8" s="203" t="e">
        <f>+'SEMANA DEL 2 AL 7-3-26'!#REF!+'SEMANA DEL 7 AL 14'!BP10+'SEMANA DEL 14 AL 21 '!BP10+'SEMANA DEL 21AL 28-3'!BP12+#REF!</f>
        <v>#REF!</v>
      </c>
      <c r="BQ8" s="203" t="e">
        <f>+'SEMANA DEL 2 AL 7-3-26'!#REF!+'SEMANA DEL 7 AL 14'!BQ10+'SEMANA DEL 14 AL 21 '!BQ10+'SEMANA DEL 21AL 28-3'!BQ12+#REF!</f>
        <v>#REF!</v>
      </c>
      <c r="BR8" s="203" t="e">
        <f>+'SEMANA DEL 2 AL 7-3-26'!#REF!+'SEMANA DEL 7 AL 14'!BR10+'SEMANA DEL 14 AL 21 '!BR10+'SEMANA DEL 21AL 28-3'!BR12+#REF!</f>
        <v>#REF!</v>
      </c>
      <c r="BS8" s="203" t="e">
        <f>+'SEMANA DEL 2 AL 7-3-26'!#REF!+'SEMANA DEL 7 AL 14'!BS10+'SEMANA DEL 14 AL 21 '!BS10+'SEMANA DEL 21AL 28-3'!BS12+#REF!</f>
        <v>#REF!</v>
      </c>
      <c r="BT8" s="203" t="e">
        <f>+'SEMANA DEL 2 AL 7-3-26'!#REF!+'SEMANA DEL 7 AL 14'!BT10+'SEMANA DEL 14 AL 21 '!BT10+'SEMANA DEL 21AL 28-3'!BT12+#REF!</f>
        <v>#REF!</v>
      </c>
      <c r="BU8" s="203" t="e">
        <f>+'SEMANA DEL 2 AL 7-3-26'!#REF!+'SEMANA DEL 7 AL 14'!BU10+'SEMANA DEL 14 AL 21 '!BU10+'SEMANA DEL 21AL 28-3'!BU12+#REF!</f>
        <v>#REF!</v>
      </c>
      <c r="BV8" s="203" t="e">
        <f>+'SEMANA DEL 2 AL 7-3-26'!#REF!+'SEMANA DEL 7 AL 14'!BV10+'SEMANA DEL 14 AL 21 '!BV10+'SEMANA DEL 21AL 28-3'!BV12+#REF!</f>
        <v>#REF!</v>
      </c>
      <c r="BW8" s="203" t="e">
        <f>+'SEMANA DEL 2 AL 7-3-26'!#REF!+'SEMANA DEL 7 AL 14'!BW10+'SEMANA DEL 14 AL 21 '!BW10+'SEMANA DEL 21AL 28-3'!BW12+#REF!</f>
        <v>#REF!</v>
      </c>
      <c r="BX8" s="203" t="e">
        <f>+'SEMANA DEL 2 AL 7-3-26'!#REF!+'SEMANA DEL 7 AL 14'!BX10+'SEMANA DEL 14 AL 21 '!BX10+'SEMANA DEL 21AL 28-3'!BX12+#REF!</f>
        <v>#REF!</v>
      </c>
      <c r="BY8" s="203" t="e">
        <f>+'SEMANA DEL 2 AL 7-3-26'!#REF!+'SEMANA DEL 7 AL 14'!BY10+'SEMANA DEL 14 AL 21 '!BY10+'SEMANA DEL 21AL 28-3'!BY12+#REF!</f>
        <v>#REF!</v>
      </c>
      <c r="BZ8" s="203" t="e">
        <f>+'SEMANA DEL 2 AL 7-3-26'!#REF!+'SEMANA DEL 7 AL 14'!BZ10+'SEMANA DEL 14 AL 21 '!BZ10+'SEMANA DEL 21AL 28-3'!BZ12+#REF!</f>
        <v>#REF!</v>
      </c>
      <c r="CA8" s="203" t="e">
        <f>+'SEMANA DEL 2 AL 7-3-26'!#REF!+'SEMANA DEL 7 AL 14'!CA10+'SEMANA DEL 14 AL 21 '!CA10+'SEMANA DEL 21AL 28-3'!CA12+#REF!</f>
        <v>#REF!</v>
      </c>
      <c r="CB8" s="203" t="e">
        <f>+'SEMANA DEL 2 AL 7-3-26'!#REF!+'SEMANA DEL 7 AL 14'!CB10+'SEMANA DEL 14 AL 21 '!CB10+'SEMANA DEL 21AL 28-3'!CB12+#REF!</f>
        <v>#REF!</v>
      </c>
      <c r="CC8" s="203" t="e">
        <f>+'SEMANA DEL 2 AL 7-3-26'!#REF!+'SEMANA DEL 7 AL 14'!CC10+'SEMANA DEL 14 AL 21 '!CC10+'SEMANA DEL 21AL 28-3'!CC12+#REF!</f>
        <v>#REF!</v>
      </c>
      <c r="CD8" s="203" t="e">
        <f>+'SEMANA DEL 2 AL 7-3-26'!#REF!+'SEMANA DEL 7 AL 14'!CD10+'SEMANA DEL 14 AL 21 '!CD10+'SEMANA DEL 21AL 28-3'!CD12+#REF!</f>
        <v>#REF!</v>
      </c>
      <c r="CE8" s="203" t="e">
        <f>+'SEMANA DEL 2 AL 7-3-26'!#REF!+'SEMANA DEL 7 AL 14'!CE10+'SEMANA DEL 14 AL 21 '!CE10+'SEMANA DEL 21AL 28-3'!CE12+#REF!</f>
        <v>#REF!</v>
      </c>
      <c r="CF8" s="203" t="e">
        <f>+'SEMANA DEL 2 AL 7-3-26'!#REF!+'SEMANA DEL 7 AL 14'!CF10+'SEMANA DEL 14 AL 21 '!CF10+'SEMANA DEL 21AL 28-3'!CF12+#REF!</f>
        <v>#REF!</v>
      </c>
      <c r="CG8" s="203" t="e">
        <f>+'SEMANA DEL 2 AL 7-3-26'!#REF!+'SEMANA DEL 7 AL 14'!CG10+'SEMANA DEL 14 AL 21 '!CG10+'SEMANA DEL 21AL 28-3'!CG12+#REF!</f>
        <v>#REF!</v>
      </c>
      <c r="CH8" s="203" t="e">
        <f>+'SEMANA DEL 2 AL 7-3-26'!#REF!+'SEMANA DEL 7 AL 14'!CH10+'SEMANA DEL 14 AL 21 '!CH10+'SEMANA DEL 21AL 28-3'!CH12+#REF!</f>
        <v>#REF!</v>
      </c>
      <c r="CI8" s="203" t="e">
        <f>+'SEMANA DEL 2 AL 7-3-26'!#REF!+'SEMANA DEL 7 AL 14'!CI10+'SEMANA DEL 14 AL 21 '!CI10+'SEMANA DEL 21AL 28-3'!CI12+#REF!</f>
        <v>#REF!</v>
      </c>
    </row>
    <row r="9" spans="1:87" x14ac:dyDescent="0.2">
      <c r="A9" s="34" t="str">
        <f>+'SEMANA DEL 2 AL 7-3-26'!A9</f>
        <v xml:space="preserve">ELIZABETH REYES SERRANO </v>
      </c>
      <c r="B9" s="203">
        <f>+'SEMANA DEL 2 AL 7-3-26'!B9</f>
        <v>0</v>
      </c>
      <c r="C9" s="203">
        <f>+'SEMANA DEL 2 AL 7-3-26'!C9</f>
        <v>0</v>
      </c>
      <c r="D9" s="203">
        <f>+'SEMANA DEL 2 AL 7-3-26'!D9</f>
        <v>0</v>
      </c>
      <c r="E9" s="203">
        <f>+'SEMANA DEL 2 AL 7-3-26'!E9</f>
        <v>0</v>
      </c>
      <c r="F9" s="203">
        <f>+'SEMANA DEL 2 AL 7-3-26'!F9</f>
        <v>0</v>
      </c>
      <c r="G9" s="203">
        <f>+'SEMANA DEL 2 AL 7-3-26'!G9</f>
        <v>0</v>
      </c>
      <c r="H9" s="203">
        <f>+'SEMANA DEL 2 AL 7-3-26'!H9</f>
        <v>0</v>
      </c>
      <c r="I9" s="203">
        <f>+'SEMANA DEL 2 AL 7-3-26'!I9</f>
        <v>0</v>
      </c>
      <c r="J9" s="203">
        <f>+'SEMANA DEL 2 AL 7-3-26'!J9</f>
        <v>0</v>
      </c>
      <c r="K9" s="203">
        <f>+'SEMANA DEL 2 AL 7-3-26'!K9</f>
        <v>0</v>
      </c>
      <c r="L9" s="203">
        <f>+'SEMANA DEL 2 AL 7-3-26'!L9</f>
        <v>0</v>
      </c>
      <c r="M9" s="203">
        <f>+'SEMANA DEL 2 AL 7-3-26'!M9</f>
        <v>0</v>
      </c>
      <c r="N9" s="203">
        <f>+'SEMANA DEL 2 AL 7-3-26'!N9</f>
        <v>0</v>
      </c>
      <c r="O9" s="203">
        <f>+'SEMANA DEL 2 AL 7-3-26'!O9</f>
        <v>0</v>
      </c>
      <c r="P9" s="203">
        <f>+'SEMANA DEL 2 AL 7-3-26'!P9</f>
        <v>0</v>
      </c>
      <c r="Q9" s="203">
        <f>+'SEMANA DEL 2 AL 7-3-26'!Q9</f>
        <v>0</v>
      </c>
      <c r="R9" s="203" t="e">
        <f>+'SEMANA DEL 2 AL 7-3-26'!#REF!+'SEMANA DEL 7 AL 14'!R11+'SEMANA DEL 14 AL 21 '!R11+'SEMANA DEL 21AL 28-3'!#REF!+#REF!</f>
        <v>#REF!</v>
      </c>
      <c r="S9" s="203" t="e">
        <f>+'SEMANA DEL 2 AL 7-3-26'!#REF!+'SEMANA DEL 7 AL 14'!S11+'SEMANA DEL 14 AL 21 '!S11+'SEMANA DEL 21AL 28-3'!#REF!+#REF!</f>
        <v>#REF!</v>
      </c>
      <c r="T9" s="203" t="e">
        <f>+'SEMANA DEL 2 AL 7-3-26'!#REF!+'SEMANA DEL 7 AL 14'!T11+'SEMANA DEL 14 AL 21 '!T11+'SEMANA DEL 21AL 28-3'!#REF!+#REF!</f>
        <v>#REF!</v>
      </c>
      <c r="U9" s="203" t="e">
        <f>+'SEMANA DEL 2 AL 7-3-26'!#REF!+'SEMANA DEL 7 AL 14'!U11+'SEMANA DEL 14 AL 21 '!U11+'SEMANA DEL 21AL 28-3'!#REF!+#REF!</f>
        <v>#REF!</v>
      </c>
      <c r="V9" s="203" t="e">
        <f>+'SEMANA DEL 2 AL 7-3-26'!#REF!+'SEMANA DEL 7 AL 14'!V11+'SEMANA DEL 14 AL 21 '!V11+'SEMANA DEL 21AL 28-3'!#REF!+#REF!</f>
        <v>#REF!</v>
      </c>
      <c r="W9" s="203" t="e">
        <f>+'SEMANA DEL 2 AL 7-3-26'!#REF!+'SEMANA DEL 7 AL 14'!W11+'SEMANA DEL 14 AL 21 '!W11+'SEMANA DEL 21AL 28-3'!#REF!+#REF!</f>
        <v>#REF!</v>
      </c>
      <c r="X9" s="203" t="e">
        <f>+'SEMANA DEL 2 AL 7-3-26'!#REF!+'SEMANA DEL 7 AL 14'!X11+'SEMANA DEL 14 AL 21 '!X11+'SEMANA DEL 21AL 28-3'!#REF!+#REF!</f>
        <v>#REF!</v>
      </c>
      <c r="Y9" s="203" t="e">
        <f>+'SEMANA DEL 2 AL 7-3-26'!#REF!+'SEMANA DEL 7 AL 14'!Y11+'SEMANA DEL 14 AL 21 '!Y11+'SEMANA DEL 21AL 28-3'!#REF!+#REF!</f>
        <v>#REF!</v>
      </c>
      <c r="Z9" s="203" t="e">
        <f>+'SEMANA DEL 2 AL 7-3-26'!#REF!+'SEMANA DEL 7 AL 14'!Z11+'SEMANA DEL 14 AL 21 '!Z11+'SEMANA DEL 21AL 28-3'!#REF!+#REF!</f>
        <v>#REF!</v>
      </c>
      <c r="AA9" s="203" t="e">
        <f>+'SEMANA DEL 2 AL 7-3-26'!#REF!+'SEMANA DEL 7 AL 14'!AA11+'SEMANA DEL 14 AL 21 '!AA11+'SEMANA DEL 21AL 28-3'!#REF!+#REF!</f>
        <v>#REF!</v>
      </c>
      <c r="AB9" s="203" t="e">
        <f>+'SEMANA DEL 2 AL 7-3-26'!#REF!+'SEMANA DEL 7 AL 14'!AB11+'SEMANA DEL 14 AL 21 '!AB11+'SEMANA DEL 21AL 28-3'!#REF!+#REF!</f>
        <v>#REF!</v>
      </c>
      <c r="AC9" s="203" t="e">
        <f>+'SEMANA DEL 2 AL 7-3-26'!#REF!+'SEMANA DEL 7 AL 14'!AC11+'SEMANA DEL 14 AL 21 '!AC11+'SEMANA DEL 21AL 28-3'!#REF!+#REF!</f>
        <v>#REF!</v>
      </c>
      <c r="AD9" s="203" t="e">
        <f>+'SEMANA DEL 2 AL 7-3-26'!#REF!+'SEMANA DEL 7 AL 14'!AD11+'SEMANA DEL 14 AL 21 '!AD11+'SEMANA DEL 21AL 28-3'!#REF!+#REF!</f>
        <v>#REF!</v>
      </c>
      <c r="AE9" s="203" t="e">
        <f>+'SEMANA DEL 2 AL 7-3-26'!#REF!+'SEMANA DEL 7 AL 14'!AE11+'SEMANA DEL 14 AL 21 '!AE11+'SEMANA DEL 21AL 28-3'!#REF!+#REF!</f>
        <v>#REF!</v>
      </c>
      <c r="AF9" s="203" t="e">
        <f>+'SEMANA DEL 2 AL 7-3-26'!#REF!+'SEMANA DEL 7 AL 14'!AF11+'SEMANA DEL 14 AL 21 '!AF11+'SEMANA DEL 21AL 28-3'!#REF!+#REF!</f>
        <v>#REF!</v>
      </c>
      <c r="AG9" s="203" t="e">
        <f>+'SEMANA DEL 2 AL 7-3-26'!#REF!+'SEMANA DEL 7 AL 14'!AG11+'SEMANA DEL 14 AL 21 '!AG11+'SEMANA DEL 21AL 28-3'!#REF!+#REF!</f>
        <v>#REF!</v>
      </c>
      <c r="AH9" s="203" t="e">
        <f>+'SEMANA DEL 2 AL 7-3-26'!#REF!+'SEMANA DEL 7 AL 14'!AH11+'SEMANA DEL 14 AL 21 '!AH11+'SEMANA DEL 21AL 28-3'!#REF!+#REF!</f>
        <v>#REF!</v>
      </c>
      <c r="AI9" s="203" t="e">
        <f>+'SEMANA DEL 2 AL 7-3-26'!#REF!+'SEMANA DEL 7 AL 14'!AI11+'SEMANA DEL 14 AL 21 '!AI11+'SEMANA DEL 21AL 28-3'!#REF!+#REF!</f>
        <v>#REF!</v>
      </c>
      <c r="AJ9" s="203" t="e">
        <f>+'SEMANA DEL 2 AL 7-3-26'!#REF!+'SEMANA DEL 7 AL 14'!AJ11+'SEMANA DEL 14 AL 21 '!AJ11+'SEMANA DEL 21AL 28-3'!#REF!+#REF!</f>
        <v>#REF!</v>
      </c>
      <c r="AK9" s="203" t="e">
        <f>+'SEMANA DEL 2 AL 7-3-26'!#REF!+'SEMANA DEL 7 AL 14'!AK11+'SEMANA DEL 14 AL 21 '!AK11+'SEMANA DEL 21AL 28-3'!#REF!+#REF!</f>
        <v>#REF!</v>
      </c>
      <c r="AL9" s="203" t="e">
        <f>+'SEMANA DEL 2 AL 7-3-26'!#REF!+'SEMANA DEL 7 AL 14'!AL11+'SEMANA DEL 14 AL 21 '!AL11+'SEMANA DEL 21AL 28-3'!#REF!+#REF!</f>
        <v>#REF!</v>
      </c>
      <c r="AM9" s="203" t="e">
        <f>+'SEMANA DEL 2 AL 7-3-26'!#REF!+'SEMANA DEL 7 AL 14'!AM11+'SEMANA DEL 14 AL 21 '!AM11+'SEMANA DEL 21AL 28-3'!#REF!+#REF!</f>
        <v>#REF!</v>
      </c>
      <c r="AN9" s="203" t="e">
        <f>+'SEMANA DEL 2 AL 7-3-26'!#REF!+'SEMANA DEL 7 AL 14'!AN11+'SEMANA DEL 14 AL 21 '!AN11+'SEMANA DEL 21AL 28-3'!#REF!+#REF!</f>
        <v>#REF!</v>
      </c>
      <c r="AO9" s="203" t="e">
        <f>+'SEMANA DEL 2 AL 7-3-26'!#REF!+'SEMANA DEL 7 AL 14'!AO11+'SEMANA DEL 14 AL 21 '!AO11+'SEMANA DEL 21AL 28-3'!#REF!+#REF!</f>
        <v>#REF!</v>
      </c>
      <c r="AP9" s="203" t="e">
        <f>+'SEMANA DEL 2 AL 7-3-26'!#REF!+'SEMANA DEL 7 AL 14'!AP11+'SEMANA DEL 14 AL 21 '!AP11+'SEMANA DEL 21AL 28-3'!#REF!+#REF!</f>
        <v>#REF!</v>
      </c>
      <c r="AQ9" s="203" t="e">
        <f>+'SEMANA DEL 2 AL 7-3-26'!#REF!+'SEMANA DEL 7 AL 14'!AQ11+'SEMANA DEL 14 AL 21 '!AQ11+'SEMANA DEL 21AL 28-3'!#REF!+#REF!</f>
        <v>#REF!</v>
      </c>
      <c r="AR9" s="203" t="e">
        <f>+'SEMANA DEL 2 AL 7-3-26'!#REF!+'SEMANA DEL 7 AL 14'!AR11+'SEMANA DEL 14 AL 21 '!AR11+'SEMANA DEL 21AL 28-3'!#REF!+#REF!</f>
        <v>#REF!</v>
      </c>
      <c r="AS9" s="203" t="e">
        <f>+'SEMANA DEL 2 AL 7-3-26'!#REF!+'SEMANA DEL 7 AL 14'!AS11+'SEMANA DEL 14 AL 21 '!AS11+'SEMANA DEL 21AL 28-3'!#REF!+#REF!</f>
        <v>#REF!</v>
      </c>
      <c r="AT9" s="203" t="e">
        <f>+'SEMANA DEL 2 AL 7-3-26'!#REF!+'SEMANA DEL 7 AL 14'!AT11+'SEMANA DEL 14 AL 21 '!AT11+'SEMANA DEL 21AL 28-3'!#REF!+#REF!</f>
        <v>#REF!</v>
      </c>
      <c r="AU9" s="203" t="e">
        <f>+'SEMANA DEL 2 AL 7-3-26'!#REF!+'SEMANA DEL 7 AL 14'!AU11+'SEMANA DEL 14 AL 21 '!AU11+'SEMANA DEL 21AL 28-3'!#REF!+#REF!</f>
        <v>#REF!</v>
      </c>
      <c r="AV9" s="203" t="e">
        <f>+'SEMANA DEL 2 AL 7-3-26'!#REF!+'SEMANA DEL 7 AL 14'!AV11+'SEMANA DEL 14 AL 21 '!AV11+'SEMANA DEL 21AL 28-3'!#REF!+#REF!</f>
        <v>#REF!</v>
      </c>
      <c r="AW9" s="203" t="e">
        <f>+'SEMANA DEL 2 AL 7-3-26'!#REF!+'SEMANA DEL 7 AL 14'!AW11+'SEMANA DEL 14 AL 21 '!AW11+'SEMANA DEL 21AL 28-3'!#REF!+#REF!</f>
        <v>#REF!</v>
      </c>
      <c r="AX9" s="203" t="e">
        <f t="shared" si="1"/>
        <v>#REF!</v>
      </c>
      <c r="AY9" s="203" t="e">
        <f t="shared" si="2"/>
        <v>#REF!</v>
      </c>
      <c r="AZ9" s="203" t="e">
        <f t="shared" si="3"/>
        <v>#REF!</v>
      </c>
      <c r="BA9" s="203" t="e">
        <f t="shared" si="4"/>
        <v>#REF!</v>
      </c>
      <c r="BB9" s="203" t="e">
        <f t="shared" si="5"/>
        <v>#REF!</v>
      </c>
      <c r="BC9" s="203" t="e">
        <f t="shared" si="6"/>
        <v>#REF!</v>
      </c>
      <c r="BD9" s="203" t="e">
        <f t="shared" si="7"/>
        <v>#REF!</v>
      </c>
      <c r="BE9" s="203" t="e">
        <f t="shared" si="8"/>
        <v>#REF!</v>
      </c>
      <c r="BF9" s="203" t="e">
        <f t="shared" si="9"/>
        <v>#REF!</v>
      </c>
      <c r="BG9" s="203" t="e">
        <f t="shared" si="10"/>
        <v>#REF!</v>
      </c>
      <c r="BH9" s="203" t="e">
        <f t="shared" si="11"/>
        <v>#REF!</v>
      </c>
      <c r="BI9" s="203" t="e">
        <f t="shared" si="12"/>
        <v>#REF!</v>
      </c>
      <c r="BJ9" s="203" t="e">
        <f t="shared" si="13"/>
        <v>#REF!</v>
      </c>
      <c r="BK9" s="203" t="e">
        <f t="shared" si="14"/>
        <v>#REF!</v>
      </c>
      <c r="BL9" s="203" t="e">
        <f t="shared" si="15"/>
        <v>#REF!</v>
      </c>
      <c r="BM9" s="203" t="e">
        <f t="shared" si="16"/>
        <v>#REF!</v>
      </c>
      <c r="BN9" s="203" t="e">
        <f>+'SEMANA DEL 2 AL 7-3-26'!#REF!+'SEMANA DEL 7 AL 14'!BN11+'SEMANA DEL 14 AL 21 '!BN11+'SEMANA DEL 21AL 28-3'!#REF!+#REF!</f>
        <v>#REF!</v>
      </c>
      <c r="BO9" s="203" t="e">
        <f>+'SEMANA DEL 2 AL 7-3-26'!#REF!+'SEMANA DEL 7 AL 14'!BO11+'SEMANA DEL 14 AL 21 '!BO11+'SEMANA DEL 21AL 28-3'!#REF!+#REF!</f>
        <v>#REF!</v>
      </c>
      <c r="BP9" s="203" t="e">
        <f>+'SEMANA DEL 2 AL 7-3-26'!#REF!+'SEMANA DEL 7 AL 14'!BP11+'SEMANA DEL 14 AL 21 '!BP11+'SEMANA DEL 21AL 28-3'!#REF!+#REF!</f>
        <v>#REF!</v>
      </c>
      <c r="BQ9" s="203" t="e">
        <f>+'SEMANA DEL 2 AL 7-3-26'!#REF!+'SEMANA DEL 7 AL 14'!BQ11+'SEMANA DEL 14 AL 21 '!BQ11+'SEMANA DEL 21AL 28-3'!#REF!+#REF!</f>
        <v>#REF!</v>
      </c>
      <c r="BR9" s="203" t="e">
        <f>+'SEMANA DEL 2 AL 7-3-26'!#REF!+'SEMANA DEL 7 AL 14'!BR11+'SEMANA DEL 14 AL 21 '!BR11+'SEMANA DEL 21AL 28-3'!#REF!+#REF!</f>
        <v>#REF!</v>
      </c>
      <c r="BS9" s="203" t="e">
        <f>+'SEMANA DEL 2 AL 7-3-26'!#REF!+'SEMANA DEL 7 AL 14'!BS11+'SEMANA DEL 14 AL 21 '!BS11+'SEMANA DEL 21AL 28-3'!#REF!+#REF!</f>
        <v>#REF!</v>
      </c>
      <c r="BT9" s="203" t="e">
        <f>+'SEMANA DEL 2 AL 7-3-26'!#REF!+'SEMANA DEL 7 AL 14'!BT11+'SEMANA DEL 14 AL 21 '!BT11+'SEMANA DEL 21AL 28-3'!#REF!+#REF!</f>
        <v>#REF!</v>
      </c>
      <c r="BU9" s="203" t="e">
        <f>+'SEMANA DEL 2 AL 7-3-26'!#REF!+'SEMANA DEL 7 AL 14'!BU11+'SEMANA DEL 14 AL 21 '!BU11+'SEMANA DEL 21AL 28-3'!#REF!+#REF!</f>
        <v>#REF!</v>
      </c>
      <c r="BV9" s="203" t="e">
        <f>+'SEMANA DEL 2 AL 7-3-26'!#REF!+'SEMANA DEL 7 AL 14'!BV11+'SEMANA DEL 14 AL 21 '!BV11+'SEMANA DEL 21AL 28-3'!#REF!+#REF!</f>
        <v>#REF!</v>
      </c>
      <c r="BW9" s="203" t="e">
        <f>+'SEMANA DEL 2 AL 7-3-26'!#REF!+'SEMANA DEL 7 AL 14'!BW11+'SEMANA DEL 14 AL 21 '!BW11+'SEMANA DEL 21AL 28-3'!#REF!+#REF!</f>
        <v>#REF!</v>
      </c>
      <c r="BX9" s="203" t="e">
        <f>+'SEMANA DEL 2 AL 7-3-26'!#REF!+'SEMANA DEL 7 AL 14'!BX11+'SEMANA DEL 14 AL 21 '!BX11+'SEMANA DEL 21AL 28-3'!#REF!+#REF!</f>
        <v>#REF!</v>
      </c>
      <c r="BY9" s="203" t="e">
        <f>+'SEMANA DEL 2 AL 7-3-26'!#REF!+'SEMANA DEL 7 AL 14'!BY11+'SEMANA DEL 14 AL 21 '!BY11+'SEMANA DEL 21AL 28-3'!#REF!+#REF!</f>
        <v>#REF!</v>
      </c>
      <c r="BZ9" s="203" t="e">
        <f>+'SEMANA DEL 2 AL 7-3-26'!#REF!+'SEMANA DEL 7 AL 14'!BZ11+'SEMANA DEL 14 AL 21 '!BZ11+'SEMANA DEL 21AL 28-3'!#REF!+#REF!</f>
        <v>#REF!</v>
      </c>
      <c r="CA9" s="203" t="e">
        <f>+'SEMANA DEL 2 AL 7-3-26'!#REF!+'SEMANA DEL 7 AL 14'!CA11+'SEMANA DEL 14 AL 21 '!CA11+'SEMANA DEL 21AL 28-3'!#REF!+#REF!</f>
        <v>#REF!</v>
      </c>
      <c r="CB9" s="203" t="e">
        <f>+'SEMANA DEL 2 AL 7-3-26'!#REF!+'SEMANA DEL 7 AL 14'!CB11+'SEMANA DEL 14 AL 21 '!CB11+'SEMANA DEL 21AL 28-3'!#REF!+#REF!</f>
        <v>#REF!</v>
      </c>
      <c r="CC9" s="203" t="e">
        <f>+'SEMANA DEL 2 AL 7-3-26'!#REF!+'SEMANA DEL 7 AL 14'!CC11+'SEMANA DEL 14 AL 21 '!CC11+'SEMANA DEL 21AL 28-3'!#REF!+#REF!</f>
        <v>#REF!</v>
      </c>
      <c r="CD9" s="203" t="e">
        <f>+'SEMANA DEL 2 AL 7-3-26'!#REF!+'SEMANA DEL 7 AL 14'!CD11+'SEMANA DEL 14 AL 21 '!CD11+'SEMANA DEL 21AL 28-3'!#REF!+#REF!</f>
        <v>#REF!</v>
      </c>
      <c r="CE9" s="203" t="e">
        <f>+'SEMANA DEL 2 AL 7-3-26'!#REF!+'SEMANA DEL 7 AL 14'!CE11+'SEMANA DEL 14 AL 21 '!CE11+'SEMANA DEL 21AL 28-3'!#REF!+#REF!</f>
        <v>#REF!</v>
      </c>
      <c r="CF9" s="203" t="e">
        <f>+'SEMANA DEL 2 AL 7-3-26'!#REF!+'SEMANA DEL 7 AL 14'!CF11+'SEMANA DEL 14 AL 21 '!CF11+'SEMANA DEL 21AL 28-3'!#REF!+#REF!</f>
        <v>#REF!</v>
      </c>
      <c r="CG9" s="203" t="e">
        <f>+'SEMANA DEL 2 AL 7-3-26'!#REF!+'SEMANA DEL 7 AL 14'!CG11+'SEMANA DEL 14 AL 21 '!CG11+'SEMANA DEL 21AL 28-3'!#REF!+#REF!</f>
        <v>#REF!</v>
      </c>
      <c r="CH9" s="203" t="e">
        <f>+'SEMANA DEL 2 AL 7-3-26'!#REF!+'SEMANA DEL 7 AL 14'!CH11+'SEMANA DEL 14 AL 21 '!CH11+'SEMANA DEL 21AL 28-3'!#REF!+#REF!</f>
        <v>#REF!</v>
      </c>
      <c r="CI9" s="203" t="e">
        <f>+'SEMANA DEL 2 AL 7-3-26'!#REF!+'SEMANA DEL 7 AL 14'!CI11+'SEMANA DEL 14 AL 21 '!CI11+'SEMANA DEL 21AL 28-3'!#REF!+#REF!</f>
        <v>#REF!</v>
      </c>
    </row>
    <row r="10" spans="1:87" x14ac:dyDescent="0.2">
      <c r="A10" s="34" t="str">
        <f>+'SEMANA DEL 2 AL 7-3-26'!A10</f>
        <v>ELVIRA LOPEZ</v>
      </c>
      <c r="B10" s="203">
        <f>+'SEMANA DEL 2 AL 7-3-26'!B10</f>
        <v>0</v>
      </c>
      <c r="C10" s="203">
        <f>+'SEMANA DEL 2 AL 7-3-26'!C10</f>
        <v>0</v>
      </c>
      <c r="D10" s="203">
        <f>+'SEMANA DEL 2 AL 7-3-26'!D10</f>
        <v>0</v>
      </c>
      <c r="E10" s="203">
        <f>+'SEMANA DEL 2 AL 7-3-26'!E10</f>
        <v>0</v>
      </c>
      <c r="F10" s="203">
        <f>+'SEMANA DEL 2 AL 7-3-26'!F10</f>
        <v>0</v>
      </c>
      <c r="G10" s="203">
        <f>+'SEMANA DEL 2 AL 7-3-26'!G10</f>
        <v>0</v>
      </c>
      <c r="H10" s="203">
        <f>+'SEMANA DEL 2 AL 7-3-26'!H10</f>
        <v>0</v>
      </c>
      <c r="I10" s="203">
        <f>+'SEMANA DEL 2 AL 7-3-26'!I10</f>
        <v>0</v>
      </c>
      <c r="J10" s="203">
        <f>+'SEMANA DEL 2 AL 7-3-26'!J10</f>
        <v>0</v>
      </c>
      <c r="K10" s="203">
        <f>+'SEMANA DEL 2 AL 7-3-26'!K10</f>
        <v>0</v>
      </c>
      <c r="L10" s="203">
        <f>+'SEMANA DEL 2 AL 7-3-26'!L10</f>
        <v>0</v>
      </c>
      <c r="M10" s="203">
        <f>+'SEMANA DEL 2 AL 7-3-26'!M10</f>
        <v>0</v>
      </c>
      <c r="N10" s="203">
        <f>+'SEMANA DEL 2 AL 7-3-26'!N10</f>
        <v>0</v>
      </c>
      <c r="O10" s="203">
        <f>+'SEMANA DEL 2 AL 7-3-26'!O10</f>
        <v>0</v>
      </c>
      <c r="P10" s="203">
        <f>+'SEMANA DEL 2 AL 7-3-26'!P10</f>
        <v>0</v>
      </c>
      <c r="Q10" s="203">
        <f>+'SEMANA DEL 2 AL 7-3-26'!Q10</f>
        <v>0</v>
      </c>
      <c r="R10" s="203" t="e">
        <f>+'SEMANA DEL 2 AL 7-3-26'!R10+'SEMANA DEL 7 AL 14'!R12+'SEMANA DEL 14 AL 21 '!R12+'SEMANA DEL 21AL 28-3'!R13+#REF!</f>
        <v>#REF!</v>
      </c>
      <c r="S10" s="203" t="e">
        <f>+'SEMANA DEL 2 AL 7-3-26'!S10+'SEMANA DEL 7 AL 14'!S12+'SEMANA DEL 14 AL 21 '!S12+'SEMANA DEL 21AL 28-3'!S13+#REF!</f>
        <v>#REF!</v>
      </c>
      <c r="T10" s="203" t="e">
        <f>+'SEMANA DEL 2 AL 7-3-26'!T10+'SEMANA DEL 7 AL 14'!T12+'SEMANA DEL 14 AL 21 '!T12+'SEMANA DEL 21AL 28-3'!T13+#REF!</f>
        <v>#REF!</v>
      </c>
      <c r="U10" s="203" t="e">
        <f>+'SEMANA DEL 2 AL 7-3-26'!U10+'SEMANA DEL 7 AL 14'!U12+'SEMANA DEL 14 AL 21 '!U12+'SEMANA DEL 21AL 28-3'!U13+#REF!</f>
        <v>#REF!</v>
      </c>
      <c r="V10" s="203" t="e">
        <f>+'SEMANA DEL 2 AL 7-3-26'!V10+'SEMANA DEL 7 AL 14'!V12+'SEMANA DEL 14 AL 21 '!V12+'SEMANA DEL 21AL 28-3'!V13+#REF!</f>
        <v>#REF!</v>
      </c>
      <c r="W10" s="203" t="e">
        <f>+'SEMANA DEL 2 AL 7-3-26'!W10+'SEMANA DEL 7 AL 14'!W12+'SEMANA DEL 14 AL 21 '!W12+'SEMANA DEL 21AL 28-3'!W13+#REF!</f>
        <v>#REF!</v>
      </c>
      <c r="X10" s="203" t="e">
        <f>+'SEMANA DEL 2 AL 7-3-26'!X10+'SEMANA DEL 7 AL 14'!X12+'SEMANA DEL 14 AL 21 '!X12+'SEMANA DEL 21AL 28-3'!X13+#REF!</f>
        <v>#REF!</v>
      </c>
      <c r="Y10" s="203" t="e">
        <f>+'SEMANA DEL 2 AL 7-3-26'!Y10+'SEMANA DEL 7 AL 14'!Y12+'SEMANA DEL 14 AL 21 '!Y12+'SEMANA DEL 21AL 28-3'!Y13+#REF!</f>
        <v>#REF!</v>
      </c>
      <c r="Z10" s="203" t="e">
        <f>+'SEMANA DEL 2 AL 7-3-26'!Z10+'SEMANA DEL 7 AL 14'!Z12+'SEMANA DEL 14 AL 21 '!Z12+'SEMANA DEL 21AL 28-3'!Z13+#REF!</f>
        <v>#REF!</v>
      </c>
      <c r="AA10" s="203" t="e">
        <f>+'SEMANA DEL 2 AL 7-3-26'!AA10+'SEMANA DEL 7 AL 14'!AA12+'SEMANA DEL 14 AL 21 '!AA12+'SEMANA DEL 21AL 28-3'!AA13+#REF!</f>
        <v>#REF!</v>
      </c>
      <c r="AB10" s="203" t="e">
        <f>+'SEMANA DEL 2 AL 7-3-26'!AB10+'SEMANA DEL 7 AL 14'!AB12+'SEMANA DEL 14 AL 21 '!AB12+'SEMANA DEL 21AL 28-3'!AB13+#REF!</f>
        <v>#REF!</v>
      </c>
      <c r="AC10" s="203" t="e">
        <f>+'SEMANA DEL 2 AL 7-3-26'!AC10+'SEMANA DEL 7 AL 14'!AC12+'SEMANA DEL 14 AL 21 '!AC12+'SEMANA DEL 21AL 28-3'!AC13+#REF!</f>
        <v>#REF!</v>
      </c>
      <c r="AD10" s="203" t="e">
        <f>+'SEMANA DEL 2 AL 7-3-26'!AD10+'SEMANA DEL 7 AL 14'!AD12+'SEMANA DEL 14 AL 21 '!AD12+'SEMANA DEL 21AL 28-3'!AD13+#REF!</f>
        <v>#REF!</v>
      </c>
      <c r="AE10" s="203" t="e">
        <f>+'SEMANA DEL 2 AL 7-3-26'!AE10+'SEMANA DEL 7 AL 14'!AE12+'SEMANA DEL 14 AL 21 '!AE12+'SEMANA DEL 21AL 28-3'!AE13+#REF!</f>
        <v>#REF!</v>
      </c>
      <c r="AF10" s="203" t="e">
        <f>+'SEMANA DEL 2 AL 7-3-26'!AF10+'SEMANA DEL 7 AL 14'!AF12+'SEMANA DEL 14 AL 21 '!AF12+'SEMANA DEL 21AL 28-3'!AF13+#REF!</f>
        <v>#REF!</v>
      </c>
      <c r="AG10" s="203" t="e">
        <f>+'SEMANA DEL 2 AL 7-3-26'!AG10+'SEMANA DEL 7 AL 14'!AG12+'SEMANA DEL 14 AL 21 '!AG12+'SEMANA DEL 21AL 28-3'!AG13+#REF!</f>
        <v>#REF!</v>
      </c>
      <c r="AH10" s="203" t="e">
        <f>+'SEMANA DEL 2 AL 7-3-26'!AH10+'SEMANA DEL 7 AL 14'!AH12+'SEMANA DEL 14 AL 21 '!AH12+'SEMANA DEL 21AL 28-3'!AH13+#REF!</f>
        <v>#REF!</v>
      </c>
      <c r="AI10" s="203" t="e">
        <f>+'SEMANA DEL 2 AL 7-3-26'!AI10+'SEMANA DEL 7 AL 14'!AI12+'SEMANA DEL 14 AL 21 '!AI12+'SEMANA DEL 21AL 28-3'!AI13+#REF!</f>
        <v>#REF!</v>
      </c>
      <c r="AJ10" s="203" t="e">
        <f>+'SEMANA DEL 2 AL 7-3-26'!AJ10+'SEMANA DEL 7 AL 14'!AJ12+'SEMANA DEL 14 AL 21 '!AJ12+'SEMANA DEL 21AL 28-3'!AJ13+#REF!</f>
        <v>#REF!</v>
      </c>
      <c r="AK10" s="203" t="e">
        <f>+'SEMANA DEL 2 AL 7-3-26'!AK10+'SEMANA DEL 7 AL 14'!AK12+'SEMANA DEL 14 AL 21 '!AK12+'SEMANA DEL 21AL 28-3'!AK13+#REF!</f>
        <v>#REF!</v>
      </c>
      <c r="AL10" s="203" t="e">
        <f>+'SEMANA DEL 2 AL 7-3-26'!AL10+'SEMANA DEL 7 AL 14'!AL12+'SEMANA DEL 14 AL 21 '!AL12+'SEMANA DEL 21AL 28-3'!AL13+#REF!</f>
        <v>#REF!</v>
      </c>
      <c r="AM10" s="203" t="e">
        <f>+'SEMANA DEL 2 AL 7-3-26'!AM10+'SEMANA DEL 7 AL 14'!AM12+'SEMANA DEL 14 AL 21 '!AM12+'SEMANA DEL 21AL 28-3'!AM13+#REF!</f>
        <v>#REF!</v>
      </c>
      <c r="AN10" s="203" t="e">
        <f>+'SEMANA DEL 2 AL 7-3-26'!AN10+'SEMANA DEL 7 AL 14'!AN12+'SEMANA DEL 14 AL 21 '!AN12+'SEMANA DEL 21AL 28-3'!AN13+#REF!</f>
        <v>#REF!</v>
      </c>
      <c r="AO10" s="203" t="e">
        <f>+'SEMANA DEL 2 AL 7-3-26'!AO10+'SEMANA DEL 7 AL 14'!AO12+'SEMANA DEL 14 AL 21 '!AO12+'SEMANA DEL 21AL 28-3'!AO13+#REF!</f>
        <v>#REF!</v>
      </c>
      <c r="AP10" s="203" t="e">
        <f>+'SEMANA DEL 2 AL 7-3-26'!AP10+'SEMANA DEL 7 AL 14'!AP12+'SEMANA DEL 14 AL 21 '!AP12+'SEMANA DEL 21AL 28-3'!AP13+#REF!</f>
        <v>#REF!</v>
      </c>
      <c r="AQ10" s="203" t="e">
        <f>+'SEMANA DEL 2 AL 7-3-26'!AQ10+'SEMANA DEL 7 AL 14'!AQ12+'SEMANA DEL 14 AL 21 '!AQ12+'SEMANA DEL 21AL 28-3'!AQ13+#REF!</f>
        <v>#REF!</v>
      </c>
      <c r="AR10" s="203" t="e">
        <f>+'SEMANA DEL 2 AL 7-3-26'!AR10+'SEMANA DEL 7 AL 14'!AR12+'SEMANA DEL 14 AL 21 '!AR12+'SEMANA DEL 21AL 28-3'!AR13+#REF!</f>
        <v>#REF!</v>
      </c>
      <c r="AS10" s="203" t="e">
        <f>+'SEMANA DEL 2 AL 7-3-26'!AS10+'SEMANA DEL 7 AL 14'!AS12+'SEMANA DEL 14 AL 21 '!AS12+'SEMANA DEL 21AL 28-3'!AS13+#REF!</f>
        <v>#REF!</v>
      </c>
      <c r="AT10" s="203" t="e">
        <f>+'SEMANA DEL 2 AL 7-3-26'!AT10+'SEMANA DEL 7 AL 14'!AT12+'SEMANA DEL 14 AL 21 '!AT12+'SEMANA DEL 21AL 28-3'!AT13+#REF!</f>
        <v>#REF!</v>
      </c>
      <c r="AU10" s="203" t="e">
        <f>+'SEMANA DEL 2 AL 7-3-26'!AU10+'SEMANA DEL 7 AL 14'!AU12+'SEMANA DEL 14 AL 21 '!AU12+'SEMANA DEL 21AL 28-3'!AU13+#REF!</f>
        <v>#REF!</v>
      </c>
      <c r="AV10" s="203" t="e">
        <f>+'SEMANA DEL 2 AL 7-3-26'!AV10+'SEMANA DEL 7 AL 14'!AV12+'SEMANA DEL 14 AL 21 '!AV12+'SEMANA DEL 21AL 28-3'!AV13+#REF!</f>
        <v>#REF!</v>
      </c>
      <c r="AW10" s="203" t="e">
        <f>+'SEMANA DEL 2 AL 7-3-26'!AW10+'SEMANA DEL 7 AL 14'!AW12+'SEMANA DEL 14 AL 21 '!AW12+'SEMANA DEL 21AL 28-3'!AW13+#REF!</f>
        <v>#REF!</v>
      </c>
      <c r="AX10" s="203" t="e">
        <f t="shared" si="1"/>
        <v>#REF!</v>
      </c>
      <c r="AY10" s="203" t="e">
        <f t="shared" si="2"/>
        <v>#REF!</v>
      </c>
      <c r="AZ10" s="203" t="e">
        <f t="shared" si="3"/>
        <v>#REF!</v>
      </c>
      <c r="BA10" s="203" t="e">
        <f t="shared" si="4"/>
        <v>#REF!</v>
      </c>
      <c r="BB10" s="203" t="e">
        <f t="shared" si="5"/>
        <v>#REF!</v>
      </c>
      <c r="BC10" s="203" t="e">
        <f t="shared" si="6"/>
        <v>#REF!</v>
      </c>
      <c r="BD10" s="203" t="e">
        <f t="shared" si="7"/>
        <v>#REF!</v>
      </c>
      <c r="BE10" s="203" t="e">
        <f t="shared" si="8"/>
        <v>#REF!</v>
      </c>
      <c r="BF10" s="203" t="e">
        <f t="shared" si="9"/>
        <v>#REF!</v>
      </c>
      <c r="BG10" s="203" t="e">
        <f t="shared" si="10"/>
        <v>#REF!</v>
      </c>
      <c r="BH10" s="203" t="e">
        <f t="shared" si="11"/>
        <v>#REF!</v>
      </c>
      <c r="BI10" s="203" t="e">
        <f t="shared" si="12"/>
        <v>#REF!</v>
      </c>
      <c r="BJ10" s="203" t="e">
        <f t="shared" si="13"/>
        <v>#REF!</v>
      </c>
      <c r="BK10" s="203" t="e">
        <f t="shared" si="14"/>
        <v>#REF!</v>
      </c>
      <c r="BL10" s="203" t="e">
        <f t="shared" si="15"/>
        <v>#REF!</v>
      </c>
      <c r="BM10" s="203" t="e">
        <f t="shared" si="16"/>
        <v>#REF!</v>
      </c>
      <c r="BN10" s="203" t="e">
        <f>+'SEMANA DEL 2 AL 7-3-26'!BN10+'SEMANA DEL 7 AL 14'!BN12+'SEMANA DEL 14 AL 21 '!BN12+'SEMANA DEL 21AL 28-3'!BN13+#REF!</f>
        <v>#REF!</v>
      </c>
      <c r="BO10" s="203" t="e">
        <f>+'SEMANA DEL 2 AL 7-3-26'!BO10+'SEMANA DEL 7 AL 14'!BO12+'SEMANA DEL 14 AL 21 '!BO12+'SEMANA DEL 21AL 28-3'!BO13+#REF!</f>
        <v>#REF!</v>
      </c>
      <c r="BP10" s="203" t="e">
        <f>+'SEMANA DEL 2 AL 7-3-26'!BP10+'SEMANA DEL 7 AL 14'!BP12+'SEMANA DEL 14 AL 21 '!BP12+'SEMANA DEL 21AL 28-3'!BP13+#REF!</f>
        <v>#REF!</v>
      </c>
      <c r="BQ10" s="203" t="e">
        <f>+'SEMANA DEL 2 AL 7-3-26'!BQ10+'SEMANA DEL 7 AL 14'!BQ12+'SEMANA DEL 14 AL 21 '!BQ12+'SEMANA DEL 21AL 28-3'!BQ13+#REF!</f>
        <v>#REF!</v>
      </c>
      <c r="BR10" s="203" t="e">
        <f>+'SEMANA DEL 2 AL 7-3-26'!BR10+'SEMANA DEL 7 AL 14'!BR12+'SEMANA DEL 14 AL 21 '!BR12+'SEMANA DEL 21AL 28-3'!BR13+#REF!</f>
        <v>#REF!</v>
      </c>
      <c r="BS10" s="203" t="e">
        <f>+'SEMANA DEL 2 AL 7-3-26'!BS10+'SEMANA DEL 7 AL 14'!BS12+'SEMANA DEL 14 AL 21 '!BS12+'SEMANA DEL 21AL 28-3'!BS13+#REF!</f>
        <v>#REF!</v>
      </c>
      <c r="BT10" s="203" t="e">
        <f>+'SEMANA DEL 2 AL 7-3-26'!BT10+'SEMANA DEL 7 AL 14'!BT12+'SEMANA DEL 14 AL 21 '!BT12+'SEMANA DEL 21AL 28-3'!BT13+#REF!</f>
        <v>#REF!</v>
      </c>
      <c r="BU10" s="203" t="e">
        <f>+'SEMANA DEL 2 AL 7-3-26'!BU10+'SEMANA DEL 7 AL 14'!BU12+'SEMANA DEL 14 AL 21 '!BU12+'SEMANA DEL 21AL 28-3'!BU13+#REF!</f>
        <v>#REF!</v>
      </c>
      <c r="BV10" s="203" t="e">
        <f>+'SEMANA DEL 2 AL 7-3-26'!BV10+'SEMANA DEL 7 AL 14'!BV12+'SEMANA DEL 14 AL 21 '!BV12+'SEMANA DEL 21AL 28-3'!BV13+#REF!</f>
        <v>#REF!</v>
      </c>
      <c r="BW10" s="203" t="e">
        <f>+'SEMANA DEL 2 AL 7-3-26'!BW10+'SEMANA DEL 7 AL 14'!BW12+'SEMANA DEL 14 AL 21 '!BW12+'SEMANA DEL 21AL 28-3'!BW13+#REF!</f>
        <v>#REF!</v>
      </c>
      <c r="BX10" s="203" t="e">
        <f>+'SEMANA DEL 2 AL 7-3-26'!BX10+'SEMANA DEL 7 AL 14'!BX12+'SEMANA DEL 14 AL 21 '!BX12+'SEMANA DEL 21AL 28-3'!BX13+#REF!</f>
        <v>#REF!</v>
      </c>
      <c r="BY10" s="203" t="e">
        <f>+'SEMANA DEL 2 AL 7-3-26'!BY10+'SEMANA DEL 7 AL 14'!BY12+'SEMANA DEL 14 AL 21 '!BY12+'SEMANA DEL 21AL 28-3'!BY13+#REF!</f>
        <v>#REF!</v>
      </c>
      <c r="BZ10" s="203" t="e">
        <f>+'SEMANA DEL 2 AL 7-3-26'!BZ10+'SEMANA DEL 7 AL 14'!BZ12+'SEMANA DEL 14 AL 21 '!BZ12+'SEMANA DEL 21AL 28-3'!BZ13+#REF!</f>
        <v>#REF!</v>
      </c>
      <c r="CA10" s="203" t="e">
        <f>+'SEMANA DEL 2 AL 7-3-26'!CA10+'SEMANA DEL 7 AL 14'!CA12+'SEMANA DEL 14 AL 21 '!CA12+'SEMANA DEL 21AL 28-3'!CA13+#REF!</f>
        <v>#REF!</v>
      </c>
      <c r="CB10" s="203" t="e">
        <f>+'SEMANA DEL 2 AL 7-3-26'!CB10+'SEMANA DEL 7 AL 14'!CB12+'SEMANA DEL 14 AL 21 '!CB12+'SEMANA DEL 21AL 28-3'!CB13+#REF!</f>
        <v>#REF!</v>
      </c>
      <c r="CC10" s="203" t="e">
        <f>+'SEMANA DEL 2 AL 7-3-26'!CC10+'SEMANA DEL 7 AL 14'!CC12+'SEMANA DEL 14 AL 21 '!CC12+'SEMANA DEL 21AL 28-3'!CC13+#REF!</f>
        <v>#REF!</v>
      </c>
      <c r="CD10" s="203" t="e">
        <f>+'SEMANA DEL 2 AL 7-3-26'!CD10+'SEMANA DEL 7 AL 14'!CD12+'SEMANA DEL 14 AL 21 '!CD12+'SEMANA DEL 21AL 28-3'!CD13+#REF!</f>
        <v>#REF!</v>
      </c>
      <c r="CE10" s="203" t="e">
        <f>+'SEMANA DEL 2 AL 7-3-26'!CE10+'SEMANA DEL 7 AL 14'!CE12+'SEMANA DEL 14 AL 21 '!CE12+'SEMANA DEL 21AL 28-3'!CE13+#REF!</f>
        <v>#REF!</v>
      </c>
      <c r="CF10" s="203" t="e">
        <f>+'SEMANA DEL 2 AL 7-3-26'!CF10+'SEMANA DEL 7 AL 14'!CF12+'SEMANA DEL 14 AL 21 '!CF12+'SEMANA DEL 21AL 28-3'!CF13+#REF!</f>
        <v>#REF!</v>
      </c>
      <c r="CG10" s="203" t="e">
        <f>+'SEMANA DEL 2 AL 7-3-26'!CG10+'SEMANA DEL 7 AL 14'!CG12+'SEMANA DEL 14 AL 21 '!CG12+'SEMANA DEL 21AL 28-3'!CG13+#REF!</f>
        <v>#REF!</v>
      </c>
      <c r="CH10" s="203" t="e">
        <f>+'SEMANA DEL 2 AL 7-3-26'!CH10+'SEMANA DEL 7 AL 14'!CH12+'SEMANA DEL 14 AL 21 '!CH12+'SEMANA DEL 21AL 28-3'!CH13+#REF!</f>
        <v>#REF!</v>
      </c>
      <c r="CI10" s="203" t="e">
        <f>+'SEMANA DEL 2 AL 7-3-26'!CI10+'SEMANA DEL 7 AL 14'!CI12+'SEMANA DEL 14 AL 21 '!CI12+'SEMANA DEL 21AL 28-3'!CI13+#REF!</f>
        <v>#REF!</v>
      </c>
    </row>
    <row r="11" spans="1:87" x14ac:dyDescent="0.2">
      <c r="A11" s="34" t="str">
        <f>+'SEMANA DEL 2 AL 7-3-26'!A11</f>
        <v>ERNESTO REYES</v>
      </c>
      <c r="B11" s="203">
        <f>+'SEMANA DEL 2 AL 7-3-26'!B11</f>
        <v>0.20000000000000018</v>
      </c>
      <c r="C11" s="203">
        <f>+'SEMANA DEL 2 AL 7-3-26'!C11</f>
        <v>0.36000000000000121</v>
      </c>
      <c r="D11" s="203">
        <f>+'SEMANA DEL 2 AL 7-3-26'!D11</f>
        <v>1.3999999999999986</v>
      </c>
      <c r="E11" s="203">
        <f>+'SEMANA DEL 2 AL 7-3-26'!E11</f>
        <v>0</v>
      </c>
      <c r="F11" s="203">
        <f>+'SEMANA DEL 2 AL 7-3-26'!F11</f>
        <v>0</v>
      </c>
      <c r="G11" s="203">
        <f>+'SEMANA DEL 2 AL 7-3-26'!G11</f>
        <v>0</v>
      </c>
      <c r="H11" s="203">
        <f>+'SEMANA DEL 2 AL 7-3-26'!H11</f>
        <v>0</v>
      </c>
      <c r="I11" s="203">
        <f>+'SEMANA DEL 2 AL 7-3-26'!I11</f>
        <v>0</v>
      </c>
      <c r="J11" s="203">
        <f>+'SEMANA DEL 2 AL 7-3-26'!J11</f>
        <v>0</v>
      </c>
      <c r="K11" s="203">
        <f>+'SEMANA DEL 2 AL 7-3-26'!K11</f>
        <v>0</v>
      </c>
      <c r="L11" s="203">
        <f>+'SEMANA DEL 2 AL 7-3-26'!L11</f>
        <v>0</v>
      </c>
      <c r="M11" s="203">
        <f>+'SEMANA DEL 2 AL 7-3-26'!M11</f>
        <v>0</v>
      </c>
      <c r="N11" s="203">
        <f>+'SEMANA DEL 2 AL 7-3-26'!N11</f>
        <v>0</v>
      </c>
      <c r="O11" s="203">
        <f>+'SEMANA DEL 2 AL 7-3-26'!O11</f>
        <v>0</v>
      </c>
      <c r="P11" s="203">
        <f>+'SEMANA DEL 2 AL 7-3-26'!P11</f>
        <v>0</v>
      </c>
      <c r="Q11" s="203">
        <f>+'SEMANA DEL 2 AL 7-3-26'!Q11</f>
        <v>0</v>
      </c>
      <c r="R11" s="203" t="e">
        <f>+'SEMANA DEL 2 AL 7-3-26'!R11+'SEMANA DEL 7 AL 14'!R13+'SEMANA DEL 14 AL 21 '!R13+'SEMANA DEL 21AL 28-3'!R14+#REF!</f>
        <v>#REF!</v>
      </c>
      <c r="S11" s="203" t="e">
        <f>+'SEMANA DEL 2 AL 7-3-26'!S11+'SEMANA DEL 7 AL 14'!S13+'SEMANA DEL 14 AL 21 '!S13+'SEMANA DEL 21AL 28-3'!S14+#REF!</f>
        <v>#REF!</v>
      </c>
      <c r="T11" s="203" t="e">
        <f>+'SEMANA DEL 2 AL 7-3-26'!T11+'SEMANA DEL 7 AL 14'!T13+'SEMANA DEL 14 AL 21 '!T13+'SEMANA DEL 21AL 28-3'!T14+#REF!</f>
        <v>#REF!</v>
      </c>
      <c r="U11" s="203" t="e">
        <f>+'SEMANA DEL 2 AL 7-3-26'!U11+'SEMANA DEL 7 AL 14'!U13+'SEMANA DEL 14 AL 21 '!U13+'SEMANA DEL 21AL 28-3'!U14+#REF!</f>
        <v>#REF!</v>
      </c>
      <c r="V11" s="203" t="e">
        <f>+'SEMANA DEL 2 AL 7-3-26'!V11+'SEMANA DEL 7 AL 14'!V13+'SEMANA DEL 14 AL 21 '!V13+'SEMANA DEL 21AL 28-3'!V14+#REF!</f>
        <v>#REF!</v>
      </c>
      <c r="W11" s="203" t="e">
        <f>+'SEMANA DEL 2 AL 7-3-26'!W11+'SEMANA DEL 7 AL 14'!W13+'SEMANA DEL 14 AL 21 '!W13+'SEMANA DEL 21AL 28-3'!W14+#REF!</f>
        <v>#REF!</v>
      </c>
      <c r="X11" s="203" t="e">
        <f>+'SEMANA DEL 2 AL 7-3-26'!X11+'SEMANA DEL 7 AL 14'!X13+'SEMANA DEL 14 AL 21 '!X13+'SEMANA DEL 21AL 28-3'!X14+#REF!</f>
        <v>#REF!</v>
      </c>
      <c r="Y11" s="203" t="e">
        <f>+'SEMANA DEL 2 AL 7-3-26'!Y11+'SEMANA DEL 7 AL 14'!Y13+'SEMANA DEL 14 AL 21 '!Y13+'SEMANA DEL 21AL 28-3'!Y14+#REF!</f>
        <v>#REF!</v>
      </c>
      <c r="Z11" s="203" t="e">
        <f>+'SEMANA DEL 2 AL 7-3-26'!Z11+'SEMANA DEL 7 AL 14'!Z13+'SEMANA DEL 14 AL 21 '!Z13+'SEMANA DEL 21AL 28-3'!Z14+#REF!</f>
        <v>#REF!</v>
      </c>
      <c r="AA11" s="203" t="e">
        <f>+'SEMANA DEL 2 AL 7-3-26'!AA11+'SEMANA DEL 7 AL 14'!AA13+'SEMANA DEL 14 AL 21 '!AA13+'SEMANA DEL 21AL 28-3'!AA14+#REF!</f>
        <v>#REF!</v>
      </c>
      <c r="AB11" s="203" t="e">
        <f>+'SEMANA DEL 2 AL 7-3-26'!AB11+'SEMANA DEL 7 AL 14'!AB13+'SEMANA DEL 14 AL 21 '!AB13+'SEMANA DEL 21AL 28-3'!AB14+#REF!</f>
        <v>#REF!</v>
      </c>
      <c r="AC11" s="203" t="e">
        <f>+'SEMANA DEL 2 AL 7-3-26'!AC11+'SEMANA DEL 7 AL 14'!AC13+'SEMANA DEL 14 AL 21 '!AC13+'SEMANA DEL 21AL 28-3'!AC14+#REF!</f>
        <v>#REF!</v>
      </c>
      <c r="AD11" s="203" t="e">
        <f>+'SEMANA DEL 2 AL 7-3-26'!AD11+'SEMANA DEL 7 AL 14'!AD13+'SEMANA DEL 14 AL 21 '!AD13+'SEMANA DEL 21AL 28-3'!AD14+#REF!</f>
        <v>#REF!</v>
      </c>
      <c r="AE11" s="203" t="e">
        <f>+'SEMANA DEL 2 AL 7-3-26'!AE11+'SEMANA DEL 7 AL 14'!AE13+'SEMANA DEL 14 AL 21 '!AE13+'SEMANA DEL 21AL 28-3'!AE14+#REF!</f>
        <v>#REF!</v>
      </c>
      <c r="AF11" s="203" t="e">
        <f>+'SEMANA DEL 2 AL 7-3-26'!AF11+'SEMANA DEL 7 AL 14'!AF13+'SEMANA DEL 14 AL 21 '!AF13+'SEMANA DEL 21AL 28-3'!AF14+#REF!</f>
        <v>#REF!</v>
      </c>
      <c r="AG11" s="203" t="e">
        <f>+'SEMANA DEL 2 AL 7-3-26'!AG11+'SEMANA DEL 7 AL 14'!AG13+'SEMANA DEL 14 AL 21 '!AG13+'SEMANA DEL 21AL 28-3'!AG14+#REF!</f>
        <v>#REF!</v>
      </c>
      <c r="AH11" s="203" t="e">
        <f>+'SEMANA DEL 2 AL 7-3-26'!AH11+'SEMANA DEL 7 AL 14'!AH13+'SEMANA DEL 14 AL 21 '!AH13+'SEMANA DEL 21AL 28-3'!AH14+#REF!</f>
        <v>#REF!</v>
      </c>
      <c r="AI11" s="203" t="e">
        <f>+'SEMANA DEL 2 AL 7-3-26'!AI11+'SEMANA DEL 7 AL 14'!AI13+'SEMANA DEL 14 AL 21 '!AI13+'SEMANA DEL 21AL 28-3'!AI14+#REF!</f>
        <v>#REF!</v>
      </c>
      <c r="AJ11" s="203" t="e">
        <f>+'SEMANA DEL 2 AL 7-3-26'!AJ11+'SEMANA DEL 7 AL 14'!AJ13+'SEMANA DEL 14 AL 21 '!AJ13+'SEMANA DEL 21AL 28-3'!AJ14+#REF!</f>
        <v>#REF!</v>
      </c>
      <c r="AK11" s="203" t="e">
        <f>+'SEMANA DEL 2 AL 7-3-26'!AK11+'SEMANA DEL 7 AL 14'!AK13+'SEMANA DEL 14 AL 21 '!AK13+'SEMANA DEL 21AL 28-3'!AK14+#REF!</f>
        <v>#REF!</v>
      </c>
      <c r="AL11" s="203" t="e">
        <f>+'SEMANA DEL 2 AL 7-3-26'!AL11+'SEMANA DEL 7 AL 14'!AL13+'SEMANA DEL 14 AL 21 '!AL13+'SEMANA DEL 21AL 28-3'!AL14+#REF!</f>
        <v>#REF!</v>
      </c>
      <c r="AM11" s="203" t="e">
        <f>+'SEMANA DEL 2 AL 7-3-26'!AM11+'SEMANA DEL 7 AL 14'!AM13+'SEMANA DEL 14 AL 21 '!AM13+'SEMANA DEL 21AL 28-3'!AM14+#REF!</f>
        <v>#REF!</v>
      </c>
      <c r="AN11" s="203" t="e">
        <f>+'SEMANA DEL 2 AL 7-3-26'!AN11+'SEMANA DEL 7 AL 14'!AN13+'SEMANA DEL 14 AL 21 '!AN13+'SEMANA DEL 21AL 28-3'!AN14+#REF!</f>
        <v>#REF!</v>
      </c>
      <c r="AO11" s="203" t="e">
        <f>+'SEMANA DEL 2 AL 7-3-26'!AO11+'SEMANA DEL 7 AL 14'!AO13+'SEMANA DEL 14 AL 21 '!AO13+'SEMANA DEL 21AL 28-3'!AO14+#REF!</f>
        <v>#REF!</v>
      </c>
      <c r="AP11" s="203" t="e">
        <f>+'SEMANA DEL 2 AL 7-3-26'!AP11+'SEMANA DEL 7 AL 14'!AP13+'SEMANA DEL 14 AL 21 '!AP13+'SEMANA DEL 21AL 28-3'!AP14+#REF!</f>
        <v>#REF!</v>
      </c>
      <c r="AQ11" s="203" t="e">
        <f>+'SEMANA DEL 2 AL 7-3-26'!AQ11+'SEMANA DEL 7 AL 14'!AQ13+'SEMANA DEL 14 AL 21 '!AQ13+'SEMANA DEL 21AL 28-3'!AQ14+#REF!</f>
        <v>#REF!</v>
      </c>
      <c r="AR11" s="203" t="e">
        <f>+'SEMANA DEL 2 AL 7-3-26'!AR11+'SEMANA DEL 7 AL 14'!AR13+'SEMANA DEL 14 AL 21 '!AR13+'SEMANA DEL 21AL 28-3'!AR14+#REF!</f>
        <v>#REF!</v>
      </c>
      <c r="AS11" s="203" t="e">
        <f>+'SEMANA DEL 2 AL 7-3-26'!AS11+'SEMANA DEL 7 AL 14'!AS13+'SEMANA DEL 14 AL 21 '!AS13+'SEMANA DEL 21AL 28-3'!AS14+#REF!</f>
        <v>#REF!</v>
      </c>
      <c r="AT11" s="203" t="e">
        <f>+'SEMANA DEL 2 AL 7-3-26'!AT11+'SEMANA DEL 7 AL 14'!AT13+'SEMANA DEL 14 AL 21 '!AT13+'SEMANA DEL 21AL 28-3'!AT14+#REF!</f>
        <v>#REF!</v>
      </c>
      <c r="AU11" s="203" t="e">
        <f>+'SEMANA DEL 2 AL 7-3-26'!AU11+'SEMANA DEL 7 AL 14'!AU13+'SEMANA DEL 14 AL 21 '!AU13+'SEMANA DEL 21AL 28-3'!AU14+#REF!</f>
        <v>#REF!</v>
      </c>
      <c r="AV11" s="203" t="e">
        <f>+'SEMANA DEL 2 AL 7-3-26'!AV11+'SEMANA DEL 7 AL 14'!AV13+'SEMANA DEL 14 AL 21 '!AV13+'SEMANA DEL 21AL 28-3'!AV14+#REF!</f>
        <v>#REF!</v>
      </c>
      <c r="AW11" s="203" t="e">
        <f>+'SEMANA DEL 2 AL 7-3-26'!AW11+'SEMANA DEL 7 AL 14'!AW13+'SEMANA DEL 14 AL 21 '!AW13+'SEMANA DEL 21AL 28-3'!AW14+#REF!</f>
        <v>#REF!</v>
      </c>
      <c r="AX11" s="203" t="e">
        <f t="shared" si="1"/>
        <v>#REF!</v>
      </c>
      <c r="AY11" s="203" t="e">
        <f t="shared" si="2"/>
        <v>#REF!</v>
      </c>
      <c r="AZ11" s="203" t="e">
        <f t="shared" si="3"/>
        <v>#REF!</v>
      </c>
      <c r="BA11" s="203" t="e">
        <f t="shared" si="4"/>
        <v>#REF!</v>
      </c>
      <c r="BB11" s="203" t="e">
        <f t="shared" si="5"/>
        <v>#REF!</v>
      </c>
      <c r="BC11" s="203" t="e">
        <f t="shared" si="6"/>
        <v>#REF!</v>
      </c>
      <c r="BD11" s="203" t="e">
        <f t="shared" si="7"/>
        <v>#REF!</v>
      </c>
      <c r="BE11" s="203" t="e">
        <f t="shared" si="8"/>
        <v>#REF!</v>
      </c>
      <c r="BF11" s="203" t="e">
        <f t="shared" si="9"/>
        <v>#REF!</v>
      </c>
      <c r="BG11" s="203" t="e">
        <f t="shared" si="10"/>
        <v>#REF!</v>
      </c>
      <c r="BH11" s="203" t="e">
        <f t="shared" si="11"/>
        <v>#REF!</v>
      </c>
      <c r="BI11" s="203" t="e">
        <f t="shared" si="12"/>
        <v>#REF!</v>
      </c>
      <c r="BJ11" s="203" t="e">
        <f t="shared" si="13"/>
        <v>#REF!</v>
      </c>
      <c r="BK11" s="203" t="e">
        <f t="shared" si="14"/>
        <v>#REF!</v>
      </c>
      <c r="BL11" s="203" t="e">
        <f t="shared" si="15"/>
        <v>#REF!</v>
      </c>
      <c r="BM11" s="203" t="e">
        <f t="shared" si="16"/>
        <v>#REF!</v>
      </c>
      <c r="BN11" s="203" t="e">
        <f>+'SEMANA DEL 2 AL 7-3-26'!BN11+'SEMANA DEL 7 AL 14'!BN13+'SEMANA DEL 14 AL 21 '!BN13+'SEMANA DEL 21AL 28-3'!BN14+#REF!</f>
        <v>#REF!</v>
      </c>
      <c r="BO11" s="203" t="e">
        <f>+'SEMANA DEL 2 AL 7-3-26'!BO11+'SEMANA DEL 7 AL 14'!BO13+'SEMANA DEL 14 AL 21 '!BO13+'SEMANA DEL 21AL 28-3'!BO14+#REF!</f>
        <v>#REF!</v>
      </c>
      <c r="BP11" s="203" t="e">
        <f>+'SEMANA DEL 2 AL 7-3-26'!BP11+'SEMANA DEL 7 AL 14'!BP13+'SEMANA DEL 14 AL 21 '!BP13+'SEMANA DEL 21AL 28-3'!BP14+#REF!</f>
        <v>#REF!</v>
      </c>
      <c r="BQ11" s="203" t="e">
        <f>+'SEMANA DEL 2 AL 7-3-26'!BQ11+'SEMANA DEL 7 AL 14'!BQ13+'SEMANA DEL 14 AL 21 '!BQ13+'SEMANA DEL 21AL 28-3'!BQ14+#REF!</f>
        <v>#REF!</v>
      </c>
      <c r="BR11" s="203" t="e">
        <f>+'SEMANA DEL 2 AL 7-3-26'!BR11+'SEMANA DEL 7 AL 14'!BR13+'SEMANA DEL 14 AL 21 '!BR13+'SEMANA DEL 21AL 28-3'!BR14+#REF!</f>
        <v>#REF!</v>
      </c>
      <c r="BS11" s="203" t="e">
        <f>+'SEMANA DEL 2 AL 7-3-26'!BS11+'SEMANA DEL 7 AL 14'!BS13+'SEMANA DEL 14 AL 21 '!BS13+'SEMANA DEL 21AL 28-3'!BS14+#REF!</f>
        <v>#REF!</v>
      </c>
      <c r="BT11" s="203" t="e">
        <f>+'SEMANA DEL 2 AL 7-3-26'!BT11+'SEMANA DEL 7 AL 14'!BT13+'SEMANA DEL 14 AL 21 '!BT13+'SEMANA DEL 21AL 28-3'!BT14+#REF!</f>
        <v>#REF!</v>
      </c>
      <c r="BU11" s="203" t="e">
        <f>+'SEMANA DEL 2 AL 7-3-26'!BU11+'SEMANA DEL 7 AL 14'!BU13+'SEMANA DEL 14 AL 21 '!BU13+'SEMANA DEL 21AL 28-3'!BU14+#REF!</f>
        <v>#REF!</v>
      </c>
      <c r="BV11" s="203" t="e">
        <f>+'SEMANA DEL 2 AL 7-3-26'!BV11+'SEMANA DEL 7 AL 14'!BV13+'SEMANA DEL 14 AL 21 '!BV13+'SEMANA DEL 21AL 28-3'!BV14+#REF!</f>
        <v>#REF!</v>
      </c>
      <c r="BW11" s="203" t="e">
        <f>+'SEMANA DEL 2 AL 7-3-26'!BW11+'SEMANA DEL 7 AL 14'!BW13+'SEMANA DEL 14 AL 21 '!BW13+'SEMANA DEL 21AL 28-3'!BW14+#REF!</f>
        <v>#REF!</v>
      </c>
      <c r="BX11" s="203" t="e">
        <f>+'SEMANA DEL 2 AL 7-3-26'!BX11+'SEMANA DEL 7 AL 14'!BX13+'SEMANA DEL 14 AL 21 '!BX13+'SEMANA DEL 21AL 28-3'!BX14+#REF!</f>
        <v>#REF!</v>
      </c>
      <c r="BY11" s="203" t="e">
        <f>+'SEMANA DEL 2 AL 7-3-26'!BY11+'SEMANA DEL 7 AL 14'!BY13+'SEMANA DEL 14 AL 21 '!BY13+'SEMANA DEL 21AL 28-3'!BY14+#REF!</f>
        <v>#REF!</v>
      </c>
      <c r="BZ11" s="203" t="e">
        <f>+'SEMANA DEL 2 AL 7-3-26'!BZ11+'SEMANA DEL 7 AL 14'!BZ13+'SEMANA DEL 14 AL 21 '!BZ13+'SEMANA DEL 21AL 28-3'!BZ14+#REF!</f>
        <v>#REF!</v>
      </c>
      <c r="CA11" s="203" t="e">
        <f>+'SEMANA DEL 2 AL 7-3-26'!CA11+'SEMANA DEL 7 AL 14'!CA13+'SEMANA DEL 14 AL 21 '!CA13+'SEMANA DEL 21AL 28-3'!CA14+#REF!</f>
        <v>#REF!</v>
      </c>
      <c r="CB11" s="203" t="e">
        <f>+'SEMANA DEL 2 AL 7-3-26'!CB11+'SEMANA DEL 7 AL 14'!CB13+'SEMANA DEL 14 AL 21 '!CB13+'SEMANA DEL 21AL 28-3'!CB14+#REF!</f>
        <v>#REF!</v>
      </c>
      <c r="CC11" s="203" t="e">
        <f>+'SEMANA DEL 2 AL 7-3-26'!CC11+'SEMANA DEL 7 AL 14'!CC13+'SEMANA DEL 14 AL 21 '!CC13+'SEMANA DEL 21AL 28-3'!CC14+#REF!</f>
        <v>#REF!</v>
      </c>
      <c r="CD11" s="203" t="e">
        <f>+'SEMANA DEL 2 AL 7-3-26'!CD11+'SEMANA DEL 7 AL 14'!CD13+'SEMANA DEL 14 AL 21 '!CD13+'SEMANA DEL 21AL 28-3'!CD14+#REF!</f>
        <v>#REF!</v>
      </c>
      <c r="CE11" s="203" t="e">
        <f>+'SEMANA DEL 2 AL 7-3-26'!CE11+'SEMANA DEL 7 AL 14'!CE13+'SEMANA DEL 14 AL 21 '!CE13+'SEMANA DEL 21AL 28-3'!CE14+#REF!</f>
        <v>#REF!</v>
      </c>
      <c r="CF11" s="203" t="e">
        <f>+'SEMANA DEL 2 AL 7-3-26'!CF11+'SEMANA DEL 7 AL 14'!CF13+'SEMANA DEL 14 AL 21 '!CF13+'SEMANA DEL 21AL 28-3'!CF14+#REF!</f>
        <v>#REF!</v>
      </c>
      <c r="CG11" s="203" t="e">
        <f>+'SEMANA DEL 2 AL 7-3-26'!CG11+'SEMANA DEL 7 AL 14'!CG13+'SEMANA DEL 14 AL 21 '!CG13+'SEMANA DEL 21AL 28-3'!CG14+#REF!</f>
        <v>#REF!</v>
      </c>
      <c r="CH11" s="203" t="e">
        <f>+'SEMANA DEL 2 AL 7-3-26'!CH11+'SEMANA DEL 7 AL 14'!CH13+'SEMANA DEL 14 AL 21 '!CH13+'SEMANA DEL 21AL 28-3'!CH14+#REF!</f>
        <v>#REF!</v>
      </c>
      <c r="CI11" s="203" t="e">
        <f>+'SEMANA DEL 2 AL 7-3-26'!CI11+'SEMANA DEL 7 AL 14'!CI13+'SEMANA DEL 14 AL 21 '!CI13+'SEMANA DEL 21AL 28-3'!CI14+#REF!</f>
        <v>#REF!</v>
      </c>
    </row>
    <row r="12" spans="1:87" x14ac:dyDescent="0.2">
      <c r="A12" s="34" t="str">
        <f>+'SEMANA DEL 2 AL 7-3-26'!A12</f>
        <v xml:space="preserve">GUILLERMO ZAMBRANO </v>
      </c>
      <c r="B12" s="203">
        <f>+'SEMANA DEL 2 AL 7-3-26'!B12</f>
        <v>0.34999999999999964</v>
      </c>
      <c r="C12" s="203">
        <f>+'SEMANA DEL 2 AL 7-3-26'!C12</f>
        <v>1.6300000000000008</v>
      </c>
      <c r="D12" s="203">
        <f>+'SEMANA DEL 2 AL 7-3-26'!D12</f>
        <v>4.4500000000000028</v>
      </c>
      <c r="E12" s="203">
        <f>+'SEMANA DEL 2 AL 7-3-26'!E12</f>
        <v>0</v>
      </c>
      <c r="F12" s="203">
        <f>+'SEMANA DEL 2 AL 7-3-26'!F12</f>
        <v>0</v>
      </c>
      <c r="G12" s="203">
        <f>+'SEMANA DEL 2 AL 7-3-26'!G12</f>
        <v>0</v>
      </c>
      <c r="H12" s="203">
        <f>+'SEMANA DEL 2 AL 7-3-26'!H12</f>
        <v>0</v>
      </c>
      <c r="I12" s="203">
        <f>+'SEMANA DEL 2 AL 7-3-26'!I12</f>
        <v>0</v>
      </c>
      <c r="J12" s="203">
        <f>+'SEMANA DEL 2 AL 7-3-26'!J12</f>
        <v>0</v>
      </c>
      <c r="K12" s="203">
        <f>+'SEMANA DEL 2 AL 7-3-26'!K12</f>
        <v>0</v>
      </c>
      <c r="L12" s="203">
        <f>+'SEMANA DEL 2 AL 7-3-26'!L12</f>
        <v>0</v>
      </c>
      <c r="M12" s="203">
        <f>+'SEMANA DEL 2 AL 7-3-26'!M12</f>
        <v>0</v>
      </c>
      <c r="N12" s="203">
        <f>+'SEMANA DEL 2 AL 7-3-26'!N12</f>
        <v>0</v>
      </c>
      <c r="O12" s="203">
        <f>+'SEMANA DEL 2 AL 7-3-26'!O12</f>
        <v>0</v>
      </c>
      <c r="P12" s="203">
        <f>+'SEMANA DEL 2 AL 7-3-26'!P12</f>
        <v>0</v>
      </c>
      <c r="Q12" s="203">
        <f>+'SEMANA DEL 2 AL 7-3-26'!Q12</f>
        <v>0</v>
      </c>
      <c r="R12" s="203" t="e">
        <f>+'SEMANA DEL 2 AL 7-3-26'!R12+'SEMANA DEL 7 AL 14'!R16+'SEMANA DEL 14 AL 21 '!R16+'SEMANA DEL 21AL 28-3'!R17+#REF!</f>
        <v>#REF!</v>
      </c>
      <c r="S12" s="203" t="e">
        <f>+'SEMANA DEL 2 AL 7-3-26'!S12+'SEMANA DEL 7 AL 14'!S16+'SEMANA DEL 14 AL 21 '!S16+'SEMANA DEL 21AL 28-3'!S17+#REF!</f>
        <v>#REF!</v>
      </c>
      <c r="T12" s="203" t="e">
        <f>+'SEMANA DEL 2 AL 7-3-26'!T12+'SEMANA DEL 7 AL 14'!T16+'SEMANA DEL 14 AL 21 '!T16+'SEMANA DEL 21AL 28-3'!T17+#REF!</f>
        <v>#REF!</v>
      </c>
      <c r="U12" s="203" t="e">
        <f>+'SEMANA DEL 2 AL 7-3-26'!U12+'SEMANA DEL 7 AL 14'!U16+'SEMANA DEL 14 AL 21 '!U16+'SEMANA DEL 21AL 28-3'!U17+#REF!</f>
        <v>#REF!</v>
      </c>
      <c r="V12" s="203" t="e">
        <f>+'SEMANA DEL 2 AL 7-3-26'!V12+'SEMANA DEL 7 AL 14'!V16+'SEMANA DEL 14 AL 21 '!V16+'SEMANA DEL 21AL 28-3'!V17+#REF!</f>
        <v>#REF!</v>
      </c>
      <c r="W12" s="203" t="e">
        <f>+'SEMANA DEL 2 AL 7-3-26'!W12+'SEMANA DEL 7 AL 14'!W16+'SEMANA DEL 14 AL 21 '!W16+'SEMANA DEL 21AL 28-3'!W17+#REF!</f>
        <v>#REF!</v>
      </c>
      <c r="X12" s="203" t="e">
        <f>+'SEMANA DEL 2 AL 7-3-26'!X12+'SEMANA DEL 7 AL 14'!X16+'SEMANA DEL 14 AL 21 '!X16+'SEMANA DEL 21AL 28-3'!X17+#REF!</f>
        <v>#REF!</v>
      </c>
      <c r="Y12" s="203" t="e">
        <f>+'SEMANA DEL 2 AL 7-3-26'!Y12+'SEMANA DEL 7 AL 14'!Y16+'SEMANA DEL 14 AL 21 '!Y16+'SEMANA DEL 21AL 28-3'!Y17+#REF!</f>
        <v>#REF!</v>
      </c>
      <c r="Z12" s="203" t="e">
        <f>+'SEMANA DEL 2 AL 7-3-26'!Z12+'SEMANA DEL 7 AL 14'!Z16+'SEMANA DEL 14 AL 21 '!Z16+'SEMANA DEL 21AL 28-3'!Z17+#REF!</f>
        <v>#REF!</v>
      </c>
      <c r="AA12" s="203" t="e">
        <f>+'SEMANA DEL 2 AL 7-3-26'!AA12+'SEMANA DEL 7 AL 14'!AA16+'SEMANA DEL 14 AL 21 '!AA16+'SEMANA DEL 21AL 28-3'!AA17+#REF!</f>
        <v>#REF!</v>
      </c>
      <c r="AB12" s="203" t="e">
        <f>+'SEMANA DEL 2 AL 7-3-26'!AB12+'SEMANA DEL 7 AL 14'!AB16+'SEMANA DEL 14 AL 21 '!AB16+'SEMANA DEL 21AL 28-3'!AB17+#REF!</f>
        <v>#REF!</v>
      </c>
      <c r="AC12" s="203" t="e">
        <f>+'SEMANA DEL 2 AL 7-3-26'!AC12+'SEMANA DEL 7 AL 14'!AC16+'SEMANA DEL 14 AL 21 '!AC16+'SEMANA DEL 21AL 28-3'!AC17+#REF!</f>
        <v>#REF!</v>
      </c>
      <c r="AD12" s="203" t="e">
        <f>+'SEMANA DEL 2 AL 7-3-26'!AD12+'SEMANA DEL 7 AL 14'!AD16+'SEMANA DEL 14 AL 21 '!AD16+'SEMANA DEL 21AL 28-3'!AD17+#REF!</f>
        <v>#REF!</v>
      </c>
      <c r="AE12" s="203" t="e">
        <f>+'SEMANA DEL 2 AL 7-3-26'!AE12+'SEMANA DEL 7 AL 14'!AE16+'SEMANA DEL 14 AL 21 '!AE16+'SEMANA DEL 21AL 28-3'!AE17+#REF!</f>
        <v>#REF!</v>
      </c>
      <c r="AF12" s="203" t="e">
        <f>+'SEMANA DEL 2 AL 7-3-26'!AF12+'SEMANA DEL 7 AL 14'!AF16+'SEMANA DEL 14 AL 21 '!AF16+'SEMANA DEL 21AL 28-3'!AF17+#REF!</f>
        <v>#REF!</v>
      </c>
      <c r="AG12" s="203" t="e">
        <f>+'SEMANA DEL 2 AL 7-3-26'!AG12+'SEMANA DEL 7 AL 14'!AG16+'SEMANA DEL 14 AL 21 '!AG16+'SEMANA DEL 21AL 28-3'!AG17+#REF!</f>
        <v>#REF!</v>
      </c>
      <c r="AH12" s="203" t="e">
        <f>+'SEMANA DEL 2 AL 7-3-26'!AH12+'SEMANA DEL 7 AL 14'!AH16+'SEMANA DEL 14 AL 21 '!AH16+'SEMANA DEL 21AL 28-3'!AH17+#REF!</f>
        <v>#REF!</v>
      </c>
      <c r="AI12" s="203" t="e">
        <f>+'SEMANA DEL 2 AL 7-3-26'!AI12+'SEMANA DEL 7 AL 14'!AI16+'SEMANA DEL 14 AL 21 '!AI16+'SEMANA DEL 21AL 28-3'!AI17+#REF!</f>
        <v>#REF!</v>
      </c>
      <c r="AJ12" s="203" t="e">
        <f>+'SEMANA DEL 2 AL 7-3-26'!AJ12+'SEMANA DEL 7 AL 14'!AJ16+'SEMANA DEL 14 AL 21 '!AJ16+'SEMANA DEL 21AL 28-3'!AJ17+#REF!</f>
        <v>#REF!</v>
      </c>
      <c r="AK12" s="203" t="e">
        <f>+'SEMANA DEL 2 AL 7-3-26'!AK12+'SEMANA DEL 7 AL 14'!AK16+'SEMANA DEL 14 AL 21 '!AK16+'SEMANA DEL 21AL 28-3'!AK17+#REF!</f>
        <v>#REF!</v>
      </c>
      <c r="AL12" s="203" t="e">
        <f>+'SEMANA DEL 2 AL 7-3-26'!AL12+'SEMANA DEL 7 AL 14'!AL16+'SEMANA DEL 14 AL 21 '!AL16+'SEMANA DEL 21AL 28-3'!AL17+#REF!</f>
        <v>#REF!</v>
      </c>
      <c r="AM12" s="203" t="e">
        <f>+'SEMANA DEL 2 AL 7-3-26'!AM12+'SEMANA DEL 7 AL 14'!AM16+'SEMANA DEL 14 AL 21 '!AM16+'SEMANA DEL 21AL 28-3'!AM17+#REF!</f>
        <v>#REF!</v>
      </c>
      <c r="AN12" s="203" t="e">
        <f>+'SEMANA DEL 2 AL 7-3-26'!AN12+'SEMANA DEL 7 AL 14'!AN16+'SEMANA DEL 14 AL 21 '!AN16+'SEMANA DEL 21AL 28-3'!AN17+#REF!</f>
        <v>#REF!</v>
      </c>
      <c r="AO12" s="203" t="e">
        <f>+'SEMANA DEL 2 AL 7-3-26'!AO12+'SEMANA DEL 7 AL 14'!AO16+'SEMANA DEL 14 AL 21 '!AO16+'SEMANA DEL 21AL 28-3'!AO17+#REF!</f>
        <v>#REF!</v>
      </c>
      <c r="AP12" s="203" t="e">
        <f>+'SEMANA DEL 2 AL 7-3-26'!AP12+'SEMANA DEL 7 AL 14'!AP16+'SEMANA DEL 14 AL 21 '!AP16+'SEMANA DEL 21AL 28-3'!AP17+#REF!</f>
        <v>#REF!</v>
      </c>
      <c r="AQ12" s="203" t="e">
        <f>+'SEMANA DEL 2 AL 7-3-26'!AQ12+'SEMANA DEL 7 AL 14'!AQ16+'SEMANA DEL 14 AL 21 '!AQ16+'SEMANA DEL 21AL 28-3'!AQ17+#REF!</f>
        <v>#REF!</v>
      </c>
      <c r="AR12" s="203" t="e">
        <f>+'SEMANA DEL 2 AL 7-3-26'!AR12+'SEMANA DEL 7 AL 14'!AR16+'SEMANA DEL 14 AL 21 '!AR16+'SEMANA DEL 21AL 28-3'!AR17+#REF!</f>
        <v>#REF!</v>
      </c>
      <c r="AS12" s="203" t="e">
        <f>+'SEMANA DEL 2 AL 7-3-26'!AS12+'SEMANA DEL 7 AL 14'!AS16+'SEMANA DEL 14 AL 21 '!AS16+'SEMANA DEL 21AL 28-3'!AS17+#REF!</f>
        <v>#REF!</v>
      </c>
      <c r="AT12" s="203" t="e">
        <f>+'SEMANA DEL 2 AL 7-3-26'!AT12+'SEMANA DEL 7 AL 14'!AT16+'SEMANA DEL 14 AL 21 '!AT16+'SEMANA DEL 21AL 28-3'!AT17+#REF!</f>
        <v>#REF!</v>
      </c>
      <c r="AU12" s="203" t="e">
        <f>+'SEMANA DEL 2 AL 7-3-26'!AU12+'SEMANA DEL 7 AL 14'!AU16+'SEMANA DEL 14 AL 21 '!AU16+'SEMANA DEL 21AL 28-3'!AU17+#REF!</f>
        <v>#REF!</v>
      </c>
      <c r="AV12" s="203" t="e">
        <f>+'SEMANA DEL 2 AL 7-3-26'!AV12+'SEMANA DEL 7 AL 14'!AV16+'SEMANA DEL 14 AL 21 '!AV16+'SEMANA DEL 21AL 28-3'!AV17+#REF!</f>
        <v>#REF!</v>
      </c>
      <c r="AW12" s="203" t="e">
        <f>+'SEMANA DEL 2 AL 7-3-26'!AW12+'SEMANA DEL 7 AL 14'!AW16+'SEMANA DEL 14 AL 21 '!AW16+'SEMANA DEL 21AL 28-3'!AW17+#REF!</f>
        <v>#REF!</v>
      </c>
      <c r="AX12" s="203" t="e">
        <f t="shared" si="1"/>
        <v>#REF!</v>
      </c>
      <c r="AY12" s="203" t="e">
        <f t="shared" si="2"/>
        <v>#REF!</v>
      </c>
      <c r="AZ12" s="203" t="e">
        <f t="shared" si="3"/>
        <v>#REF!</v>
      </c>
      <c r="BA12" s="203" t="e">
        <f t="shared" si="4"/>
        <v>#REF!</v>
      </c>
      <c r="BB12" s="203" t="e">
        <f t="shared" si="5"/>
        <v>#REF!</v>
      </c>
      <c r="BC12" s="203" t="e">
        <f t="shared" si="6"/>
        <v>#REF!</v>
      </c>
      <c r="BD12" s="203" t="e">
        <f t="shared" si="7"/>
        <v>#REF!</v>
      </c>
      <c r="BE12" s="203" t="e">
        <f t="shared" si="8"/>
        <v>#REF!</v>
      </c>
      <c r="BF12" s="203" t="e">
        <f t="shared" si="9"/>
        <v>#REF!</v>
      </c>
      <c r="BG12" s="203" t="e">
        <f t="shared" si="10"/>
        <v>#REF!</v>
      </c>
      <c r="BH12" s="203" t="e">
        <f t="shared" si="11"/>
        <v>#REF!</v>
      </c>
      <c r="BI12" s="203" t="e">
        <f t="shared" si="12"/>
        <v>#REF!</v>
      </c>
      <c r="BJ12" s="203" t="e">
        <f t="shared" si="13"/>
        <v>#REF!</v>
      </c>
      <c r="BK12" s="203" t="e">
        <f t="shared" si="14"/>
        <v>#REF!</v>
      </c>
      <c r="BL12" s="203" t="e">
        <f t="shared" si="15"/>
        <v>#REF!</v>
      </c>
      <c r="BM12" s="203" t="e">
        <f t="shared" si="16"/>
        <v>#REF!</v>
      </c>
      <c r="BN12" s="203" t="e">
        <f>+'SEMANA DEL 2 AL 7-3-26'!BN12+'SEMANA DEL 7 AL 14'!BN16+'SEMANA DEL 14 AL 21 '!BN16+'SEMANA DEL 21AL 28-3'!BN17+#REF!</f>
        <v>#REF!</v>
      </c>
      <c r="BO12" s="203" t="e">
        <f>+'SEMANA DEL 2 AL 7-3-26'!BO12+'SEMANA DEL 7 AL 14'!BO16+'SEMANA DEL 14 AL 21 '!BO16+'SEMANA DEL 21AL 28-3'!BO17+#REF!</f>
        <v>#REF!</v>
      </c>
      <c r="BP12" s="203" t="e">
        <f>+'SEMANA DEL 2 AL 7-3-26'!BP12+'SEMANA DEL 7 AL 14'!BP16+'SEMANA DEL 14 AL 21 '!BP16+'SEMANA DEL 21AL 28-3'!BP17+#REF!</f>
        <v>#REF!</v>
      </c>
      <c r="BQ12" s="203" t="e">
        <f>+'SEMANA DEL 2 AL 7-3-26'!BQ12+'SEMANA DEL 7 AL 14'!BQ16+'SEMANA DEL 14 AL 21 '!BQ16+'SEMANA DEL 21AL 28-3'!BQ17+#REF!</f>
        <v>#REF!</v>
      </c>
      <c r="BR12" s="203" t="e">
        <f>+'SEMANA DEL 2 AL 7-3-26'!BR12+'SEMANA DEL 7 AL 14'!BR16+'SEMANA DEL 14 AL 21 '!BR16+'SEMANA DEL 21AL 28-3'!BR17+#REF!</f>
        <v>#REF!</v>
      </c>
      <c r="BS12" s="203" t="e">
        <f>+'SEMANA DEL 2 AL 7-3-26'!BS12+'SEMANA DEL 7 AL 14'!BS16+'SEMANA DEL 14 AL 21 '!BS16+'SEMANA DEL 21AL 28-3'!BS17+#REF!</f>
        <v>#REF!</v>
      </c>
      <c r="BT12" s="203" t="e">
        <f>+'SEMANA DEL 2 AL 7-3-26'!BT12+'SEMANA DEL 7 AL 14'!BT16+'SEMANA DEL 14 AL 21 '!BT16+'SEMANA DEL 21AL 28-3'!BT17+#REF!</f>
        <v>#REF!</v>
      </c>
      <c r="BU12" s="203" t="e">
        <f>+'SEMANA DEL 2 AL 7-3-26'!BU12+'SEMANA DEL 7 AL 14'!BU16+'SEMANA DEL 14 AL 21 '!BU16+'SEMANA DEL 21AL 28-3'!BU17+#REF!</f>
        <v>#REF!</v>
      </c>
      <c r="BV12" s="203" t="e">
        <f>+'SEMANA DEL 2 AL 7-3-26'!BV12+'SEMANA DEL 7 AL 14'!BV16+'SEMANA DEL 14 AL 21 '!BV16+'SEMANA DEL 21AL 28-3'!BV17+#REF!</f>
        <v>#REF!</v>
      </c>
      <c r="BW12" s="203" t="e">
        <f>+'SEMANA DEL 2 AL 7-3-26'!BW12+'SEMANA DEL 7 AL 14'!BW16+'SEMANA DEL 14 AL 21 '!BW16+'SEMANA DEL 21AL 28-3'!BW17+#REF!</f>
        <v>#REF!</v>
      </c>
      <c r="BX12" s="203" t="e">
        <f>+'SEMANA DEL 2 AL 7-3-26'!BX12+'SEMANA DEL 7 AL 14'!BX16+'SEMANA DEL 14 AL 21 '!BX16+'SEMANA DEL 21AL 28-3'!BX17+#REF!</f>
        <v>#REF!</v>
      </c>
      <c r="BY12" s="203" t="e">
        <f>+'SEMANA DEL 2 AL 7-3-26'!BY12+'SEMANA DEL 7 AL 14'!BY16+'SEMANA DEL 14 AL 21 '!BY16+'SEMANA DEL 21AL 28-3'!BY17+#REF!</f>
        <v>#REF!</v>
      </c>
      <c r="BZ12" s="203" t="e">
        <f>+'SEMANA DEL 2 AL 7-3-26'!BZ12+'SEMANA DEL 7 AL 14'!BZ16+'SEMANA DEL 14 AL 21 '!BZ16+'SEMANA DEL 21AL 28-3'!BZ17+#REF!</f>
        <v>#REF!</v>
      </c>
      <c r="CA12" s="203" t="e">
        <f>+'SEMANA DEL 2 AL 7-3-26'!CA12+'SEMANA DEL 7 AL 14'!CA16+'SEMANA DEL 14 AL 21 '!CA16+'SEMANA DEL 21AL 28-3'!CA17+#REF!</f>
        <v>#REF!</v>
      </c>
      <c r="CB12" s="203" t="e">
        <f>+'SEMANA DEL 2 AL 7-3-26'!CB12+'SEMANA DEL 7 AL 14'!CB16+'SEMANA DEL 14 AL 21 '!CB16+'SEMANA DEL 21AL 28-3'!CB17+#REF!</f>
        <v>#REF!</v>
      </c>
      <c r="CC12" s="203" t="e">
        <f>+'SEMANA DEL 2 AL 7-3-26'!CC12+'SEMANA DEL 7 AL 14'!CC16+'SEMANA DEL 14 AL 21 '!CC16+'SEMANA DEL 21AL 28-3'!CC17+#REF!</f>
        <v>#REF!</v>
      </c>
      <c r="CD12" s="203" t="e">
        <f>+'SEMANA DEL 2 AL 7-3-26'!CD12+'SEMANA DEL 7 AL 14'!CD16+'SEMANA DEL 14 AL 21 '!CD16+'SEMANA DEL 21AL 28-3'!CD17+#REF!</f>
        <v>#REF!</v>
      </c>
      <c r="CE12" s="203" t="e">
        <f>+'SEMANA DEL 2 AL 7-3-26'!CE12+'SEMANA DEL 7 AL 14'!CE16+'SEMANA DEL 14 AL 21 '!CE16+'SEMANA DEL 21AL 28-3'!CE17+#REF!</f>
        <v>#REF!</v>
      </c>
      <c r="CF12" s="203" t="e">
        <f>+'SEMANA DEL 2 AL 7-3-26'!CF12+'SEMANA DEL 7 AL 14'!CF16+'SEMANA DEL 14 AL 21 '!CF16+'SEMANA DEL 21AL 28-3'!CF17+#REF!</f>
        <v>#REF!</v>
      </c>
      <c r="CG12" s="203" t="e">
        <f>+'SEMANA DEL 2 AL 7-3-26'!CG12+'SEMANA DEL 7 AL 14'!CG16+'SEMANA DEL 14 AL 21 '!CG16+'SEMANA DEL 21AL 28-3'!CG17+#REF!</f>
        <v>#REF!</v>
      </c>
      <c r="CH12" s="203" t="e">
        <f>+'SEMANA DEL 2 AL 7-3-26'!CH12+'SEMANA DEL 7 AL 14'!CH16+'SEMANA DEL 14 AL 21 '!CH16+'SEMANA DEL 21AL 28-3'!CH17+#REF!</f>
        <v>#REF!</v>
      </c>
      <c r="CI12" s="203" t="e">
        <f>+'SEMANA DEL 2 AL 7-3-26'!CI12+'SEMANA DEL 7 AL 14'!CI16+'SEMANA DEL 14 AL 21 '!CI16+'SEMANA DEL 21AL 28-3'!CI17+#REF!</f>
        <v>#REF!</v>
      </c>
    </row>
    <row r="13" spans="1:87" x14ac:dyDescent="0.2">
      <c r="A13" s="34" t="e">
        <f>+'SEMANA DEL 2 AL 7-3-26'!#REF!</f>
        <v>#REF!</v>
      </c>
      <c r="B13" s="203" t="e">
        <f>+'SEMANA DEL 2 AL 7-3-26'!#REF!</f>
        <v>#REF!</v>
      </c>
      <c r="C13" s="203" t="e">
        <f>+'SEMANA DEL 2 AL 7-3-26'!#REF!</f>
        <v>#REF!</v>
      </c>
      <c r="D13" s="203" t="e">
        <f>+'SEMANA DEL 2 AL 7-3-26'!#REF!</f>
        <v>#REF!</v>
      </c>
      <c r="E13" s="203" t="e">
        <f>+'SEMANA DEL 2 AL 7-3-26'!#REF!</f>
        <v>#REF!</v>
      </c>
      <c r="F13" s="203" t="e">
        <f>+'SEMANA DEL 2 AL 7-3-26'!#REF!</f>
        <v>#REF!</v>
      </c>
      <c r="G13" s="203" t="e">
        <f>+'SEMANA DEL 2 AL 7-3-26'!#REF!</f>
        <v>#REF!</v>
      </c>
      <c r="H13" s="203" t="e">
        <f>+'SEMANA DEL 2 AL 7-3-26'!#REF!</f>
        <v>#REF!</v>
      </c>
      <c r="I13" s="203" t="e">
        <f>+'SEMANA DEL 2 AL 7-3-26'!#REF!</f>
        <v>#REF!</v>
      </c>
      <c r="J13" s="203" t="e">
        <f>+'SEMANA DEL 2 AL 7-3-26'!#REF!</f>
        <v>#REF!</v>
      </c>
      <c r="K13" s="203" t="e">
        <f>+'SEMANA DEL 2 AL 7-3-26'!#REF!</f>
        <v>#REF!</v>
      </c>
      <c r="L13" s="203" t="e">
        <f>+'SEMANA DEL 2 AL 7-3-26'!#REF!</f>
        <v>#REF!</v>
      </c>
      <c r="M13" s="203" t="e">
        <f>+'SEMANA DEL 2 AL 7-3-26'!#REF!</f>
        <v>#REF!</v>
      </c>
      <c r="N13" s="203" t="e">
        <f>+'SEMANA DEL 2 AL 7-3-26'!#REF!</f>
        <v>#REF!</v>
      </c>
      <c r="O13" s="203" t="e">
        <f>+'SEMANA DEL 2 AL 7-3-26'!#REF!</f>
        <v>#REF!</v>
      </c>
      <c r="P13" s="203" t="e">
        <f>+'SEMANA DEL 2 AL 7-3-26'!#REF!</f>
        <v>#REF!</v>
      </c>
      <c r="Q13" s="203" t="e">
        <f>+'SEMANA DEL 2 AL 7-3-26'!#REF!</f>
        <v>#REF!</v>
      </c>
      <c r="R13" s="203" t="e">
        <f>+'SEMANA DEL 2 AL 7-3-26'!R13+'SEMANA DEL 7 AL 14'!R17+'SEMANA DEL 14 AL 21 '!R17+'SEMANA DEL 21AL 28-3'!R18+#REF!</f>
        <v>#REF!</v>
      </c>
      <c r="S13" s="203" t="e">
        <f>+'SEMANA DEL 2 AL 7-3-26'!S13+'SEMANA DEL 7 AL 14'!S17+'SEMANA DEL 14 AL 21 '!S17+'SEMANA DEL 21AL 28-3'!S18+#REF!</f>
        <v>#REF!</v>
      </c>
      <c r="T13" s="203" t="e">
        <f>+'SEMANA DEL 2 AL 7-3-26'!T13+'SEMANA DEL 7 AL 14'!T17+'SEMANA DEL 14 AL 21 '!T17+'SEMANA DEL 21AL 28-3'!T18+#REF!</f>
        <v>#REF!</v>
      </c>
      <c r="U13" s="203" t="e">
        <f>+'SEMANA DEL 2 AL 7-3-26'!U13+'SEMANA DEL 7 AL 14'!U17+'SEMANA DEL 14 AL 21 '!U17+'SEMANA DEL 21AL 28-3'!U18+#REF!</f>
        <v>#REF!</v>
      </c>
      <c r="V13" s="203" t="e">
        <f>+'SEMANA DEL 2 AL 7-3-26'!V13+'SEMANA DEL 7 AL 14'!V17+'SEMANA DEL 14 AL 21 '!V17+'SEMANA DEL 21AL 28-3'!V18+#REF!</f>
        <v>#REF!</v>
      </c>
      <c r="W13" s="203" t="e">
        <f>+'SEMANA DEL 2 AL 7-3-26'!W13+'SEMANA DEL 7 AL 14'!W17+'SEMANA DEL 14 AL 21 '!W17+'SEMANA DEL 21AL 28-3'!W18+#REF!</f>
        <v>#REF!</v>
      </c>
      <c r="X13" s="203" t="e">
        <f>+'SEMANA DEL 2 AL 7-3-26'!X13+'SEMANA DEL 7 AL 14'!X17+'SEMANA DEL 14 AL 21 '!X17+'SEMANA DEL 21AL 28-3'!X18+#REF!</f>
        <v>#REF!</v>
      </c>
      <c r="Y13" s="203" t="e">
        <f>+'SEMANA DEL 2 AL 7-3-26'!Y13+'SEMANA DEL 7 AL 14'!Y17+'SEMANA DEL 14 AL 21 '!Y17+'SEMANA DEL 21AL 28-3'!Y18+#REF!</f>
        <v>#REF!</v>
      </c>
      <c r="Z13" s="203" t="e">
        <f>+'SEMANA DEL 2 AL 7-3-26'!Z13+'SEMANA DEL 7 AL 14'!Z17+'SEMANA DEL 14 AL 21 '!Z17+'SEMANA DEL 21AL 28-3'!Z18+#REF!</f>
        <v>#REF!</v>
      </c>
      <c r="AA13" s="203" t="e">
        <f>+'SEMANA DEL 2 AL 7-3-26'!AA13+'SEMANA DEL 7 AL 14'!AA17+'SEMANA DEL 14 AL 21 '!AA17+'SEMANA DEL 21AL 28-3'!AA18+#REF!</f>
        <v>#REF!</v>
      </c>
      <c r="AB13" s="203" t="e">
        <f>+'SEMANA DEL 2 AL 7-3-26'!AB13+'SEMANA DEL 7 AL 14'!AB17+'SEMANA DEL 14 AL 21 '!AB17+'SEMANA DEL 21AL 28-3'!AB18+#REF!</f>
        <v>#REF!</v>
      </c>
      <c r="AC13" s="203" t="e">
        <f>+'SEMANA DEL 2 AL 7-3-26'!AC13+'SEMANA DEL 7 AL 14'!AC17+'SEMANA DEL 14 AL 21 '!AC17+'SEMANA DEL 21AL 28-3'!AC18+#REF!</f>
        <v>#REF!</v>
      </c>
      <c r="AD13" s="203" t="e">
        <f>+'SEMANA DEL 2 AL 7-3-26'!AD13+'SEMANA DEL 7 AL 14'!AD17+'SEMANA DEL 14 AL 21 '!AD17+'SEMANA DEL 21AL 28-3'!AD18+#REF!</f>
        <v>#REF!</v>
      </c>
      <c r="AE13" s="203" t="e">
        <f>+'SEMANA DEL 2 AL 7-3-26'!AE13+'SEMANA DEL 7 AL 14'!AE17+'SEMANA DEL 14 AL 21 '!AE17+'SEMANA DEL 21AL 28-3'!AE18+#REF!</f>
        <v>#REF!</v>
      </c>
      <c r="AF13" s="203" t="e">
        <f>+'SEMANA DEL 2 AL 7-3-26'!AF13+'SEMANA DEL 7 AL 14'!AF17+'SEMANA DEL 14 AL 21 '!AF17+'SEMANA DEL 21AL 28-3'!AF18+#REF!</f>
        <v>#REF!</v>
      </c>
      <c r="AG13" s="203" t="e">
        <f>+'SEMANA DEL 2 AL 7-3-26'!AG13+'SEMANA DEL 7 AL 14'!AG17+'SEMANA DEL 14 AL 21 '!AG17+'SEMANA DEL 21AL 28-3'!AG18+#REF!</f>
        <v>#REF!</v>
      </c>
      <c r="AH13" s="203" t="e">
        <f>+'SEMANA DEL 2 AL 7-3-26'!AH13+'SEMANA DEL 7 AL 14'!AH17+'SEMANA DEL 14 AL 21 '!AH17+'SEMANA DEL 21AL 28-3'!AH18+#REF!</f>
        <v>#REF!</v>
      </c>
      <c r="AI13" s="203" t="e">
        <f>+'SEMANA DEL 2 AL 7-3-26'!AI13+'SEMANA DEL 7 AL 14'!AI17+'SEMANA DEL 14 AL 21 '!AI17+'SEMANA DEL 21AL 28-3'!AI18+#REF!</f>
        <v>#REF!</v>
      </c>
      <c r="AJ13" s="203" t="e">
        <f>+'SEMANA DEL 2 AL 7-3-26'!AJ13+'SEMANA DEL 7 AL 14'!AJ17+'SEMANA DEL 14 AL 21 '!AJ17+'SEMANA DEL 21AL 28-3'!AJ18+#REF!</f>
        <v>#REF!</v>
      </c>
      <c r="AK13" s="203" t="e">
        <f>+'SEMANA DEL 2 AL 7-3-26'!AK13+'SEMANA DEL 7 AL 14'!AK17+'SEMANA DEL 14 AL 21 '!AK17+'SEMANA DEL 21AL 28-3'!AK18+#REF!</f>
        <v>#REF!</v>
      </c>
      <c r="AL13" s="203" t="e">
        <f>+'SEMANA DEL 2 AL 7-3-26'!AL13+'SEMANA DEL 7 AL 14'!AL17+'SEMANA DEL 14 AL 21 '!AL17+'SEMANA DEL 21AL 28-3'!AL18+#REF!</f>
        <v>#REF!</v>
      </c>
      <c r="AM13" s="203" t="e">
        <f>+'SEMANA DEL 2 AL 7-3-26'!AM13+'SEMANA DEL 7 AL 14'!AM17+'SEMANA DEL 14 AL 21 '!AM17+'SEMANA DEL 21AL 28-3'!AM18+#REF!</f>
        <v>#REF!</v>
      </c>
      <c r="AN13" s="203" t="e">
        <f>+'SEMANA DEL 2 AL 7-3-26'!AN13+'SEMANA DEL 7 AL 14'!AN17+'SEMANA DEL 14 AL 21 '!AN17+'SEMANA DEL 21AL 28-3'!AN18+#REF!</f>
        <v>#REF!</v>
      </c>
      <c r="AO13" s="203" t="e">
        <f>+'SEMANA DEL 2 AL 7-3-26'!AO13+'SEMANA DEL 7 AL 14'!AO17+'SEMANA DEL 14 AL 21 '!AO17+'SEMANA DEL 21AL 28-3'!AO18+#REF!</f>
        <v>#REF!</v>
      </c>
      <c r="AP13" s="203" t="e">
        <f>+'SEMANA DEL 2 AL 7-3-26'!AP13+'SEMANA DEL 7 AL 14'!AP17+'SEMANA DEL 14 AL 21 '!AP17+'SEMANA DEL 21AL 28-3'!AP18+#REF!</f>
        <v>#REF!</v>
      </c>
      <c r="AQ13" s="203" t="e">
        <f>+'SEMANA DEL 2 AL 7-3-26'!AQ13+'SEMANA DEL 7 AL 14'!AQ17+'SEMANA DEL 14 AL 21 '!AQ17+'SEMANA DEL 21AL 28-3'!AQ18+#REF!</f>
        <v>#REF!</v>
      </c>
      <c r="AR13" s="203" t="e">
        <f>+'SEMANA DEL 2 AL 7-3-26'!AR13+'SEMANA DEL 7 AL 14'!AR17+'SEMANA DEL 14 AL 21 '!AR17+'SEMANA DEL 21AL 28-3'!AR18+#REF!</f>
        <v>#REF!</v>
      </c>
      <c r="AS13" s="203" t="e">
        <f>+'SEMANA DEL 2 AL 7-3-26'!AS13+'SEMANA DEL 7 AL 14'!AS17+'SEMANA DEL 14 AL 21 '!AS17+'SEMANA DEL 21AL 28-3'!AS18+#REF!</f>
        <v>#REF!</v>
      </c>
      <c r="AT13" s="203" t="e">
        <f>+'SEMANA DEL 2 AL 7-3-26'!AT13+'SEMANA DEL 7 AL 14'!AT17+'SEMANA DEL 14 AL 21 '!AT17+'SEMANA DEL 21AL 28-3'!AT18+#REF!</f>
        <v>#REF!</v>
      </c>
      <c r="AU13" s="203" t="e">
        <f>+'SEMANA DEL 2 AL 7-3-26'!AU13+'SEMANA DEL 7 AL 14'!AU17+'SEMANA DEL 14 AL 21 '!AU17+'SEMANA DEL 21AL 28-3'!AU18+#REF!</f>
        <v>#REF!</v>
      </c>
      <c r="AV13" s="203" t="e">
        <f>+'SEMANA DEL 2 AL 7-3-26'!AV13+'SEMANA DEL 7 AL 14'!AV17+'SEMANA DEL 14 AL 21 '!AV17+'SEMANA DEL 21AL 28-3'!AV18+#REF!</f>
        <v>#REF!</v>
      </c>
      <c r="AW13" s="203" t="e">
        <f>+'SEMANA DEL 2 AL 7-3-26'!AW13+'SEMANA DEL 7 AL 14'!AW17+'SEMANA DEL 14 AL 21 '!AW17+'SEMANA DEL 21AL 28-3'!AW18+#REF!</f>
        <v>#REF!</v>
      </c>
      <c r="AX13" s="203" t="e">
        <f t="shared" si="1"/>
        <v>#REF!</v>
      </c>
      <c r="AY13" s="203" t="e">
        <f t="shared" si="2"/>
        <v>#REF!</v>
      </c>
      <c r="AZ13" s="203" t="e">
        <f t="shared" si="3"/>
        <v>#REF!</v>
      </c>
      <c r="BA13" s="203" t="e">
        <f t="shared" si="4"/>
        <v>#REF!</v>
      </c>
      <c r="BB13" s="203" t="e">
        <f t="shared" si="5"/>
        <v>#REF!</v>
      </c>
      <c r="BC13" s="203" t="e">
        <f t="shared" si="6"/>
        <v>#REF!</v>
      </c>
      <c r="BD13" s="203" t="e">
        <f t="shared" si="7"/>
        <v>#REF!</v>
      </c>
      <c r="BE13" s="203" t="e">
        <f t="shared" si="8"/>
        <v>#REF!</v>
      </c>
      <c r="BF13" s="203" t="e">
        <f t="shared" si="9"/>
        <v>#REF!</v>
      </c>
      <c r="BG13" s="203" t="e">
        <f t="shared" si="10"/>
        <v>#REF!</v>
      </c>
      <c r="BH13" s="203" t="e">
        <f t="shared" si="11"/>
        <v>#REF!</v>
      </c>
      <c r="BI13" s="203" t="e">
        <f t="shared" si="12"/>
        <v>#REF!</v>
      </c>
      <c r="BJ13" s="203" t="e">
        <f t="shared" si="13"/>
        <v>#REF!</v>
      </c>
      <c r="BK13" s="203" t="e">
        <f t="shared" si="14"/>
        <v>#REF!</v>
      </c>
      <c r="BL13" s="203" t="e">
        <f t="shared" si="15"/>
        <v>#REF!</v>
      </c>
      <c r="BM13" s="203" t="e">
        <f t="shared" si="16"/>
        <v>#REF!</v>
      </c>
      <c r="BN13" s="203" t="e">
        <f>+'SEMANA DEL 2 AL 7-3-26'!BN13+'SEMANA DEL 7 AL 14'!BN17+'SEMANA DEL 14 AL 21 '!BN17+'SEMANA DEL 21AL 28-3'!BN18+#REF!</f>
        <v>#REF!</v>
      </c>
      <c r="BO13" s="203" t="e">
        <f>+'SEMANA DEL 2 AL 7-3-26'!BO13+'SEMANA DEL 7 AL 14'!BO17+'SEMANA DEL 14 AL 21 '!BO17+'SEMANA DEL 21AL 28-3'!BO18+#REF!</f>
        <v>#REF!</v>
      </c>
      <c r="BP13" s="203" t="e">
        <f>+'SEMANA DEL 2 AL 7-3-26'!BP13+'SEMANA DEL 7 AL 14'!BP17+'SEMANA DEL 14 AL 21 '!BP17+'SEMANA DEL 21AL 28-3'!BP18+#REF!</f>
        <v>#REF!</v>
      </c>
      <c r="BQ13" s="203" t="e">
        <f>+'SEMANA DEL 2 AL 7-3-26'!BQ13+'SEMANA DEL 7 AL 14'!BQ17+'SEMANA DEL 14 AL 21 '!BQ17+'SEMANA DEL 21AL 28-3'!BQ18+#REF!</f>
        <v>#REF!</v>
      </c>
      <c r="BR13" s="203" t="e">
        <f>+'SEMANA DEL 2 AL 7-3-26'!BR13+'SEMANA DEL 7 AL 14'!BR17+'SEMANA DEL 14 AL 21 '!BR17+'SEMANA DEL 21AL 28-3'!BR18+#REF!</f>
        <v>#REF!</v>
      </c>
      <c r="BS13" s="203" t="e">
        <f>+'SEMANA DEL 2 AL 7-3-26'!BS13+'SEMANA DEL 7 AL 14'!BS17+'SEMANA DEL 14 AL 21 '!BS17+'SEMANA DEL 21AL 28-3'!BS18+#REF!</f>
        <v>#REF!</v>
      </c>
      <c r="BT13" s="203" t="e">
        <f>+'SEMANA DEL 2 AL 7-3-26'!BT13+'SEMANA DEL 7 AL 14'!BT17+'SEMANA DEL 14 AL 21 '!BT17+'SEMANA DEL 21AL 28-3'!BT18+#REF!</f>
        <v>#REF!</v>
      </c>
      <c r="BU13" s="203" t="e">
        <f>+'SEMANA DEL 2 AL 7-3-26'!BU13+'SEMANA DEL 7 AL 14'!BU17+'SEMANA DEL 14 AL 21 '!BU17+'SEMANA DEL 21AL 28-3'!BU18+#REF!</f>
        <v>#REF!</v>
      </c>
      <c r="BV13" s="203" t="e">
        <f>+'SEMANA DEL 2 AL 7-3-26'!BV13+'SEMANA DEL 7 AL 14'!BV17+'SEMANA DEL 14 AL 21 '!BV17+'SEMANA DEL 21AL 28-3'!BV18+#REF!</f>
        <v>#REF!</v>
      </c>
      <c r="BW13" s="203" t="e">
        <f>+'SEMANA DEL 2 AL 7-3-26'!BW13+'SEMANA DEL 7 AL 14'!BW17+'SEMANA DEL 14 AL 21 '!BW17+'SEMANA DEL 21AL 28-3'!BW18+#REF!</f>
        <v>#REF!</v>
      </c>
      <c r="BX13" s="203" t="e">
        <f>+'SEMANA DEL 2 AL 7-3-26'!BX13+'SEMANA DEL 7 AL 14'!BX17+'SEMANA DEL 14 AL 21 '!BX17+'SEMANA DEL 21AL 28-3'!BX18+#REF!</f>
        <v>#REF!</v>
      </c>
      <c r="BY13" s="203" t="e">
        <f>+'SEMANA DEL 2 AL 7-3-26'!BY13+'SEMANA DEL 7 AL 14'!BY17+'SEMANA DEL 14 AL 21 '!BY17+'SEMANA DEL 21AL 28-3'!BY18+#REF!</f>
        <v>#REF!</v>
      </c>
      <c r="BZ13" s="203" t="e">
        <f>+'SEMANA DEL 2 AL 7-3-26'!BZ13+'SEMANA DEL 7 AL 14'!BZ17+'SEMANA DEL 14 AL 21 '!BZ17+'SEMANA DEL 21AL 28-3'!BZ18+#REF!</f>
        <v>#REF!</v>
      </c>
      <c r="CA13" s="203" t="e">
        <f>+'SEMANA DEL 2 AL 7-3-26'!CA13+'SEMANA DEL 7 AL 14'!CA17+'SEMANA DEL 14 AL 21 '!CA17+'SEMANA DEL 21AL 28-3'!CA18+#REF!</f>
        <v>#REF!</v>
      </c>
      <c r="CB13" s="203" t="e">
        <f>+'SEMANA DEL 2 AL 7-3-26'!CB13+'SEMANA DEL 7 AL 14'!CB17+'SEMANA DEL 14 AL 21 '!CB17+'SEMANA DEL 21AL 28-3'!CB18+#REF!</f>
        <v>#REF!</v>
      </c>
      <c r="CC13" s="203" t="e">
        <f>+'SEMANA DEL 2 AL 7-3-26'!CC13+'SEMANA DEL 7 AL 14'!CC17+'SEMANA DEL 14 AL 21 '!CC17+'SEMANA DEL 21AL 28-3'!CC18+#REF!</f>
        <v>#REF!</v>
      </c>
      <c r="CD13" s="203" t="e">
        <f>+'SEMANA DEL 2 AL 7-3-26'!CD13+'SEMANA DEL 7 AL 14'!CD17+'SEMANA DEL 14 AL 21 '!CD17+'SEMANA DEL 21AL 28-3'!CD18+#REF!</f>
        <v>#REF!</v>
      </c>
      <c r="CE13" s="203" t="e">
        <f>+'SEMANA DEL 2 AL 7-3-26'!CE13+'SEMANA DEL 7 AL 14'!CE17+'SEMANA DEL 14 AL 21 '!CE17+'SEMANA DEL 21AL 28-3'!CE18+#REF!</f>
        <v>#REF!</v>
      </c>
      <c r="CF13" s="203" t="e">
        <f>+'SEMANA DEL 2 AL 7-3-26'!CF13+'SEMANA DEL 7 AL 14'!CF17+'SEMANA DEL 14 AL 21 '!CF17+'SEMANA DEL 21AL 28-3'!CF18+#REF!</f>
        <v>#REF!</v>
      </c>
      <c r="CG13" s="203" t="e">
        <f>+'SEMANA DEL 2 AL 7-3-26'!CG13+'SEMANA DEL 7 AL 14'!CG17+'SEMANA DEL 14 AL 21 '!CG17+'SEMANA DEL 21AL 28-3'!CG18+#REF!</f>
        <v>#REF!</v>
      </c>
      <c r="CH13" s="203" t="e">
        <f>+'SEMANA DEL 2 AL 7-3-26'!CH13+'SEMANA DEL 7 AL 14'!CH17+'SEMANA DEL 14 AL 21 '!CH17+'SEMANA DEL 21AL 28-3'!CH18+#REF!</f>
        <v>#REF!</v>
      </c>
      <c r="CI13" s="203" t="e">
        <f>+'SEMANA DEL 2 AL 7-3-26'!CI13+'SEMANA DEL 7 AL 14'!CI17+'SEMANA DEL 14 AL 21 '!CI17+'SEMANA DEL 21AL 28-3'!CI18+#REF!</f>
        <v>#REF!</v>
      </c>
    </row>
    <row r="14" spans="1:87" x14ac:dyDescent="0.2">
      <c r="A14" s="34" t="str">
        <f>+'SEMANA DEL 2 AL 7-3-26'!A13</f>
        <v>HUGO ALMEIDA</v>
      </c>
      <c r="B14" s="203">
        <f>+'SEMANA DEL 2 AL 7-3-26'!B13</f>
        <v>0</v>
      </c>
      <c r="C14" s="203">
        <f>+'SEMANA DEL 2 AL 7-3-26'!C13</f>
        <v>0</v>
      </c>
      <c r="D14" s="203">
        <f>+'SEMANA DEL 2 AL 7-3-26'!D13</f>
        <v>0</v>
      </c>
      <c r="E14" s="203">
        <f>+'SEMANA DEL 2 AL 7-3-26'!E13</f>
        <v>0</v>
      </c>
      <c r="F14" s="203">
        <f>+'SEMANA DEL 2 AL 7-3-26'!F13</f>
        <v>0</v>
      </c>
      <c r="G14" s="203">
        <f>+'SEMANA DEL 2 AL 7-3-26'!G13</f>
        <v>0</v>
      </c>
      <c r="H14" s="203">
        <f>+'SEMANA DEL 2 AL 7-3-26'!H13</f>
        <v>0</v>
      </c>
      <c r="I14" s="203">
        <f>+'SEMANA DEL 2 AL 7-3-26'!I13</f>
        <v>0</v>
      </c>
      <c r="J14" s="203">
        <f>+'SEMANA DEL 2 AL 7-3-26'!J13</f>
        <v>0</v>
      </c>
      <c r="K14" s="203">
        <f>+'SEMANA DEL 2 AL 7-3-26'!K13</f>
        <v>0</v>
      </c>
      <c r="L14" s="203">
        <f>+'SEMANA DEL 2 AL 7-3-26'!L13</f>
        <v>0</v>
      </c>
      <c r="M14" s="203">
        <f>+'SEMANA DEL 2 AL 7-3-26'!M13</f>
        <v>0</v>
      </c>
      <c r="N14" s="203">
        <f>+'SEMANA DEL 2 AL 7-3-26'!N13</f>
        <v>0</v>
      </c>
      <c r="O14" s="203">
        <f>+'SEMANA DEL 2 AL 7-3-26'!O13</f>
        <v>0</v>
      </c>
      <c r="P14" s="203">
        <f>+'SEMANA DEL 2 AL 7-3-26'!P13</f>
        <v>0</v>
      </c>
      <c r="Q14" s="203">
        <f>+'SEMANA DEL 2 AL 7-3-26'!Q13</f>
        <v>0</v>
      </c>
      <c r="R14" s="203" t="e">
        <f>+'SEMANA DEL 2 AL 7-3-26'!R14+'SEMANA DEL 7 AL 14'!#REF!+'SEMANA DEL 14 AL 21 '!#REF!+'SEMANA DEL 21AL 28-3'!#REF!+#REF!</f>
        <v>#REF!</v>
      </c>
      <c r="S14" s="203" t="e">
        <f>+'SEMANA DEL 2 AL 7-3-26'!S14+'SEMANA DEL 7 AL 14'!#REF!+'SEMANA DEL 14 AL 21 '!#REF!+'SEMANA DEL 21AL 28-3'!#REF!+#REF!</f>
        <v>#REF!</v>
      </c>
      <c r="T14" s="203" t="e">
        <f>+'SEMANA DEL 2 AL 7-3-26'!T14+'SEMANA DEL 7 AL 14'!#REF!+'SEMANA DEL 14 AL 21 '!#REF!+'SEMANA DEL 21AL 28-3'!#REF!+#REF!</f>
        <v>#REF!</v>
      </c>
      <c r="U14" s="203" t="e">
        <f>+'SEMANA DEL 2 AL 7-3-26'!U14+'SEMANA DEL 7 AL 14'!#REF!+'SEMANA DEL 14 AL 21 '!#REF!+'SEMANA DEL 21AL 28-3'!#REF!+#REF!</f>
        <v>#REF!</v>
      </c>
      <c r="V14" s="203" t="e">
        <f>+'SEMANA DEL 2 AL 7-3-26'!V14+'SEMANA DEL 7 AL 14'!#REF!+'SEMANA DEL 14 AL 21 '!#REF!+'SEMANA DEL 21AL 28-3'!#REF!+#REF!</f>
        <v>#REF!</v>
      </c>
      <c r="W14" s="203" t="e">
        <f>+'SEMANA DEL 2 AL 7-3-26'!W14+'SEMANA DEL 7 AL 14'!#REF!+'SEMANA DEL 14 AL 21 '!#REF!+'SEMANA DEL 21AL 28-3'!#REF!+#REF!</f>
        <v>#REF!</v>
      </c>
      <c r="X14" s="203" t="e">
        <f>+'SEMANA DEL 2 AL 7-3-26'!X14+'SEMANA DEL 7 AL 14'!#REF!+'SEMANA DEL 14 AL 21 '!#REF!+'SEMANA DEL 21AL 28-3'!#REF!+#REF!</f>
        <v>#REF!</v>
      </c>
      <c r="Y14" s="203" t="e">
        <f>+'SEMANA DEL 2 AL 7-3-26'!Y14+'SEMANA DEL 7 AL 14'!#REF!+'SEMANA DEL 14 AL 21 '!#REF!+'SEMANA DEL 21AL 28-3'!#REF!+#REF!</f>
        <v>#REF!</v>
      </c>
      <c r="Z14" s="203" t="e">
        <f>+'SEMANA DEL 2 AL 7-3-26'!Z14+'SEMANA DEL 7 AL 14'!#REF!+'SEMANA DEL 14 AL 21 '!#REF!+'SEMANA DEL 21AL 28-3'!#REF!+#REF!</f>
        <v>#REF!</v>
      </c>
      <c r="AA14" s="203" t="e">
        <f>+'SEMANA DEL 2 AL 7-3-26'!AA14+'SEMANA DEL 7 AL 14'!#REF!+'SEMANA DEL 14 AL 21 '!#REF!+'SEMANA DEL 21AL 28-3'!#REF!+#REF!</f>
        <v>#REF!</v>
      </c>
      <c r="AB14" s="203" t="e">
        <f>+'SEMANA DEL 2 AL 7-3-26'!AB14+'SEMANA DEL 7 AL 14'!#REF!+'SEMANA DEL 14 AL 21 '!#REF!+'SEMANA DEL 21AL 28-3'!#REF!+#REF!</f>
        <v>#REF!</v>
      </c>
      <c r="AC14" s="203" t="e">
        <f>+'SEMANA DEL 2 AL 7-3-26'!AC14+'SEMANA DEL 7 AL 14'!#REF!+'SEMANA DEL 14 AL 21 '!#REF!+'SEMANA DEL 21AL 28-3'!#REF!+#REF!</f>
        <v>#REF!</v>
      </c>
      <c r="AD14" s="203" t="e">
        <f>+'SEMANA DEL 2 AL 7-3-26'!AD14+'SEMANA DEL 7 AL 14'!#REF!+'SEMANA DEL 14 AL 21 '!#REF!+'SEMANA DEL 21AL 28-3'!#REF!+#REF!</f>
        <v>#REF!</v>
      </c>
      <c r="AE14" s="203" t="e">
        <f>+'SEMANA DEL 2 AL 7-3-26'!AE14+'SEMANA DEL 7 AL 14'!#REF!+'SEMANA DEL 14 AL 21 '!#REF!+'SEMANA DEL 21AL 28-3'!#REF!+#REF!</f>
        <v>#REF!</v>
      </c>
      <c r="AF14" s="203" t="e">
        <f>+'SEMANA DEL 2 AL 7-3-26'!AF14+'SEMANA DEL 7 AL 14'!#REF!+'SEMANA DEL 14 AL 21 '!#REF!+'SEMANA DEL 21AL 28-3'!#REF!+#REF!</f>
        <v>#REF!</v>
      </c>
      <c r="AG14" s="203" t="e">
        <f>+'SEMANA DEL 2 AL 7-3-26'!AG14+'SEMANA DEL 7 AL 14'!#REF!+'SEMANA DEL 14 AL 21 '!#REF!+'SEMANA DEL 21AL 28-3'!#REF!+#REF!</f>
        <v>#REF!</v>
      </c>
      <c r="AH14" s="203" t="e">
        <f>+'SEMANA DEL 2 AL 7-3-26'!AH14+'SEMANA DEL 7 AL 14'!#REF!+'SEMANA DEL 14 AL 21 '!#REF!+'SEMANA DEL 21AL 28-3'!#REF!+#REF!</f>
        <v>#REF!</v>
      </c>
      <c r="AI14" s="203" t="e">
        <f>+'SEMANA DEL 2 AL 7-3-26'!AI14+'SEMANA DEL 7 AL 14'!#REF!+'SEMANA DEL 14 AL 21 '!#REF!+'SEMANA DEL 21AL 28-3'!#REF!+#REF!</f>
        <v>#REF!</v>
      </c>
      <c r="AJ14" s="203" t="e">
        <f>+'SEMANA DEL 2 AL 7-3-26'!AJ14+'SEMANA DEL 7 AL 14'!#REF!+'SEMANA DEL 14 AL 21 '!#REF!+'SEMANA DEL 21AL 28-3'!#REF!+#REF!</f>
        <v>#REF!</v>
      </c>
      <c r="AK14" s="203" t="e">
        <f>+'SEMANA DEL 2 AL 7-3-26'!AK14+'SEMANA DEL 7 AL 14'!#REF!+'SEMANA DEL 14 AL 21 '!#REF!+'SEMANA DEL 21AL 28-3'!#REF!+#REF!</f>
        <v>#REF!</v>
      </c>
      <c r="AL14" s="203" t="e">
        <f>+'SEMANA DEL 2 AL 7-3-26'!AL14+'SEMANA DEL 7 AL 14'!#REF!+'SEMANA DEL 14 AL 21 '!#REF!+'SEMANA DEL 21AL 28-3'!#REF!+#REF!</f>
        <v>#REF!</v>
      </c>
      <c r="AM14" s="203" t="e">
        <f>+'SEMANA DEL 2 AL 7-3-26'!AM14+'SEMANA DEL 7 AL 14'!#REF!+'SEMANA DEL 14 AL 21 '!#REF!+'SEMANA DEL 21AL 28-3'!#REF!+#REF!</f>
        <v>#REF!</v>
      </c>
      <c r="AN14" s="203" t="e">
        <f>+'SEMANA DEL 2 AL 7-3-26'!AN14+'SEMANA DEL 7 AL 14'!#REF!+'SEMANA DEL 14 AL 21 '!#REF!+'SEMANA DEL 21AL 28-3'!#REF!+#REF!</f>
        <v>#REF!</v>
      </c>
      <c r="AO14" s="203" t="e">
        <f>+'SEMANA DEL 2 AL 7-3-26'!AO14+'SEMANA DEL 7 AL 14'!#REF!+'SEMANA DEL 14 AL 21 '!#REF!+'SEMANA DEL 21AL 28-3'!#REF!+#REF!</f>
        <v>#REF!</v>
      </c>
      <c r="AP14" s="203" t="e">
        <f>+'SEMANA DEL 2 AL 7-3-26'!AP14+'SEMANA DEL 7 AL 14'!#REF!+'SEMANA DEL 14 AL 21 '!#REF!+'SEMANA DEL 21AL 28-3'!#REF!+#REF!</f>
        <v>#REF!</v>
      </c>
      <c r="AQ14" s="203" t="e">
        <f>+'SEMANA DEL 2 AL 7-3-26'!AQ14+'SEMANA DEL 7 AL 14'!#REF!+'SEMANA DEL 14 AL 21 '!#REF!+'SEMANA DEL 21AL 28-3'!#REF!+#REF!</f>
        <v>#REF!</v>
      </c>
      <c r="AR14" s="203" t="e">
        <f>+'SEMANA DEL 2 AL 7-3-26'!AR14+'SEMANA DEL 7 AL 14'!#REF!+'SEMANA DEL 14 AL 21 '!#REF!+'SEMANA DEL 21AL 28-3'!#REF!+#REF!</f>
        <v>#REF!</v>
      </c>
      <c r="AS14" s="203" t="e">
        <f>+'SEMANA DEL 2 AL 7-3-26'!AS14+'SEMANA DEL 7 AL 14'!#REF!+'SEMANA DEL 14 AL 21 '!#REF!+'SEMANA DEL 21AL 28-3'!#REF!+#REF!</f>
        <v>#REF!</v>
      </c>
      <c r="AT14" s="203" t="e">
        <f>+'SEMANA DEL 2 AL 7-3-26'!AT14+'SEMANA DEL 7 AL 14'!#REF!+'SEMANA DEL 14 AL 21 '!#REF!+'SEMANA DEL 21AL 28-3'!#REF!+#REF!</f>
        <v>#REF!</v>
      </c>
      <c r="AU14" s="203" t="e">
        <f>+'SEMANA DEL 2 AL 7-3-26'!AU14+'SEMANA DEL 7 AL 14'!#REF!+'SEMANA DEL 14 AL 21 '!#REF!+'SEMANA DEL 21AL 28-3'!#REF!+#REF!</f>
        <v>#REF!</v>
      </c>
      <c r="AV14" s="203" t="e">
        <f>+'SEMANA DEL 2 AL 7-3-26'!AV14+'SEMANA DEL 7 AL 14'!#REF!+'SEMANA DEL 14 AL 21 '!#REF!+'SEMANA DEL 21AL 28-3'!#REF!+#REF!</f>
        <v>#REF!</v>
      </c>
      <c r="AW14" s="203" t="e">
        <f>+'SEMANA DEL 2 AL 7-3-26'!AW14+'SEMANA DEL 7 AL 14'!#REF!+'SEMANA DEL 14 AL 21 '!#REF!+'SEMANA DEL 21AL 28-3'!#REF!+#REF!</f>
        <v>#REF!</v>
      </c>
      <c r="AX14" s="203" t="e">
        <f t="shared" si="1"/>
        <v>#REF!</v>
      </c>
      <c r="AY14" s="203" t="e">
        <f t="shared" si="2"/>
        <v>#REF!</v>
      </c>
      <c r="AZ14" s="203" t="e">
        <f t="shared" si="3"/>
        <v>#REF!</v>
      </c>
      <c r="BA14" s="203" t="e">
        <f t="shared" si="4"/>
        <v>#REF!</v>
      </c>
      <c r="BB14" s="203" t="e">
        <f t="shared" si="5"/>
        <v>#REF!</v>
      </c>
      <c r="BC14" s="203" t="e">
        <f t="shared" si="6"/>
        <v>#REF!</v>
      </c>
      <c r="BD14" s="203" t="e">
        <f t="shared" si="7"/>
        <v>#REF!</v>
      </c>
      <c r="BE14" s="203" t="e">
        <f t="shared" si="8"/>
        <v>#REF!</v>
      </c>
      <c r="BF14" s="203" t="e">
        <f t="shared" si="9"/>
        <v>#REF!</v>
      </c>
      <c r="BG14" s="203" t="e">
        <f t="shared" si="10"/>
        <v>#REF!</v>
      </c>
      <c r="BH14" s="203" t="e">
        <f t="shared" si="11"/>
        <v>#REF!</v>
      </c>
      <c r="BI14" s="203" t="e">
        <f t="shared" si="12"/>
        <v>#REF!</v>
      </c>
      <c r="BJ14" s="203" t="e">
        <f t="shared" si="13"/>
        <v>#REF!</v>
      </c>
      <c r="BK14" s="203" t="e">
        <f t="shared" si="14"/>
        <v>#REF!</v>
      </c>
      <c r="BL14" s="203" t="e">
        <f t="shared" si="15"/>
        <v>#REF!</v>
      </c>
      <c r="BM14" s="203" t="e">
        <f t="shared" si="16"/>
        <v>#REF!</v>
      </c>
      <c r="BN14" s="203" t="e">
        <f>+'SEMANA DEL 2 AL 7-3-26'!BN14+'SEMANA DEL 7 AL 14'!#REF!+'SEMANA DEL 14 AL 21 '!#REF!+'SEMANA DEL 21AL 28-3'!#REF!+#REF!</f>
        <v>#REF!</v>
      </c>
      <c r="BO14" s="203" t="e">
        <f>+'SEMANA DEL 2 AL 7-3-26'!BO14+'SEMANA DEL 7 AL 14'!#REF!+'SEMANA DEL 14 AL 21 '!#REF!+'SEMANA DEL 21AL 28-3'!#REF!+#REF!</f>
        <v>#REF!</v>
      </c>
      <c r="BP14" s="203" t="e">
        <f>+'SEMANA DEL 2 AL 7-3-26'!BP14+'SEMANA DEL 7 AL 14'!#REF!+'SEMANA DEL 14 AL 21 '!#REF!+'SEMANA DEL 21AL 28-3'!#REF!+#REF!</f>
        <v>#REF!</v>
      </c>
      <c r="BQ14" s="203" t="e">
        <f>+'SEMANA DEL 2 AL 7-3-26'!BQ14+'SEMANA DEL 7 AL 14'!#REF!+'SEMANA DEL 14 AL 21 '!#REF!+'SEMANA DEL 21AL 28-3'!#REF!+#REF!</f>
        <v>#REF!</v>
      </c>
      <c r="BR14" s="203" t="e">
        <f>+'SEMANA DEL 2 AL 7-3-26'!BR14+'SEMANA DEL 7 AL 14'!#REF!+'SEMANA DEL 14 AL 21 '!#REF!+'SEMANA DEL 21AL 28-3'!#REF!+#REF!</f>
        <v>#REF!</v>
      </c>
      <c r="BS14" s="203" t="e">
        <f>+'SEMANA DEL 2 AL 7-3-26'!BS14+'SEMANA DEL 7 AL 14'!#REF!+'SEMANA DEL 14 AL 21 '!#REF!+'SEMANA DEL 21AL 28-3'!#REF!+#REF!</f>
        <v>#REF!</v>
      </c>
      <c r="BT14" s="203" t="e">
        <f>+'SEMANA DEL 2 AL 7-3-26'!BT14+'SEMANA DEL 7 AL 14'!#REF!+'SEMANA DEL 14 AL 21 '!#REF!+'SEMANA DEL 21AL 28-3'!#REF!+#REF!</f>
        <v>#REF!</v>
      </c>
      <c r="BU14" s="203" t="e">
        <f>+'SEMANA DEL 2 AL 7-3-26'!BU14+'SEMANA DEL 7 AL 14'!#REF!+'SEMANA DEL 14 AL 21 '!#REF!+'SEMANA DEL 21AL 28-3'!#REF!+#REF!</f>
        <v>#REF!</v>
      </c>
      <c r="BV14" s="203" t="e">
        <f>+'SEMANA DEL 2 AL 7-3-26'!BV14+'SEMANA DEL 7 AL 14'!#REF!+'SEMANA DEL 14 AL 21 '!#REF!+'SEMANA DEL 21AL 28-3'!#REF!+#REF!</f>
        <v>#REF!</v>
      </c>
      <c r="BW14" s="203" t="e">
        <f>+'SEMANA DEL 2 AL 7-3-26'!BW14+'SEMANA DEL 7 AL 14'!#REF!+'SEMANA DEL 14 AL 21 '!#REF!+'SEMANA DEL 21AL 28-3'!#REF!+#REF!</f>
        <v>#REF!</v>
      </c>
      <c r="BX14" s="203" t="e">
        <f>+'SEMANA DEL 2 AL 7-3-26'!BX14+'SEMANA DEL 7 AL 14'!#REF!+'SEMANA DEL 14 AL 21 '!#REF!+'SEMANA DEL 21AL 28-3'!#REF!+#REF!</f>
        <v>#REF!</v>
      </c>
      <c r="BY14" s="203" t="e">
        <f>+'SEMANA DEL 2 AL 7-3-26'!BY14+'SEMANA DEL 7 AL 14'!#REF!+'SEMANA DEL 14 AL 21 '!#REF!+'SEMANA DEL 21AL 28-3'!#REF!+#REF!</f>
        <v>#REF!</v>
      </c>
      <c r="BZ14" s="203" t="e">
        <f>+'SEMANA DEL 2 AL 7-3-26'!BZ14+'SEMANA DEL 7 AL 14'!#REF!+'SEMANA DEL 14 AL 21 '!#REF!+'SEMANA DEL 21AL 28-3'!#REF!+#REF!</f>
        <v>#REF!</v>
      </c>
      <c r="CA14" s="203" t="e">
        <f>+'SEMANA DEL 2 AL 7-3-26'!CA14+'SEMANA DEL 7 AL 14'!#REF!+'SEMANA DEL 14 AL 21 '!#REF!+'SEMANA DEL 21AL 28-3'!#REF!+#REF!</f>
        <v>#REF!</v>
      </c>
      <c r="CB14" s="203" t="e">
        <f>+'SEMANA DEL 2 AL 7-3-26'!CB14+'SEMANA DEL 7 AL 14'!#REF!+'SEMANA DEL 14 AL 21 '!#REF!+'SEMANA DEL 21AL 28-3'!#REF!+#REF!</f>
        <v>#REF!</v>
      </c>
      <c r="CC14" s="203" t="e">
        <f>+'SEMANA DEL 2 AL 7-3-26'!CC14+'SEMANA DEL 7 AL 14'!#REF!+'SEMANA DEL 14 AL 21 '!#REF!+'SEMANA DEL 21AL 28-3'!#REF!+#REF!</f>
        <v>#REF!</v>
      </c>
      <c r="CD14" s="203" t="e">
        <f>+'SEMANA DEL 2 AL 7-3-26'!CD14+'SEMANA DEL 7 AL 14'!#REF!+'SEMANA DEL 14 AL 21 '!#REF!+'SEMANA DEL 21AL 28-3'!#REF!+#REF!</f>
        <v>#REF!</v>
      </c>
      <c r="CE14" s="203" t="e">
        <f>+'SEMANA DEL 2 AL 7-3-26'!CE14+'SEMANA DEL 7 AL 14'!#REF!+'SEMANA DEL 14 AL 21 '!#REF!+'SEMANA DEL 21AL 28-3'!#REF!+#REF!</f>
        <v>#REF!</v>
      </c>
      <c r="CF14" s="203" t="e">
        <f>+'SEMANA DEL 2 AL 7-3-26'!CF14+'SEMANA DEL 7 AL 14'!#REF!+'SEMANA DEL 14 AL 21 '!#REF!+'SEMANA DEL 21AL 28-3'!#REF!+#REF!</f>
        <v>#REF!</v>
      </c>
      <c r="CG14" s="203" t="e">
        <f>+'SEMANA DEL 2 AL 7-3-26'!CG14+'SEMANA DEL 7 AL 14'!#REF!+'SEMANA DEL 14 AL 21 '!#REF!+'SEMANA DEL 21AL 28-3'!#REF!+#REF!</f>
        <v>#REF!</v>
      </c>
      <c r="CH14" s="203" t="e">
        <f>+'SEMANA DEL 2 AL 7-3-26'!CH14+'SEMANA DEL 7 AL 14'!#REF!+'SEMANA DEL 14 AL 21 '!#REF!+'SEMANA DEL 21AL 28-3'!#REF!+#REF!</f>
        <v>#REF!</v>
      </c>
      <c r="CI14" s="203" t="e">
        <f>+'SEMANA DEL 2 AL 7-3-26'!CI14+'SEMANA DEL 7 AL 14'!#REF!+'SEMANA DEL 14 AL 21 '!#REF!+'SEMANA DEL 21AL 28-3'!#REF!+#REF!</f>
        <v>#REF!</v>
      </c>
    </row>
    <row r="15" spans="1:87" x14ac:dyDescent="0.2">
      <c r="A15" s="34" t="str">
        <f>+'SEMANA DEL 2 AL 7-3-26'!A14</f>
        <v>HILDA SERRANO</v>
      </c>
      <c r="B15" s="203">
        <f>+'SEMANA DEL 2 AL 7-3-26'!B14</f>
        <v>1</v>
      </c>
      <c r="C15" s="203">
        <f>+'SEMANA DEL 2 AL 7-3-26'!C14</f>
        <v>1.8000000000000007</v>
      </c>
      <c r="D15" s="203">
        <f>+'SEMANA DEL 2 AL 7-3-26'!D14</f>
        <v>7</v>
      </c>
      <c r="E15" s="203">
        <f>+'SEMANA DEL 2 AL 7-3-26'!E14</f>
        <v>0</v>
      </c>
      <c r="F15" s="203">
        <f>+'SEMANA DEL 2 AL 7-3-26'!F14</f>
        <v>0</v>
      </c>
      <c r="G15" s="203">
        <f>+'SEMANA DEL 2 AL 7-3-26'!G14</f>
        <v>0</v>
      </c>
      <c r="H15" s="203">
        <f>+'SEMANA DEL 2 AL 7-3-26'!H14</f>
        <v>0</v>
      </c>
      <c r="I15" s="203">
        <f>+'SEMANA DEL 2 AL 7-3-26'!I14</f>
        <v>0</v>
      </c>
      <c r="J15" s="203">
        <f>+'SEMANA DEL 2 AL 7-3-26'!J14</f>
        <v>0</v>
      </c>
      <c r="K15" s="203">
        <f>+'SEMANA DEL 2 AL 7-3-26'!K14</f>
        <v>0</v>
      </c>
      <c r="L15" s="203">
        <f>+'SEMANA DEL 2 AL 7-3-26'!L14</f>
        <v>0</v>
      </c>
      <c r="M15" s="203">
        <f>+'SEMANA DEL 2 AL 7-3-26'!M14</f>
        <v>0</v>
      </c>
      <c r="N15" s="203">
        <f>+'SEMANA DEL 2 AL 7-3-26'!N14</f>
        <v>0</v>
      </c>
      <c r="O15" s="203">
        <f>+'SEMANA DEL 2 AL 7-3-26'!O14</f>
        <v>0</v>
      </c>
      <c r="P15" s="203">
        <f>+'SEMANA DEL 2 AL 7-3-26'!P14</f>
        <v>0</v>
      </c>
      <c r="Q15" s="203">
        <f>+'SEMANA DEL 2 AL 7-3-26'!Q14</f>
        <v>0</v>
      </c>
      <c r="R15" s="203" t="e">
        <f>+'SEMANA DEL 2 AL 7-3-26'!R16+'SEMANA DEL 7 AL 14'!R20+'SEMANA DEL 14 AL 21 '!R20+'SEMANA DEL 21AL 28-3'!R21+#REF!</f>
        <v>#REF!</v>
      </c>
      <c r="S15" s="203" t="e">
        <f>+'SEMANA DEL 2 AL 7-3-26'!S16+'SEMANA DEL 7 AL 14'!S20+'SEMANA DEL 14 AL 21 '!S20+'SEMANA DEL 21AL 28-3'!S21+#REF!</f>
        <v>#REF!</v>
      </c>
      <c r="T15" s="203" t="e">
        <f>+'SEMANA DEL 2 AL 7-3-26'!T16+'SEMANA DEL 7 AL 14'!T20+'SEMANA DEL 14 AL 21 '!T20+'SEMANA DEL 21AL 28-3'!T21+#REF!</f>
        <v>#REF!</v>
      </c>
      <c r="U15" s="203" t="e">
        <f>+'SEMANA DEL 2 AL 7-3-26'!U16+'SEMANA DEL 7 AL 14'!U20+'SEMANA DEL 14 AL 21 '!U20+'SEMANA DEL 21AL 28-3'!U21+#REF!</f>
        <v>#REF!</v>
      </c>
      <c r="V15" s="203" t="e">
        <f>+'SEMANA DEL 2 AL 7-3-26'!V16+'SEMANA DEL 7 AL 14'!V20+'SEMANA DEL 14 AL 21 '!V20+'SEMANA DEL 21AL 28-3'!V21+#REF!</f>
        <v>#REF!</v>
      </c>
      <c r="W15" s="203" t="e">
        <f>+'SEMANA DEL 2 AL 7-3-26'!W16+'SEMANA DEL 7 AL 14'!W20+'SEMANA DEL 14 AL 21 '!W20+'SEMANA DEL 21AL 28-3'!W21+#REF!</f>
        <v>#REF!</v>
      </c>
      <c r="X15" s="203" t="e">
        <f>+'SEMANA DEL 2 AL 7-3-26'!X16+'SEMANA DEL 7 AL 14'!X20+'SEMANA DEL 14 AL 21 '!X20+'SEMANA DEL 21AL 28-3'!X21+#REF!</f>
        <v>#REF!</v>
      </c>
      <c r="Y15" s="203" t="e">
        <f>+'SEMANA DEL 2 AL 7-3-26'!Y16+'SEMANA DEL 7 AL 14'!Y20+'SEMANA DEL 14 AL 21 '!Y20+'SEMANA DEL 21AL 28-3'!Y21+#REF!</f>
        <v>#REF!</v>
      </c>
      <c r="Z15" s="203" t="e">
        <f>+'SEMANA DEL 2 AL 7-3-26'!Z16+'SEMANA DEL 7 AL 14'!Z20+'SEMANA DEL 14 AL 21 '!Z20+'SEMANA DEL 21AL 28-3'!Z21+#REF!</f>
        <v>#REF!</v>
      </c>
      <c r="AA15" s="203" t="e">
        <f>+'SEMANA DEL 2 AL 7-3-26'!AA16+'SEMANA DEL 7 AL 14'!AA20+'SEMANA DEL 14 AL 21 '!AA20+'SEMANA DEL 21AL 28-3'!AA21+#REF!</f>
        <v>#REF!</v>
      </c>
      <c r="AB15" s="203" t="e">
        <f>+'SEMANA DEL 2 AL 7-3-26'!AB16+'SEMANA DEL 7 AL 14'!AB20+'SEMANA DEL 14 AL 21 '!AB20+'SEMANA DEL 21AL 28-3'!AB21+#REF!</f>
        <v>#REF!</v>
      </c>
      <c r="AC15" s="203" t="e">
        <f>+'SEMANA DEL 2 AL 7-3-26'!AC16+'SEMANA DEL 7 AL 14'!AC20+'SEMANA DEL 14 AL 21 '!AC20+'SEMANA DEL 21AL 28-3'!AC21+#REF!</f>
        <v>#REF!</v>
      </c>
      <c r="AD15" s="203" t="e">
        <f>+'SEMANA DEL 2 AL 7-3-26'!AD16+'SEMANA DEL 7 AL 14'!AD20+'SEMANA DEL 14 AL 21 '!AD20+'SEMANA DEL 21AL 28-3'!AD21+#REF!</f>
        <v>#REF!</v>
      </c>
      <c r="AE15" s="203" t="e">
        <f>+'SEMANA DEL 2 AL 7-3-26'!AE16+'SEMANA DEL 7 AL 14'!AE20+'SEMANA DEL 14 AL 21 '!AE20+'SEMANA DEL 21AL 28-3'!AE21+#REF!</f>
        <v>#REF!</v>
      </c>
      <c r="AF15" s="203" t="e">
        <f>+'SEMANA DEL 2 AL 7-3-26'!AF16+'SEMANA DEL 7 AL 14'!AF20+'SEMANA DEL 14 AL 21 '!AF20+'SEMANA DEL 21AL 28-3'!AF21+#REF!</f>
        <v>#REF!</v>
      </c>
      <c r="AG15" s="203" t="e">
        <f>+'SEMANA DEL 2 AL 7-3-26'!AG16+'SEMANA DEL 7 AL 14'!AG20+'SEMANA DEL 14 AL 21 '!AG20+'SEMANA DEL 21AL 28-3'!AG21+#REF!</f>
        <v>#REF!</v>
      </c>
      <c r="AH15" s="203" t="e">
        <f>+'SEMANA DEL 2 AL 7-3-26'!AH16+'SEMANA DEL 7 AL 14'!AH20+'SEMANA DEL 14 AL 21 '!AH20+'SEMANA DEL 21AL 28-3'!AH21+#REF!</f>
        <v>#REF!</v>
      </c>
      <c r="AI15" s="203" t="e">
        <f>+'SEMANA DEL 2 AL 7-3-26'!AI16+'SEMANA DEL 7 AL 14'!AI20+'SEMANA DEL 14 AL 21 '!AI20+'SEMANA DEL 21AL 28-3'!AI21+#REF!</f>
        <v>#REF!</v>
      </c>
      <c r="AJ15" s="203" t="e">
        <f>+'SEMANA DEL 2 AL 7-3-26'!AJ16+'SEMANA DEL 7 AL 14'!AJ20+'SEMANA DEL 14 AL 21 '!AJ20+'SEMANA DEL 21AL 28-3'!AJ21+#REF!</f>
        <v>#REF!</v>
      </c>
      <c r="AK15" s="203" t="e">
        <f>+'SEMANA DEL 2 AL 7-3-26'!AK16+'SEMANA DEL 7 AL 14'!AK20+'SEMANA DEL 14 AL 21 '!AK20+'SEMANA DEL 21AL 28-3'!AK21+#REF!</f>
        <v>#REF!</v>
      </c>
      <c r="AL15" s="203" t="e">
        <f>+'SEMANA DEL 2 AL 7-3-26'!AL16+'SEMANA DEL 7 AL 14'!AL20+'SEMANA DEL 14 AL 21 '!AL20+'SEMANA DEL 21AL 28-3'!AL21+#REF!</f>
        <v>#REF!</v>
      </c>
      <c r="AM15" s="203" t="e">
        <f>+'SEMANA DEL 2 AL 7-3-26'!AM16+'SEMANA DEL 7 AL 14'!AM20+'SEMANA DEL 14 AL 21 '!AM20+'SEMANA DEL 21AL 28-3'!AM21+#REF!</f>
        <v>#REF!</v>
      </c>
      <c r="AN15" s="203" t="e">
        <f>+'SEMANA DEL 2 AL 7-3-26'!AN16+'SEMANA DEL 7 AL 14'!AN20+'SEMANA DEL 14 AL 21 '!AN20+'SEMANA DEL 21AL 28-3'!AN21+#REF!</f>
        <v>#REF!</v>
      </c>
      <c r="AO15" s="203" t="e">
        <f>+'SEMANA DEL 2 AL 7-3-26'!AO16+'SEMANA DEL 7 AL 14'!AO20+'SEMANA DEL 14 AL 21 '!AO20+'SEMANA DEL 21AL 28-3'!AO21+#REF!</f>
        <v>#REF!</v>
      </c>
      <c r="AP15" s="203" t="e">
        <f>+'SEMANA DEL 2 AL 7-3-26'!AP16+'SEMANA DEL 7 AL 14'!AP20+'SEMANA DEL 14 AL 21 '!AP20+'SEMANA DEL 21AL 28-3'!AP21+#REF!</f>
        <v>#REF!</v>
      </c>
      <c r="AQ15" s="203" t="e">
        <f>+'SEMANA DEL 2 AL 7-3-26'!AQ16+'SEMANA DEL 7 AL 14'!AQ20+'SEMANA DEL 14 AL 21 '!AQ20+'SEMANA DEL 21AL 28-3'!AQ21+#REF!</f>
        <v>#REF!</v>
      </c>
      <c r="AR15" s="203" t="e">
        <f>+'SEMANA DEL 2 AL 7-3-26'!AR16+'SEMANA DEL 7 AL 14'!AR20+'SEMANA DEL 14 AL 21 '!AR20+'SEMANA DEL 21AL 28-3'!AR21+#REF!</f>
        <v>#REF!</v>
      </c>
      <c r="AS15" s="203" t="e">
        <f>+'SEMANA DEL 2 AL 7-3-26'!AS16+'SEMANA DEL 7 AL 14'!AS20+'SEMANA DEL 14 AL 21 '!AS20+'SEMANA DEL 21AL 28-3'!AS21+#REF!</f>
        <v>#REF!</v>
      </c>
      <c r="AT15" s="203" t="e">
        <f>+'SEMANA DEL 2 AL 7-3-26'!AT16+'SEMANA DEL 7 AL 14'!AT20+'SEMANA DEL 14 AL 21 '!AT20+'SEMANA DEL 21AL 28-3'!AT21+#REF!</f>
        <v>#REF!</v>
      </c>
      <c r="AU15" s="203" t="e">
        <f>+'SEMANA DEL 2 AL 7-3-26'!AU16+'SEMANA DEL 7 AL 14'!AU20+'SEMANA DEL 14 AL 21 '!AU20+'SEMANA DEL 21AL 28-3'!AU21+#REF!</f>
        <v>#REF!</v>
      </c>
      <c r="AV15" s="203" t="e">
        <f>+'SEMANA DEL 2 AL 7-3-26'!AV16+'SEMANA DEL 7 AL 14'!AV20+'SEMANA DEL 14 AL 21 '!AV20+'SEMANA DEL 21AL 28-3'!AV21+#REF!</f>
        <v>#REF!</v>
      </c>
      <c r="AW15" s="203" t="e">
        <f>+'SEMANA DEL 2 AL 7-3-26'!AW16+'SEMANA DEL 7 AL 14'!AW20+'SEMANA DEL 14 AL 21 '!AW20+'SEMANA DEL 21AL 28-3'!AW21+#REF!</f>
        <v>#REF!</v>
      </c>
      <c r="AX15" s="203" t="e">
        <f t="shared" si="1"/>
        <v>#REF!</v>
      </c>
      <c r="AY15" s="203" t="e">
        <f t="shared" si="2"/>
        <v>#REF!</v>
      </c>
      <c r="AZ15" s="203" t="e">
        <f t="shared" si="3"/>
        <v>#REF!</v>
      </c>
      <c r="BA15" s="203" t="e">
        <f t="shared" si="4"/>
        <v>#REF!</v>
      </c>
      <c r="BB15" s="203" t="e">
        <f t="shared" si="5"/>
        <v>#REF!</v>
      </c>
      <c r="BC15" s="203" t="e">
        <f t="shared" si="6"/>
        <v>#REF!</v>
      </c>
      <c r="BD15" s="203" t="e">
        <f t="shared" si="7"/>
        <v>#REF!</v>
      </c>
      <c r="BE15" s="203" t="e">
        <f t="shared" si="8"/>
        <v>#REF!</v>
      </c>
      <c r="BF15" s="203" t="e">
        <f t="shared" si="9"/>
        <v>#REF!</v>
      </c>
      <c r="BG15" s="203" t="e">
        <f t="shared" si="10"/>
        <v>#REF!</v>
      </c>
      <c r="BH15" s="203" t="e">
        <f t="shared" si="11"/>
        <v>#REF!</v>
      </c>
      <c r="BI15" s="203" t="e">
        <f t="shared" si="12"/>
        <v>#REF!</v>
      </c>
      <c r="BJ15" s="203" t="e">
        <f t="shared" si="13"/>
        <v>#REF!</v>
      </c>
      <c r="BK15" s="203" t="e">
        <f t="shared" si="14"/>
        <v>#REF!</v>
      </c>
      <c r="BL15" s="203" t="e">
        <f t="shared" si="15"/>
        <v>#REF!</v>
      </c>
      <c r="BM15" s="203" t="e">
        <f t="shared" si="16"/>
        <v>#REF!</v>
      </c>
      <c r="BN15" s="203" t="e">
        <f>+'SEMANA DEL 2 AL 7-3-26'!BN16+'SEMANA DEL 7 AL 14'!BN20+'SEMANA DEL 14 AL 21 '!BN20+'SEMANA DEL 21AL 28-3'!BN21+#REF!</f>
        <v>#REF!</v>
      </c>
      <c r="BO15" s="203" t="e">
        <f>+'SEMANA DEL 2 AL 7-3-26'!BO16+'SEMANA DEL 7 AL 14'!BO20+'SEMANA DEL 14 AL 21 '!BO20+'SEMANA DEL 21AL 28-3'!BO21+#REF!</f>
        <v>#REF!</v>
      </c>
      <c r="BP15" s="203" t="e">
        <f>+'SEMANA DEL 2 AL 7-3-26'!BP16+'SEMANA DEL 7 AL 14'!BP20+'SEMANA DEL 14 AL 21 '!BP20+'SEMANA DEL 21AL 28-3'!BP21+#REF!</f>
        <v>#REF!</v>
      </c>
      <c r="BQ15" s="203" t="e">
        <f>+'SEMANA DEL 2 AL 7-3-26'!BQ16+'SEMANA DEL 7 AL 14'!BQ20+'SEMANA DEL 14 AL 21 '!BQ20+'SEMANA DEL 21AL 28-3'!BQ21+#REF!</f>
        <v>#REF!</v>
      </c>
      <c r="BR15" s="203" t="e">
        <f>+'SEMANA DEL 2 AL 7-3-26'!BR16+'SEMANA DEL 7 AL 14'!BR20+'SEMANA DEL 14 AL 21 '!BR20+'SEMANA DEL 21AL 28-3'!BR21+#REF!</f>
        <v>#REF!</v>
      </c>
      <c r="BS15" s="203" t="e">
        <f>+'SEMANA DEL 2 AL 7-3-26'!BS16+'SEMANA DEL 7 AL 14'!BS20+'SEMANA DEL 14 AL 21 '!BS20+'SEMANA DEL 21AL 28-3'!BS21+#REF!</f>
        <v>#REF!</v>
      </c>
      <c r="BT15" s="203" t="e">
        <f>+'SEMANA DEL 2 AL 7-3-26'!BT16+'SEMANA DEL 7 AL 14'!BT20+'SEMANA DEL 14 AL 21 '!BT20+'SEMANA DEL 21AL 28-3'!BT21+#REF!</f>
        <v>#REF!</v>
      </c>
      <c r="BU15" s="203" t="e">
        <f>+'SEMANA DEL 2 AL 7-3-26'!BU16+'SEMANA DEL 7 AL 14'!BU20+'SEMANA DEL 14 AL 21 '!BU20+'SEMANA DEL 21AL 28-3'!BU21+#REF!</f>
        <v>#REF!</v>
      </c>
      <c r="BV15" s="203" t="e">
        <f>+'SEMANA DEL 2 AL 7-3-26'!BV16+'SEMANA DEL 7 AL 14'!BV20+'SEMANA DEL 14 AL 21 '!BV20+'SEMANA DEL 21AL 28-3'!BV21+#REF!</f>
        <v>#REF!</v>
      </c>
      <c r="BW15" s="203" t="e">
        <f>+'SEMANA DEL 2 AL 7-3-26'!BW16+'SEMANA DEL 7 AL 14'!BW20+'SEMANA DEL 14 AL 21 '!BW20+'SEMANA DEL 21AL 28-3'!BW21+#REF!</f>
        <v>#REF!</v>
      </c>
      <c r="BX15" s="203" t="e">
        <f>+'SEMANA DEL 2 AL 7-3-26'!BX16+'SEMANA DEL 7 AL 14'!BX20+'SEMANA DEL 14 AL 21 '!BX20+'SEMANA DEL 21AL 28-3'!BX21+#REF!</f>
        <v>#REF!</v>
      </c>
      <c r="BY15" s="203" t="e">
        <f>+'SEMANA DEL 2 AL 7-3-26'!BY16+'SEMANA DEL 7 AL 14'!BY20+'SEMANA DEL 14 AL 21 '!BY20+'SEMANA DEL 21AL 28-3'!BY21+#REF!</f>
        <v>#REF!</v>
      </c>
      <c r="BZ15" s="203" t="e">
        <f>+'SEMANA DEL 2 AL 7-3-26'!BZ16+'SEMANA DEL 7 AL 14'!BZ20+'SEMANA DEL 14 AL 21 '!BZ20+'SEMANA DEL 21AL 28-3'!BZ21+#REF!</f>
        <v>#REF!</v>
      </c>
      <c r="CA15" s="203" t="e">
        <f>+'SEMANA DEL 2 AL 7-3-26'!CA16+'SEMANA DEL 7 AL 14'!CA20+'SEMANA DEL 14 AL 21 '!CA20+'SEMANA DEL 21AL 28-3'!CA21+#REF!</f>
        <v>#REF!</v>
      </c>
      <c r="CB15" s="203" t="e">
        <f>+'SEMANA DEL 2 AL 7-3-26'!CB16+'SEMANA DEL 7 AL 14'!CB20+'SEMANA DEL 14 AL 21 '!CB20+'SEMANA DEL 21AL 28-3'!CB21+#REF!</f>
        <v>#REF!</v>
      </c>
      <c r="CC15" s="203" t="e">
        <f>+'SEMANA DEL 2 AL 7-3-26'!CC16+'SEMANA DEL 7 AL 14'!CC20+'SEMANA DEL 14 AL 21 '!CC20+'SEMANA DEL 21AL 28-3'!CC21+#REF!</f>
        <v>#REF!</v>
      </c>
      <c r="CD15" s="203" t="e">
        <f>+'SEMANA DEL 2 AL 7-3-26'!CD16+'SEMANA DEL 7 AL 14'!CD20+'SEMANA DEL 14 AL 21 '!CD20+'SEMANA DEL 21AL 28-3'!CD21+#REF!</f>
        <v>#REF!</v>
      </c>
      <c r="CE15" s="203" t="e">
        <f>+'SEMANA DEL 2 AL 7-3-26'!CE16+'SEMANA DEL 7 AL 14'!CE20+'SEMANA DEL 14 AL 21 '!CE20+'SEMANA DEL 21AL 28-3'!CE21+#REF!</f>
        <v>#REF!</v>
      </c>
      <c r="CF15" s="203" t="e">
        <f>+'SEMANA DEL 2 AL 7-3-26'!CF16+'SEMANA DEL 7 AL 14'!CF20+'SEMANA DEL 14 AL 21 '!CF20+'SEMANA DEL 21AL 28-3'!CF21+#REF!</f>
        <v>#REF!</v>
      </c>
      <c r="CG15" s="203" t="e">
        <f>+'SEMANA DEL 2 AL 7-3-26'!CG16+'SEMANA DEL 7 AL 14'!CG20+'SEMANA DEL 14 AL 21 '!CG20+'SEMANA DEL 21AL 28-3'!CG21+#REF!</f>
        <v>#REF!</v>
      </c>
      <c r="CH15" s="203" t="e">
        <f>+'SEMANA DEL 2 AL 7-3-26'!CH16+'SEMANA DEL 7 AL 14'!CH20+'SEMANA DEL 14 AL 21 '!CH20+'SEMANA DEL 21AL 28-3'!CH21+#REF!</f>
        <v>#REF!</v>
      </c>
      <c r="CI15" s="203" t="e">
        <f>+'SEMANA DEL 2 AL 7-3-26'!CI16+'SEMANA DEL 7 AL 14'!CI20+'SEMANA DEL 14 AL 21 '!CI20+'SEMANA DEL 21AL 28-3'!CI21+#REF!</f>
        <v>#REF!</v>
      </c>
    </row>
    <row r="16" spans="1:87" x14ac:dyDescent="0.2">
      <c r="A16" s="34" t="str">
        <f>+'SEMANA DEL 2 AL 7-3-26'!A16</f>
        <v>JOSE EBLAN GIRON</v>
      </c>
      <c r="B16" s="203">
        <f>+'SEMANA DEL 2 AL 7-3-26'!B16</f>
        <v>0.20000000000000018</v>
      </c>
      <c r="C16" s="203">
        <f>+'SEMANA DEL 2 AL 7-3-26'!C16</f>
        <v>0.35999999999999943</v>
      </c>
      <c r="D16" s="203">
        <f>+'SEMANA DEL 2 AL 7-3-26'!D16</f>
        <v>1.3999999999999986</v>
      </c>
      <c r="E16" s="203">
        <f>+'SEMANA DEL 2 AL 7-3-26'!E16</f>
        <v>1</v>
      </c>
      <c r="F16" s="203">
        <f>+'SEMANA DEL 2 AL 7-3-26'!F16</f>
        <v>0</v>
      </c>
      <c r="G16" s="203">
        <f>+'SEMANA DEL 2 AL 7-3-26'!G16</f>
        <v>0</v>
      </c>
      <c r="H16" s="203">
        <f>+'SEMANA DEL 2 AL 7-3-26'!H16</f>
        <v>0</v>
      </c>
      <c r="I16" s="203">
        <f>+'SEMANA DEL 2 AL 7-3-26'!I16</f>
        <v>1</v>
      </c>
      <c r="J16" s="203">
        <f>+'SEMANA DEL 2 AL 7-3-26'!J16</f>
        <v>0</v>
      </c>
      <c r="K16" s="203">
        <f>+'SEMANA DEL 2 AL 7-3-26'!K16</f>
        <v>0</v>
      </c>
      <c r="L16" s="203">
        <f>+'SEMANA DEL 2 AL 7-3-26'!L16</f>
        <v>0</v>
      </c>
      <c r="M16" s="203">
        <f>+'SEMANA DEL 2 AL 7-3-26'!M16</f>
        <v>0</v>
      </c>
      <c r="N16" s="203">
        <f>+'SEMANA DEL 2 AL 7-3-26'!N16</f>
        <v>0</v>
      </c>
      <c r="O16" s="203">
        <f>+'SEMANA DEL 2 AL 7-3-26'!O16</f>
        <v>0</v>
      </c>
      <c r="P16" s="203">
        <f>+'SEMANA DEL 2 AL 7-3-26'!P16</f>
        <v>0</v>
      </c>
      <c r="Q16" s="203">
        <f>+'SEMANA DEL 2 AL 7-3-26'!Q16</f>
        <v>0</v>
      </c>
      <c r="R16" s="203" t="e">
        <f>+'SEMANA DEL 2 AL 7-3-26'!R17+'SEMANA DEL 7 AL 14'!R23+'SEMANA DEL 14 AL 21 '!R21+'SEMANA DEL 21AL 28-3'!R22+#REF!</f>
        <v>#REF!</v>
      </c>
      <c r="S16" s="203" t="e">
        <f>+'SEMANA DEL 2 AL 7-3-26'!S17+'SEMANA DEL 7 AL 14'!S23+'SEMANA DEL 14 AL 21 '!S21+'SEMANA DEL 21AL 28-3'!S22+#REF!</f>
        <v>#REF!</v>
      </c>
      <c r="T16" s="203" t="e">
        <f>+'SEMANA DEL 2 AL 7-3-26'!T17+'SEMANA DEL 7 AL 14'!T23+'SEMANA DEL 14 AL 21 '!T21+'SEMANA DEL 21AL 28-3'!T22+#REF!</f>
        <v>#REF!</v>
      </c>
      <c r="U16" s="203" t="e">
        <f>+'SEMANA DEL 2 AL 7-3-26'!U17+'SEMANA DEL 7 AL 14'!U23+'SEMANA DEL 14 AL 21 '!U21+'SEMANA DEL 21AL 28-3'!U22+#REF!</f>
        <v>#REF!</v>
      </c>
      <c r="V16" s="203" t="e">
        <f>+'SEMANA DEL 2 AL 7-3-26'!V17+'SEMANA DEL 7 AL 14'!V23+'SEMANA DEL 14 AL 21 '!V21+'SEMANA DEL 21AL 28-3'!V22+#REF!</f>
        <v>#REF!</v>
      </c>
      <c r="W16" s="203" t="e">
        <f>+'SEMANA DEL 2 AL 7-3-26'!W17+'SEMANA DEL 7 AL 14'!W23+'SEMANA DEL 14 AL 21 '!W21+'SEMANA DEL 21AL 28-3'!W22+#REF!</f>
        <v>#REF!</v>
      </c>
      <c r="X16" s="203" t="e">
        <f>+'SEMANA DEL 2 AL 7-3-26'!X17+'SEMANA DEL 7 AL 14'!X23+'SEMANA DEL 14 AL 21 '!X21+'SEMANA DEL 21AL 28-3'!X22+#REF!</f>
        <v>#REF!</v>
      </c>
      <c r="Y16" s="203" t="e">
        <f>+'SEMANA DEL 2 AL 7-3-26'!Y17+'SEMANA DEL 7 AL 14'!Y23+'SEMANA DEL 14 AL 21 '!Y21+'SEMANA DEL 21AL 28-3'!Y22+#REF!</f>
        <v>#REF!</v>
      </c>
      <c r="Z16" s="203" t="e">
        <f>+'SEMANA DEL 2 AL 7-3-26'!Z17+'SEMANA DEL 7 AL 14'!Z23+'SEMANA DEL 14 AL 21 '!Z21+'SEMANA DEL 21AL 28-3'!Z22+#REF!</f>
        <v>#REF!</v>
      </c>
      <c r="AA16" s="203" t="e">
        <f>+'SEMANA DEL 2 AL 7-3-26'!AA17+'SEMANA DEL 7 AL 14'!AA23+'SEMANA DEL 14 AL 21 '!AA21+'SEMANA DEL 21AL 28-3'!AA22+#REF!</f>
        <v>#REF!</v>
      </c>
      <c r="AB16" s="203" t="e">
        <f>+'SEMANA DEL 2 AL 7-3-26'!AB17+'SEMANA DEL 7 AL 14'!AB23+'SEMANA DEL 14 AL 21 '!AB21+'SEMANA DEL 21AL 28-3'!AB22+#REF!</f>
        <v>#REF!</v>
      </c>
      <c r="AC16" s="203" t="e">
        <f>+'SEMANA DEL 2 AL 7-3-26'!AC17+'SEMANA DEL 7 AL 14'!AC23+'SEMANA DEL 14 AL 21 '!AC21+'SEMANA DEL 21AL 28-3'!AC22+#REF!</f>
        <v>#REF!</v>
      </c>
      <c r="AD16" s="203" t="e">
        <f>+'SEMANA DEL 2 AL 7-3-26'!AD17+'SEMANA DEL 7 AL 14'!AD23+'SEMANA DEL 14 AL 21 '!AD21+'SEMANA DEL 21AL 28-3'!AD22+#REF!</f>
        <v>#REF!</v>
      </c>
      <c r="AE16" s="203" t="e">
        <f>+'SEMANA DEL 2 AL 7-3-26'!AE17+'SEMANA DEL 7 AL 14'!AE23+'SEMANA DEL 14 AL 21 '!AE21+'SEMANA DEL 21AL 28-3'!AE22+#REF!</f>
        <v>#REF!</v>
      </c>
      <c r="AF16" s="203" t="e">
        <f>+'SEMANA DEL 2 AL 7-3-26'!AF17+'SEMANA DEL 7 AL 14'!AF23+'SEMANA DEL 14 AL 21 '!AF21+'SEMANA DEL 21AL 28-3'!AF22+#REF!</f>
        <v>#REF!</v>
      </c>
      <c r="AG16" s="203" t="e">
        <f>+'SEMANA DEL 2 AL 7-3-26'!AG17+'SEMANA DEL 7 AL 14'!AG23+'SEMANA DEL 14 AL 21 '!AG21+'SEMANA DEL 21AL 28-3'!AG22+#REF!</f>
        <v>#REF!</v>
      </c>
      <c r="AH16" s="203" t="e">
        <f>+'SEMANA DEL 2 AL 7-3-26'!AH17+'SEMANA DEL 7 AL 14'!AH23+'SEMANA DEL 14 AL 21 '!AH21+'SEMANA DEL 21AL 28-3'!AH22+#REF!</f>
        <v>#REF!</v>
      </c>
      <c r="AI16" s="203" t="e">
        <f>+'SEMANA DEL 2 AL 7-3-26'!AI17+'SEMANA DEL 7 AL 14'!AI23+'SEMANA DEL 14 AL 21 '!AI21+'SEMANA DEL 21AL 28-3'!AI22+#REF!</f>
        <v>#REF!</v>
      </c>
      <c r="AJ16" s="203" t="e">
        <f>+'SEMANA DEL 2 AL 7-3-26'!AJ17+'SEMANA DEL 7 AL 14'!AJ23+'SEMANA DEL 14 AL 21 '!AJ21+'SEMANA DEL 21AL 28-3'!AJ22+#REF!</f>
        <v>#REF!</v>
      </c>
      <c r="AK16" s="203" t="e">
        <f>+'SEMANA DEL 2 AL 7-3-26'!AK17+'SEMANA DEL 7 AL 14'!AK23+'SEMANA DEL 14 AL 21 '!AK21+'SEMANA DEL 21AL 28-3'!AK22+#REF!</f>
        <v>#REF!</v>
      </c>
      <c r="AL16" s="203" t="e">
        <f>+'SEMANA DEL 2 AL 7-3-26'!AL17+'SEMANA DEL 7 AL 14'!AL23+'SEMANA DEL 14 AL 21 '!AL21+'SEMANA DEL 21AL 28-3'!AL22+#REF!</f>
        <v>#REF!</v>
      </c>
      <c r="AM16" s="203" t="e">
        <f>+'SEMANA DEL 2 AL 7-3-26'!AM17+'SEMANA DEL 7 AL 14'!AM23+'SEMANA DEL 14 AL 21 '!AM21+'SEMANA DEL 21AL 28-3'!AM22+#REF!</f>
        <v>#REF!</v>
      </c>
      <c r="AN16" s="203" t="e">
        <f>+'SEMANA DEL 2 AL 7-3-26'!AN17+'SEMANA DEL 7 AL 14'!AN23+'SEMANA DEL 14 AL 21 '!AN21+'SEMANA DEL 21AL 28-3'!AN22+#REF!</f>
        <v>#REF!</v>
      </c>
      <c r="AO16" s="203" t="e">
        <f>+'SEMANA DEL 2 AL 7-3-26'!AO17+'SEMANA DEL 7 AL 14'!AO23+'SEMANA DEL 14 AL 21 '!AO21+'SEMANA DEL 21AL 28-3'!AO22+#REF!</f>
        <v>#REF!</v>
      </c>
      <c r="AP16" s="203" t="e">
        <f>+'SEMANA DEL 2 AL 7-3-26'!AP17+'SEMANA DEL 7 AL 14'!AP23+'SEMANA DEL 14 AL 21 '!AP21+'SEMANA DEL 21AL 28-3'!AP22+#REF!</f>
        <v>#REF!</v>
      </c>
      <c r="AQ16" s="203" t="e">
        <f>+'SEMANA DEL 2 AL 7-3-26'!AQ17+'SEMANA DEL 7 AL 14'!AQ23+'SEMANA DEL 14 AL 21 '!AQ21+'SEMANA DEL 21AL 28-3'!AQ22+#REF!</f>
        <v>#REF!</v>
      </c>
      <c r="AR16" s="203" t="e">
        <f>+'SEMANA DEL 2 AL 7-3-26'!AR17+'SEMANA DEL 7 AL 14'!AR23+'SEMANA DEL 14 AL 21 '!AR21+'SEMANA DEL 21AL 28-3'!AR22+#REF!</f>
        <v>#REF!</v>
      </c>
      <c r="AS16" s="203" t="e">
        <f>+'SEMANA DEL 2 AL 7-3-26'!AS17+'SEMANA DEL 7 AL 14'!AS23+'SEMANA DEL 14 AL 21 '!AS21+'SEMANA DEL 21AL 28-3'!AS22+#REF!</f>
        <v>#REF!</v>
      </c>
      <c r="AT16" s="203" t="e">
        <f>+'SEMANA DEL 2 AL 7-3-26'!AT17+'SEMANA DEL 7 AL 14'!AT23+'SEMANA DEL 14 AL 21 '!AT21+'SEMANA DEL 21AL 28-3'!AT22+#REF!</f>
        <v>#REF!</v>
      </c>
      <c r="AU16" s="203" t="e">
        <f>+'SEMANA DEL 2 AL 7-3-26'!AU17+'SEMANA DEL 7 AL 14'!AU23+'SEMANA DEL 14 AL 21 '!AU21+'SEMANA DEL 21AL 28-3'!AU22+#REF!</f>
        <v>#REF!</v>
      </c>
      <c r="AV16" s="203" t="e">
        <f>+'SEMANA DEL 2 AL 7-3-26'!AV17+'SEMANA DEL 7 AL 14'!AV23+'SEMANA DEL 14 AL 21 '!AV21+'SEMANA DEL 21AL 28-3'!AV22+#REF!</f>
        <v>#REF!</v>
      </c>
      <c r="AW16" s="203" t="e">
        <f>+'SEMANA DEL 2 AL 7-3-26'!AW17+'SEMANA DEL 7 AL 14'!AW23+'SEMANA DEL 14 AL 21 '!AW21+'SEMANA DEL 21AL 28-3'!AW22+#REF!</f>
        <v>#REF!</v>
      </c>
      <c r="AX16" s="203" t="e">
        <f t="shared" si="1"/>
        <v>#REF!</v>
      </c>
      <c r="AY16" s="203" t="e">
        <f t="shared" si="2"/>
        <v>#REF!</v>
      </c>
      <c r="AZ16" s="203" t="e">
        <f t="shared" si="3"/>
        <v>#REF!</v>
      </c>
      <c r="BA16" s="203" t="e">
        <f t="shared" si="4"/>
        <v>#REF!</v>
      </c>
      <c r="BB16" s="203" t="e">
        <f t="shared" si="5"/>
        <v>#REF!</v>
      </c>
      <c r="BC16" s="203" t="e">
        <f t="shared" si="6"/>
        <v>#REF!</v>
      </c>
      <c r="BD16" s="203" t="e">
        <f t="shared" si="7"/>
        <v>#REF!</v>
      </c>
      <c r="BE16" s="203" t="e">
        <f t="shared" si="8"/>
        <v>#REF!</v>
      </c>
      <c r="BF16" s="203" t="e">
        <f t="shared" si="9"/>
        <v>#REF!</v>
      </c>
      <c r="BG16" s="203" t="e">
        <f t="shared" si="10"/>
        <v>#REF!</v>
      </c>
      <c r="BH16" s="203" t="e">
        <f t="shared" si="11"/>
        <v>#REF!</v>
      </c>
      <c r="BI16" s="203" t="e">
        <f t="shared" si="12"/>
        <v>#REF!</v>
      </c>
      <c r="BJ16" s="203" t="e">
        <f t="shared" si="13"/>
        <v>#REF!</v>
      </c>
      <c r="BK16" s="203" t="e">
        <f t="shared" si="14"/>
        <v>#REF!</v>
      </c>
      <c r="BL16" s="203" t="e">
        <f t="shared" si="15"/>
        <v>#REF!</v>
      </c>
      <c r="BM16" s="203" t="e">
        <f t="shared" si="16"/>
        <v>#REF!</v>
      </c>
      <c r="BN16" s="203" t="e">
        <f>+'SEMANA DEL 2 AL 7-3-26'!BN17+'SEMANA DEL 7 AL 14'!BN23+'SEMANA DEL 14 AL 21 '!BN21+'SEMANA DEL 21AL 28-3'!BN22+#REF!</f>
        <v>#REF!</v>
      </c>
      <c r="BO16" s="203" t="e">
        <f>+'SEMANA DEL 2 AL 7-3-26'!BO17+'SEMANA DEL 7 AL 14'!BO23+'SEMANA DEL 14 AL 21 '!BO21+'SEMANA DEL 21AL 28-3'!BO22+#REF!</f>
        <v>#REF!</v>
      </c>
      <c r="BP16" s="203" t="e">
        <f>+'SEMANA DEL 2 AL 7-3-26'!BP17+'SEMANA DEL 7 AL 14'!BP23+'SEMANA DEL 14 AL 21 '!BP21+'SEMANA DEL 21AL 28-3'!BP22+#REF!</f>
        <v>#REF!</v>
      </c>
      <c r="BQ16" s="203" t="e">
        <f>+'SEMANA DEL 2 AL 7-3-26'!BQ17+'SEMANA DEL 7 AL 14'!BQ23+'SEMANA DEL 14 AL 21 '!BQ21+'SEMANA DEL 21AL 28-3'!BQ22+#REF!</f>
        <v>#REF!</v>
      </c>
      <c r="BR16" s="203" t="e">
        <f>+'SEMANA DEL 2 AL 7-3-26'!BR17+'SEMANA DEL 7 AL 14'!BR23+'SEMANA DEL 14 AL 21 '!BR21+'SEMANA DEL 21AL 28-3'!BR22+#REF!</f>
        <v>#REF!</v>
      </c>
      <c r="BS16" s="203" t="e">
        <f>+'SEMANA DEL 2 AL 7-3-26'!BS17+'SEMANA DEL 7 AL 14'!BS23+'SEMANA DEL 14 AL 21 '!BS21+'SEMANA DEL 21AL 28-3'!BS22+#REF!</f>
        <v>#REF!</v>
      </c>
      <c r="BT16" s="203" t="e">
        <f>+'SEMANA DEL 2 AL 7-3-26'!BT17+'SEMANA DEL 7 AL 14'!BT23+'SEMANA DEL 14 AL 21 '!BT21+'SEMANA DEL 21AL 28-3'!BT22+#REF!</f>
        <v>#REF!</v>
      </c>
      <c r="BU16" s="203" t="e">
        <f>+'SEMANA DEL 2 AL 7-3-26'!BU17+'SEMANA DEL 7 AL 14'!BU23+'SEMANA DEL 14 AL 21 '!BU21+'SEMANA DEL 21AL 28-3'!BU22+#REF!</f>
        <v>#REF!</v>
      </c>
      <c r="BV16" s="203" t="e">
        <f>+'SEMANA DEL 2 AL 7-3-26'!BV17+'SEMANA DEL 7 AL 14'!BV23+'SEMANA DEL 14 AL 21 '!BV21+'SEMANA DEL 21AL 28-3'!BV22+#REF!</f>
        <v>#REF!</v>
      </c>
      <c r="BW16" s="203" t="e">
        <f>+'SEMANA DEL 2 AL 7-3-26'!BW17+'SEMANA DEL 7 AL 14'!BW23+'SEMANA DEL 14 AL 21 '!BW21+'SEMANA DEL 21AL 28-3'!BW22+#REF!</f>
        <v>#REF!</v>
      </c>
      <c r="BX16" s="203" t="e">
        <f>+'SEMANA DEL 2 AL 7-3-26'!BX17+'SEMANA DEL 7 AL 14'!BX23+'SEMANA DEL 14 AL 21 '!BX21+'SEMANA DEL 21AL 28-3'!BX22+#REF!</f>
        <v>#REF!</v>
      </c>
      <c r="BY16" s="203" t="e">
        <f>+'SEMANA DEL 2 AL 7-3-26'!BY17+'SEMANA DEL 7 AL 14'!BY23+'SEMANA DEL 14 AL 21 '!BY21+'SEMANA DEL 21AL 28-3'!BY22+#REF!</f>
        <v>#REF!</v>
      </c>
      <c r="BZ16" s="203" t="e">
        <f>+'SEMANA DEL 2 AL 7-3-26'!BZ17+'SEMANA DEL 7 AL 14'!BZ23+'SEMANA DEL 14 AL 21 '!BZ21+'SEMANA DEL 21AL 28-3'!BZ22+#REF!</f>
        <v>#REF!</v>
      </c>
      <c r="CA16" s="203" t="e">
        <f>+'SEMANA DEL 2 AL 7-3-26'!CA17+'SEMANA DEL 7 AL 14'!CA23+'SEMANA DEL 14 AL 21 '!CA21+'SEMANA DEL 21AL 28-3'!CA22+#REF!</f>
        <v>#REF!</v>
      </c>
      <c r="CB16" s="203" t="e">
        <f>+'SEMANA DEL 2 AL 7-3-26'!CB17+'SEMANA DEL 7 AL 14'!CB23+'SEMANA DEL 14 AL 21 '!CB21+'SEMANA DEL 21AL 28-3'!CB22+#REF!</f>
        <v>#REF!</v>
      </c>
      <c r="CC16" s="203" t="e">
        <f>+'SEMANA DEL 2 AL 7-3-26'!CC17+'SEMANA DEL 7 AL 14'!CC23+'SEMANA DEL 14 AL 21 '!CC21+'SEMANA DEL 21AL 28-3'!CC22+#REF!</f>
        <v>#REF!</v>
      </c>
      <c r="CD16" s="203" t="e">
        <f>+'SEMANA DEL 2 AL 7-3-26'!CD17+'SEMANA DEL 7 AL 14'!CD23+'SEMANA DEL 14 AL 21 '!CD21+'SEMANA DEL 21AL 28-3'!CD22+#REF!</f>
        <v>#REF!</v>
      </c>
      <c r="CE16" s="203" t="e">
        <f>+'SEMANA DEL 2 AL 7-3-26'!CE17+'SEMANA DEL 7 AL 14'!CE23+'SEMANA DEL 14 AL 21 '!CE21+'SEMANA DEL 21AL 28-3'!CE22+#REF!</f>
        <v>#REF!</v>
      </c>
      <c r="CF16" s="203" t="e">
        <f>+'SEMANA DEL 2 AL 7-3-26'!CF17+'SEMANA DEL 7 AL 14'!CF23+'SEMANA DEL 14 AL 21 '!CF21+'SEMANA DEL 21AL 28-3'!CF22+#REF!</f>
        <v>#REF!</v>
      </c>
      <c r="CG16" s="203" t="e">
        <f>+'SEMANA DEL 2 AL 7-3-26'!CG17+'SEMANA DEL 7 AL 14'!CG23+'SEMANA DEL 14 AL 21 '!CG21+'SEMANA DEL 21AL 28-3'!CG22+#REF!</f>
        <v>#REF!</v>
      </c>
      <c r="CH16" s="203" t="e">
        <f>+'SEMANA DEL 2 AL 7-3-26'!CH17+'SEMANA DEL 7 AL 14'!CH23+'SEMANA DEL 14 AL 21 '!CH21+'SEMANA DEL 21AL 28-3'!CH22+#REF!</f>
        <v>#REF!</v>
      </c>
      <c r="CI16" s="203" t="e">
        <f>+'SEMANA DEL 2 AL 7-3-26'!CI17+'SEMANA DEL 7 AL 14'!CI23+'SEMANA DEL 14 AL 21 '!CI21+'SEMANA DEL 21AL 28-3'!CI22+#REF!</f>
        <v>#REF!</v>
      </c>
    </row>
    <row r="17" spans="1:93" x14ac:dyDescent="0.2">
      <c r="A17" s="34" t="str">
        <f>+'SEMANA DEL 2 AL 7-3-26'!A17</f>
        <v xml:space="preserve">JOSE JURADO </v>
      </c>
      <c r="B17" s="203">
        <f>+'SEMANA DEL 2 AL 7-3-26'!B17</f>
        <v>0</v>
      </c>
      <c r="C17" s="203">
        <f>+'SEMANA DEL 2 AL 7-3-26'!C17</f>
        <v>0</v>
      </c>
      <c r="D17" s="203">
        <f>+'SEMANA DEL 2 AL 7-3-26'!D17</f>
        <v>0</v>
      </c>
      <c r="E17" s="203">
        <f>+'SEMANA DEL 2 AL 7-3-26'!E17</f>
        <v>0</v>
      </c>
      <c r="F17" s="203">
        <f>+'SEMANA DEL 2 AL 7-3-26'!F17</f>
        <v>0</v>
      </c>
      <c r="G17" s="203">
        <f>+'SEMANA DEL 2 AL 7-3-26'!G17</f>
        <v>0</v>
      </c>
      <c r="H17" s="203">
        <f>+'SEMANA DEL 2 AL 7-3-26'!H17</f>
        <v>0</v>
      </c>
      <c r="I17" s="203">
        <f>+'SEMANA DEL 2 AL 7-3-26'!I17</f>
        <v>0</v>
      </c>
      <c r="J17" s="203">
        <f>+'SEMANA DEL 2 AL 7-3-26'!J17</f>
        <v>0</v>
      </c>
      <c r="K17" s="203">
        <f>+'SEMANA DEL 2 AL 7-3-26'!K17</f>
        <v>0</v>
      </c>
      <c r="L17" s="203">
        <f>+'SEMANA DEL 2 AL 7-3-26'!L17</f>
        <v>0</v>
      </c>
      <c r="M17" s="203">
        <f>+'SEMANA DEL 2 AL 7-3-26'!M17</f>
        <v>0</v>
      </c>
      <c r="N17" s="203">
        <f>+'SEMANA DEL 2 AL 7-3-26'!N17</f>
        <v>0</v>
      </c>
      <c r="O17" s="203">
        <f>+'SEMANA DEL 2 AL 7-3-26'!O17</f>
        <v>0</v>
      </c>
      <c r="P17" s="203">
        <f>+'SEMANA DEL 2 AL 7-3-26'!P17</f>
        <v>0</v>
      </c>
      <c r="Q17" s="203">
        <f>+'SEMANA DEL 2 AL 7-3-26'!Q17</f>
        <v>0</v>
      </c>
      <c r="R17" s="203" t="e">
        <f>+'SEMANA DEL 2 AL 7-3-26'!#REF!+'SEMANA DEL 7 AL 14'!R24+'SEMANA DEL 14 AL 21 '!R22+'SEMANA DEL 21AL 28-3'!R23+#REF!</f>
        <v>#REF!</v>
      </c>
      <c r="S17" s="203" t="e">
        <f>+'SEMANA DEL 2 AL 7-3-26'!#REF!+'SEMANA DEL 7 AL 14'!S24+'SEMANA DEL 14 AL 21 '!S22+'SEMANA DEL 21AL 28-3'!S23+#REF!</f>
        <v>#REF!</v>
      </c>
      <c r="T17" s="203" t="e">
        <f>+'SEMANA DEL 2 AL 7-3-26'!#REF!+'SEMANA DEL 7 AL 14'!T24+'SEMANA DEL 14 AL 21 '!T22+'SEMANA DEL 21AL 28-3'!T23+#REF!</f>
        <v>#REF!</v>
      </c>
      <c r="U17" s="203" t="e">
        <f>+'SEMANA DEL 2 AL 7-3-26'!#REF!+'SEMANA DEL 7 AL 14'!U24+'SEMANA DEL 14 AL 21 '!U22+'SEMANA DEL 21AL 28-3'!U23+#REF!</f>
        <v>#REF!</v>
      </c>
      <c r="V17" s="203" t="e">
        <f>+'SEMANA DEL 2 AL 7-3-26'!#REF!+'SEMANA DEL 7 AL 14'!V24+'SEMANA DEL 14 AL 21 '!V22+'SEMANA DEL 21AL 28-3'!V23+#REF!</f>
        <v>#REF!</v>
      </c>
      <c r="W17" s="203" t="e">
        <f>+'SEMANA DEL 2 AL 7-3-26'!#REF!+'SEMANA DEL 7 AL 14'!W24+'SEMANA DEL 14 AL 21 '!W22+'SEMANA DEL 21AL 28-3'!W23+#REF!</f>
        <v>#REF!</v>
      </c>
      <c r="X17" s="203" t="e">
        <f>+'SEMANA DEL 2 AL 7-3-26'!#REF!+'SEMANA DEL 7 AL 14'!X24+'SEMANA DEL 14 AL 21 '!X22+'SEMANA DEL 21AL 28-3'!X23+#REF!</f>
        <v>#REF!</v>
      </c>
      <c r="Y17" s="203" t="e">
        <f>+'SEMANA DEL 2 AL 7-3-26'!#REF!+'SEMANA DEL 7 AL 14'!Y24+'SEMANA DEL 14 AL 21 '!Y22+'SEMANA DEL 21AL 28-3'!Y23+#REF!</f>
        <v>#REF!</v>
      </c>
      <c r="Z17" s="203" t="e">
        <f>+'SEMANA DEL 2 AL 7-3-26'!#REF!+'SEMANA DEL 7 AL 14'!Z24+'SEMANA DEL 14 AL 21 '!Z22+'SEMANA DEL 21AL 28-3'!Z23+#REF!</f>
        <v>#REF!</v>
      </c>
      <c r="AA17" s="203" t="e">
        <f>+'SEMANA DEL 2 AL 7-3-26'!#REF!+'SEMANA DEL 7 AL 14'!AA24+'SEMANA DEL 14 AL 21 '!AA22+'SEMANA DEL 21AL 28-3'!AA23+#REF!</f>
        <v>#REF!</v>
      </c>
      <c r="AB17" s="203" t="e">
        <f>+'SEMANA DEL 2 AL 7-3-26'!#REF!+'SEMANA DEL 7 AL 14'!AB24+'SEMANA DEL 14 AL 21 '!AB22+'SEMANA DEL 21AL 28-3'!AB23+#REF!</f>
        <v>#REF!</v>
      </c>
      <c r="AC17" s="203" t="e">
        <f>+'SEMANA DEL 2 AL 7-3-26'!#REF!+'SEMANA DEL 7 AL 14'!AC24+'SEMANA DEL 14 AL 21 '!AC22+'SEMANA DEL 21AL 28-3'!AC23+#REF!</f>
        <v>#REF!</v>
      </c>
      <c r="AD17" s="203" t="e">
        <f>+'SEMANA DEL 2 AL 7-3-26'!#REF!+'SEMANA DEL 7 AL 14'!AD24+'SEMANA DEL 14 AL 21 '!AD22+'SEMANA DEL 21AL 28-3'!AD23+#REF!</f>
        <v>#REF!</v>
      </c>
      <c r="AE17" s="203" t="e">
        <f>+'SEMANA DEL 2 AL 7-3-26'!#REF!+'SEMANA DEL 7 AL 14'!AE24+'SEMANA DEL 14 AL 21 '!AE22+'SEMANA DEL 21AL 28-3'!AE23+#REF!</f>
        <v>#REF!</v>
      </c>
      <c r="AF17" s="203" t="e">
        <f>+'SEMANA DEL 2 AL 7-3-26'!#REF!+'SEMANA DEL 7 AL 14'!AF24+'SEMANA DEL 14 AL 21 '!AF22+'SEMANA DEL 21AL 28-3'!AF23+#REF!</f>
        <v>#REF!</v>
      </c>
      <c r="AG17" s="203" t="e">
        <f>+'SEMANA DEL 2 AL 7-3-26'!#REF!+'SEMANA DEL 7 AL 14'!AG24+'SEMANA DEL 14 AL 21 '!AG22+'SEMANA DEL 21AL 28-3'!AG23+#REF!</f>
        <v>#REF!</v>
      </c>
      <c r="AH17" s="203" t="e">
        <f>+'SEMANA DEL 2 AL 7-3-26'!#REF!+'SEMANA DEL 7 AL 14'!AH24+'SEMANA DEL 14 AL 21 '!AH22+'SEMANA DEL 21AL 28-3'!AH23+#REF!</f>
        <v>#REF!</v>
      </c>
      <c r="AI17" s="203" t="e">
        <f>+'SEMANA DEL 2 AL 7-3-26'!#REF!+'SEMANA DEL 7 AL 14'!AI24+'SEMANA DEL 14 AL 21 '!AI22+'SEMANA DEL 21AL 28-3'!AI23+#REF!</f>
        <v>#REF!</v>
      </c>
      <c r="AJ17" s="203" t="e">
        <f>+'SEMANA DEL 2 AL 7-3-26'!#REF!+'SEMANA DEL 7 AL 14'!AJ24+'SEMANA DEL 14 AL 21 '!AJ22+'SEMANA DEL 21AL 28-3'!AJ23+#REF!</f>
        <v>#REF!</v>
      </c>
      <c r="AK17" s="203" t="e">
        <f>+'SEMANA DEL 2 AL 7-3-26'!#REF!+'SEMANA DEL 7 AL 14'!AK24+'SEMANA DEL 14 AL 21 '!AK22+'SEMANA DEL 21AL 28-3'!AK23+#REF!</f>
        <v>#REF!</v>
      </c>
      <c r="AL17" s="203" t="e">
        <f>+'SEMANA DEL 2 AL 7-3-26'!#REF!+'SEMANA DEL 7 AL 14'!AL24+'SEMANA DEL 14 AL 21 '!AL22+'SEMANA DEL 21AL 28-3'!AL23+#REF!</f>
        <v>#REF!</v>
      </c>
      <c r="AM17" s="203" t="e">
        <f>+'SEMANA DEL 2 AL 7-3-26'!#REF!+'SEMANA DEL 7 AL 14'!AM24+'SEMANA DEL 14 AL 21 '!AM22+'SEMANA DEL 21AL 28-3'!AM23+#REF!</f>
        <v>#REF!</v>
      </c>
      <c r="AN17" s="203" t="e">
        <f>+'SEMANA DEL 2 AL 7-3-26'!#REF!+'SEMANA DEL 7 AL 14'!AN24+'SEMANA DEL 14 AL 21 '!AN22+'SEMANA DEL 21AL 28-3'!AN23+#REF!</f>
        <v>#REF!</v>
      </c>
      <c r="AO17" s="203" t="e">
        <f>+'SEMANA DEL 2 AL 7-3-26'!#REF!+'SEMANA DEL 7 AL 14'!AO24+'SEMANA DEL 14 AL 21 '!AO22+'SEMANA DEL 21AL 28-3'!AO23+#REF!</f>
        <v>#REF!</v>
      </c>
      <c r="AP17" s="203" t="e">
        <f>+'SEMANA DEL 2 AL 7-3-26'!#REF!+'SEMANA DEL 7 AL 14'!AP24+'SEMANA DEL 14 AL 21 '!AP22+'SEMANA DEL 21AL 28-3'!AP23+#REF!</f>
        <v>#REF!</v>
      </c>
      <c r="AQ17" s="203" t="e">
        <f>+'SEMANA DEL 2 AL 7-3-26'!#REF!+'SEMANA DEL 7 AL 14'!AQ24+'SEMANA DEL 14 AL 21 '!AQ22+'SEMANA DEL 21AL 28-3'!AQ23+#REF!</f>
        <v>#REF!</v>
      </c>
      <c r="AR17" s="203" t="e">
        <f>+'SEMANA DEL 2 AL 7-3-26'!#REF!+'SEMANA DEL 7 AL 14'!AR24+'SEMANA DEL 14 AL 21 '!AR22+'SEMANA DEL 21AL 28-3'!AR23+#REF!</f>
        <v>#REF!</v>
      </c>
      <c r="AS17" s="203" t="e">
        <f>+'SEMANA DEL 2 AL 7-3-26'!#REF!+'SEMANA DEL 7 AL 14'!AS24+'SEMANA DEL 14 AL 21 '!AS22+'SEMANA DEL 21AL 28-3'!AS23+#REF!</f>
        <v>#REF!</v>
      </c>
      <c r="AT17" s="203" t="e">
        <f>+'SEMANA DEL 2 AL 7-3-26'!#REF!+'SEMANA DEL 7 AL 14'!AT24+'SEMANA DEL 14 AL 21 '!AT22+'SEMANA DEL 21AL 28-3'!AT23+#REF!</f>
        <v>#REF!</v>
      </c>
      <c r="AU17" s="203" t="e">
        <f>+'SEMANA DEL 2 AL 7-3-26'!#REF!+'SEMANA DEL 7 AL 14'!AU24+'SEMANA DEL 14 AL 21 '!AU22+'SEMANA DEL 21AL 28-3'!AU23+#REF!</f>
        <v>#REF!</v>
      </c>
      <c r="AV17" s="203" t="e">
        <f>+'SEMANA DEL 2 AL 7-3-26'!#REF!+'SEMANA DEL 7 AL 14'!AV24+'SEMANA DEL 14 AL 21 '!AV22+'SEMANA DEL 21AL 28-3'!AV23+#REF!</f>
        <v>#REF!</v>
      </c>
      <c r="AW17" s="203" t="e">
        <f>+'SEMANA DEL 2 AL 7-3-26'!#REF!+'SEMANA DEL 7 AL 14'!AW24+'SEMANA DEL 14 AL 21 '!AW22+'SEMANA DEL 21AL 28-3'!AW23+#REF!</f>
        <v>#REF!</v>
      </c>
      <c r="AX17" s="203" t="e">
        <f t="shared" si="1"/>
        <v>#REF!</v>
      </c>
      <c r="AY17" s="203" t="e">
        <f t="shared" si="2"/>
        <v>#REF!</v>
      </c>
      <c r="AZ17" s="203" t="e">
        <f t="shared" si="3"/>
        <v>#REF!</v>
      </c>
      <c r="BA17" s="203" t="e">
        <f t="shared" si="4"/>
        <v>#REF!</v>
      </c>
      <c r="BB17" s="203" t="e">
        <f t="shared" si="5"/>
        <v>#REF!</v>
      </c>
      <c r="BC17" s="203" t="e">
        <f t="shared" si="6"/>
        <v>#REF!</v>
      </c>
      <c r="BD17" s="203" t="e">
        <f t="shared" si="7"/>
        <v>#REF!</v>
      </c>
      <c r="BE17" s="203" t="e">
        <f t="shared" si="8"/>
        <v>#REF!</v>
      </c>
      <c r="BF17" s="203" t="e">
        <f t="shared" si="9"/>
        <v>#REF!</v>
      </c>
      <c r="BG17" s="203" t="e">
        <f t="shared" si="10"/>
        <v>#REF!</v>
      </c>
      <c r="BH17" s="203" t="e">
        <f t="shared" si="11"/>
        <v>#REF!</v>
      </c>
      <c r="BI17" s="203" t="e">
        <f t="shared" si="12"/>
        <v>#REF!</v>
      </c>
      <c r="BJ17" s="203" t="e">
        <f t="shared" si="13"/>
        <v>#REF!</v>
      </c>
      <c r="BK17" s="203" t="e">
        <f t="shared" si="14"/>
        <v>#REF!</v>
      </c>
      <c r="BL17" s="203" t="e">
        <f t="shared" si="15"/>
        <v>#REF!</v>
      </c>
      <c r="BM17" s="203" t="e">
        <f t="shared" si="16"/>
        <v>#REF!</v>
      </c>
      <c r="BN17" s="203" t="e">
        <f>+'SEMANA DEL 2 AL 7-3-26'!#REF!+'SEMANA DEL 7 AL 14'!BN24+'SEMANA DEL 14 AL 21 '!BN22+'SEMANA DEL 21AL 28-3'!BN23+#REF!</f>
        <v>#REF!</v>
      </c>
      <c r="BO17" s="203" t="e">
        <f>+'SEMANA DEL 2 AL 7-3-26'!#REF!+'SEMANA DEL 7 AL 14'!BO24+'SEMANA DEL 14 AL 21 '!BO22+'SEMANA DEL 21AL 28-3'!BO23+#REF!</f>
        <v>#REF!</v>
      </c>
      <c r="BP17" s="203" t="e">
        <f>+'SEMANA DEL 2 AL 7-3-26'!#REF!+'SEMANA DEL 7 AL 14'!BP24+'SEMANA DEL 14 AL 21 '!BP22+'SEMANA DEL 21AL 28-3'!BP23+#REF!</f>
        <v>#REF!</v>
      </c>
      <c r="BQ17" s="203" t="e">
        <f>+'SEMANA DEL 2 AL 7-3-26'!#REF!+'SEMANA DEL 7 AL 14'!BQ24+'SEMANA DEL 14 AL 21 '!BQ22+'SEMANA DEL 21AL 28-3'!BQ23+#REF!</f>
        <v>#REF!</v>
      </c>
      <c r="BR17" s="203" t="e">
        <f>+'SEMANA DEL 2 AL 7-3-26'!#REF!+'SEMANA DEL 7 AL 14'!BR24+'SEMANA DEL 14 AL 21 '!BR22+'SEMANA DEL 21AL 28-3'!BR23+#REF!</f>
        <v>#REF!</v>
      </c>
      <c r="BS17" s="203" t="e">
        <f>+'SEMANA DEL 2 AL 7-3-26'!#REF!+'SEMANA DEL 7 AL 14'!BS24+'SEMANA DEL 14 AL 21 '!BS22+'SEMANA DEL 21AL 28-3'!BS23+#REF!</f>
        <v>#REF!</v>
      </c>
      <c r="BT17" s="203" t="e">
        <f>+'SEMANA DEL 2 AL 7-3-26'!#REF!+'SEMANA DEL 7 AL 14'!BT24+'SEMANA DEL 14 AL 21 '!BT22+'SEMANA DEL 21AL 28-3'!BT23+#REF!</f>
        <v>#REF!</v>
      </c>
      <c r="BU17" s="203" t="e">
        <f>+'SEMANA DEL 2 AL 7-3-26'!#REF!+'SEMANA DEL 7 AL 14'!BU24+'SEMANA DEL 14 AL 21 '!BU22+'SEMANA DEL 21AL 28-3'!BU23+#REF!</f>
        <v>#REF!</v>
      </c>
      <c r="BV17" s="203" t="e">
        <f>+'SEMANA DEL 2 AL 7-3-26'!#REF!+'SEMANA DEL 7 AL 14'!BV24+'SEMANA DEL 14 AL 21 '!BV22+'SEMANA DEL 21AL 28-3'!BV23+#REF!</f>
        <v>#REF!</v>
      </c>
      <c r="BW17" s="203" t="e">
        <f>+'SEMANA DEL 2 AL 7-3-26'!#REF!+'SEMANA DEL 7 AL 14'!BW24+'SEMANA DEL 14 AL 21 '!BW22+'SEMANA DEL 21AL 28-3'!BW23+#REF!</f>
        <v>#REF!</v>
      </c>
      <c r="BX17" s="203" t="e">
        <f>+'SEMANA DEL 2 AL 7-3-26'!#REF!+'SEMANA DEL 7 AL 14'!BX24+'SEMANA DEL 14 AL 21 '!BX22+'SEMANA DEL 21AL 28-3'!BX23+#REF!</f>
        <v>#REF!</v>
      </c>
      <c r="BY17" s="203" t="e">
        <f>+'SEMANA DEL 2 AL 7-3-26'!#REF!+'SEMANA DEL 7 AL 14'!BY24+'SEMANA DEL 14 AL 21 '!BY22+'SEMANA DEL 21AL 28-3'!BY23+#REF!</f>
        <v>#REF!</v>
      </c>
      <c r="BZ17" s="203" t="e">
        <f>+'SEMANA DEL 2 AL 7-3-26'!#REF!+'SEMANA DEL 7 AL 14'!BZ24+'SEMANA DEL 14 AL 21 '!BZ22+'SEMANA DEL 21AL 28-3'!BZ23+#REF!</f>
        <v>#REF!</v>
      </c>
      <c r="CA17" s="203" t="e">
        <f>+'SEMANA DEL 2 AL 7-3-26'!#REF!+'SEMANA DEL 7 AL 14'!CA24+'SEMANA DEL 14 AL 21 '!CA22+'SEMANA DEL 21AL 28-3'!CA23+#REF!</f>
        <v>#REF!</v>
      </c>
      <c r="CB17" s="203" t="e">
        <f>+'SEMANA DEL 2 AL 7-3-26'!#REF!+'SEMANA DEL 7 AL 14'!CB24+'SEMANA DEL 14 AL 21 '!CB22+'SEMANA DEL 21AL 28-3'!CB23+#REF!</f>
        <v>#REF!</v>
      </c>
      <c r="CC17" s="203" t="e">
        <f>+'SEMANA DEL 2 AL 7-3-26'!#REF!+'SEMANA DEL 7 AL 14'!CC24+'SEMANA DEL 14 AL 21 '!CC22+'SEMANA DEL 21AL 28-3'!CC23+#REF!</f>
        <v>#REF!</v>
      </c>
      <c r="CD17" s="203" t="e">
        <f>+'SEMANA DEL 2 AL 7-3-26'!#REF!+'SEMANA DEL 7 AL 14'!CD24+'SEMANA DEL 14 AL 21 '!CD22+'SEMANA DEL 21AL 28-3'!CD23+#REF!</f>
        <v>#REF!</v>
      </c>
      <c r="CE17" s="203" t="e">
        <f>+'SEMANA DEL 2 AL 7-3-26'!#REF!+'SEMANA DEL 7 AL 14'!CE24+'SEMANA DEL 14 AL 21 '!CE22+'SEMANA DEL 21AL 28-3'!CE23+#REF!</f>
        <v>#REF!</v>
      </c>
      <c r="CF17" s="203" t="e">
        <f>+'SEMANA DEL 2 AL 7-3-26'!#REF!+'SEMANA DEL 7 AL 14'!CF24+'SEMANA DEL 14 AL 21 '!CF22+'SEMANA DEL 21AL 28-3'!CF23+#REF!</f>
        <v>#REF!</v>
      </c>
      <c r="CG17" s="203" t="e">
        <f>+'SEMANA DEL 2 AL 7-3-26'!#REF!+'SEMANA DEL 7 AL 14'!CG24+'SEMANA DEL 14 AL 21 '!CG22+'SEMANA DEL 21AL 28-3'!CG23+#REF!</f>
        <v>#REF!</v>
      </c>
      <c r="CH17" s="203" t="e">
        <f>+'SEMANA DEL 2 AL 7-3-26'!#REF!+'SEMANA DEL 7 AL 14'!CH24+'SEMANA DEL 14 AL 21 '!CH22+'SEMANA DEL 21AL 28-3'!CH23+#REF!</f>
        <v>#REF!</v>
      </c>
      <c r="CI17" s="203" t="e">
        <f>+'SEMANA DEL 2 AL 7-3-26'!#REF!+'SEMANA DEL 7 AL 14'!CI24+'SEMANA DEL 14 AL 21 '!CI22+'SEMANA DEL 21AL 28-3'!CI23+#REF!</f>
        <v>#REF!</v>
      </c>
    </row>
    <row r="18" spans="1:93" x14ac:dyDescent="0.2">
      <c r="A18" s="34" t="e">
        <f>+'SEMANA DEL 2 AL 7-3-26'!#REF!</f>
        <v>#REF!</v>
      </c>
      <c r="B18" s="203" t="e">
        <f>+'SEMANA DEL 2 AL 7-3-26'!#REF!</f>
        <v>#REF!</v>
      </c>
      <c r="C18" s="203" t="e">
        <f>+'SEMANA DEL 2 AL 7-3-26'!#REF!</f>
        <v>#REF!</v>
      </c>
      <c r="D18" s="203" t="e">
        <f>+'SEMANA DEL 2 AL 7-3-26'!#REF!</f>
        <v>#REF!</v>
      </c>
      <c r="E18" s="203" t="e">
        <f>+'SEMANA DEL 2 AL 7-3-26'!#REF!</f>
        <v>#REF!</v>
      </c>
      <c r="F18" s="203" t="e">
        <f>+'SEMANA DEL 2 AL 7-3-26'!#REF!</f>
        <v>#REF!</v>
      </c>
      <c r="G18" s="203" t="e">
        <f>+'SEMANA DEL 2 AL 7-3-26'!#REF!</f>
        <v>#REF!</v>
      </c>
      <c r="H18" s="203" t="e">
        <f>+'SEMANA DEL 2 AL 7-3-26'!#REF!</f>
        <v>#REF!</v>
      </c>
      <c r="I18" s="203" t="e">
        <f>+'SEMANA DEL 2 AL 7-3-26'!#REF!</f>
        <v>#REF!</v>
      </c>
      <c r="J18" s="203" t="e">
        <f>+'SEMANA DEL 2 AL 7-3-26'!#REF!</f>
        <v>#REF!</v>
      </c>
      <c r="K18" s="203" t="e">
        <f>+'SEMANA DEL 2 AL 7-3-26'!#REF!</f>
        <v>#REF!</v>
      </c>
      <c r="L18" s="203" t="e">
        <f>+'SEMANA DEL 2 AL 7-3-26'!#REF!</f>
        <v>#REF!</v>
      </c>
      <c r="M18" s="203" t="e">
        <f>+'SEMANA DEL 2 AL 7-3-26'!#REF!</f>
        <v>#REF!</v>
      </c>
      <c r="N18" s="203" t="e">
        <f>+'SEMANA DEL 2 AL 7-3-26'!#REF!</f>
        <v>#REF!</v>
      </c>
      <c r="O18" s="203" t="e">
        <f>+'SEMANA DEL 2 AL 7-3-26'!#REF!</f>
        <v>#REF!</v>
      </c>
      <c r="P18" s="203" t="e">
        <f>+'SEMANA DEL 2 AL 7-3-26'!#REF!</f>
        <v>#REF!</v>
      </c>
      <c r="Q18" s="203" t="e">
        <f>+'SEMANA DEL 2 AL 7-3-26'!#REF!</f>
        <v>#REF!</v>
      </c>
      <c r="R18" s="203" t="e">
        <f>+'SEMANA DEL 2 AL 7-3-26'!#REF!+'SEMANA DEL 7 AL 14'!R25+'SEMANA DEL 14 AL 21 '!R23+'SEMANA DEL 21AL 28-3'!R24+#REF!</f>
        <v>#REF!</v>
      </c>
      <c r="S18" s="203" t="e">
        <f>+'SEMANA DEL 2 AL 7-3-26'!#REF!+'SEMANA DEL 7 AL 14'!S25+'SEMANA DEL 14 AL 21 '!S23+'SEMANA DEL 21AL 28-3'!S24+#REF!</f>
        <v>#REF!</v>
      </c>
      <c r="T18" s="203" t="e">
        <f>+'SEMANA DEL 2 AL 7-3-26'!#REF!+'SEMANA DEL 7 AL 14'!T25+'SEMANA DEL 14 AL 21 '!T23+'SEMANA DEL 21AL 28-3'!T24+#REF!</f>
        <v>#REF!</v>
      </c>
      <c r="U18" s="203" t="e">
        <f>+'SEMANA DEL 2 AL 7-3-26'!#REF!+'SEMANA DEL 7 AL 14'!U25+'SEMANA DEL 14 AL 21 '!U23+'SEMANA DEL 21AL 28-3'!U24+#REF!</f>
        <v>#REF!</v>
      </c>
      <c r="V18" s="203" t="e">
        <f>+'SEMANA DEL 2 AL 7-3-26'!#REF!+'SEMANA DEL 7 AL 14'!V25+'SEMANA DEL 14 AL 21 '!V23+'SEMANA DEL 21AL 28-3'!V24+#REF!</f>
        <v>#REF!</v>
      </c>
      <c r="W18" s="203" t="e">
        <f>+'SEMANA DEL 2 AL 7-3-26'!#REF!+'SEMANA DEL 7 AL 14'!W25+'SEMANA DEL 14 AL 21 '!W23+'SEMANA DEL 21AL 28-3'!W24+#REF!</f>
        <v>#REF!</v>
      </c>
      <c r="X18" s="203" t="e">
        <f>+'SEMANA DEL 2 AL 7-3-26'!#REF!+'SEMANA DEL 7 AL 14'!X25+'SEMANA DEL 14 AL 21 '!X23+'SEMANA DEL 21AL 28-3'!X24+#REF!</f>
        <v>#REF!</v>
      </c>
      <c r="Y18" s="203" t="e">
        <f>+'SEMANA DEL 2 AL 7-3-26'!#REF!+'SEMANA DEL 7 AL 14'!Y25+'SEMANA DEL 14 AL 21 '!Y23+'SEMANA DEL 21AL 28-3'!Y24+#REF!</f>
        <v>#REF!</v>
      </c>
      <c r="Z18" s="203" t="e">
        <f>+'SEMANA DEL 2 AL 7-3-26'!#REF!+'SEMANA DEL 7 AL 14'!Z25+'SEMANA DEL 14 AL 21 '!Z23+'SEMANA DEL 21AL 28-3'!Z24+#REF!</f>
        <v>#REF!</v>
      </c>
      <c r="AA18" s="203" t="e">
        <f>+'SEMANA DEL 2 AL 7-3-26'!#REF!+'SEMANA DEL 7 AL 14'!AA25+'SEMANA DEL 14 AL 21 '!AA23+'SEMANA DEL 21AL 28-3'!AA24+#REF!</f>
        <v>#REF!</v>
      </c>
      <c r="AB18" s="203" t="e">
        <f>+'SEMANA DEL 2 AL 7-3-26'!#REF!+'SEMANA DEL 7 AL 14'!AB25+'SEMANA DEL 14 AL 21 '!AB23+'SEMANA DEL 21AL 28-3'!AB24+#REF!</f>
        <v>#REF!</v>
      </c>
      <c r="AC18" s="203" t="e">
        <f>+'SEMANA DEL 2 AL 7-3-26'!#REF!+'SEMANA DEL 7 AL 14'!AC25+'SEMANA DEL 14 AL 21 '!AC23+'SEMANA DEL 21AL 28-3'!AC24+#REF!</f>
        <v>#REF!</v>
      </c>
      <c r="AD18" s="203" t="e">
        <f>+'SEMANA DEL 2 AL 7-3-26'!#REF!+'SEMANA DEL 7 AL 14'!AD25+'SEMANA DEL 14 AL 21 '!AD23+'SEMANA DEL 21AL 28-3'!AD24+#REF!</f>
        <v>#REF!</v>
      </c>
      <c r="AE18" s="203" t="e">
        <f>+'SEMANA DEL 2 AL 7-3-26'!#REF!+'SEMANA DEL 7 AL 14'!AE25+'SEMANA DEL 14 AL 21 '!AE23+'SEMANA DEL 21AL 28-3'!AE24+#REF!</f>
        <v>#REF!</v>
      </c>
      <c r="AF18" s="203" t="e">
        <f>+'SEMANA DEL 2 AL 7-3-26'!#REF!+'SEMANA DEL 7 AL 14'!AF25+'SEMANA DEL 14 AL 21 '!AF23+'SEMANA DEL 21AL 28-3'!AF24+#REF!</f>
        <v>#REF!</v>
      </c>
      <c r="AG18" s="203" t="e">
        <f>+'SEMANA DEL 2 AL 7-3-26'!#REF!+'SEMANA DEL 7 AL 14'!AG25+'SEMANA DEL 14 AL 21 '!AG23+'SEMANA DEL 21AL 28-3'!AG24+#REF!</f>
        <v>#REF!</v>
      </c>
      <c r="AH18" s="203" t="e">
        <f>+'SEMANA DEL 2 AL 7-3-26'!#REF!+'SEMANA DEL 7 AL 14'!AH25+'SEMANA DEL 14 AL 21 '!AH23+'SEMANA DEL 21AL 28-3'!AH24+#REF!</f>
        <v>#REF!</v>
      </c>
      <c r="AI18" s="203" t="e">
        <f>+'SEMANA DEL 2 AL 7-3-26'!#REF!+'SEMANA DEL 7 AL 14'!AI25+'SEMANA DEL 14 AL 21 '!AI23+'SEMANA DEL 21AL 28-3'!AI24+#REF!</f>
        <v>#REF!</v>
      </c>
      <c r="AJ18" s="203" t="e">
        <f>+'SEMANA DEL 2 AL 7-3-26'!#REF!+'SEMANA DEL 7 AL 14'!AJ25+'SEMANA DEL 14 AL 21 '!AJ23+'SEMANA DEL 21AL 28-3'!AJ24+#REF!</f>
        <v>#REF!</v>
      </c>
      <c r="AK18" s="203" t="e">
        <f>+'SEMANA DEL 2 AL 7-3-26'!#REF!+'SEMANA DEL 7 AL 14'!AK25+'SEMANA DEL 14 AL 21 '!AK23+'SEMANA DEL 21AL 28-3'!AK24+#REF!</f>
        <v>#REF!</v>
      </c>
      <c r="AL18" s="203" t="e">
        <f>+'SEMANA DEL 2 AL 7-3-26'!#REF!+'SEMANA DEL 7 AL 14'!AL25+'SEMANA DEL 14 AL 21 '!AL23+'SEMANA DEL 21AL 28-3'!AL24+#REF!</f>
        <v>#REF!</v>
      </c>
      <c r="AM18" s="203" t="e">
        <f>+'SEMANA DEL 2 AL 7-3-26'!#REF!+'SEMANA DEL 7 AL 14'!AM25+'SEMANA DEL 14 AL 21 '!AM23+'SEMANA DEL 21AL 28-3'!AM24+#REF!</f>
        <v>#REF!</v>
      </c>
      <c r="AN18" s="203" t="e">
        <f>+'SEMANA DEL 2 AL 7-3-26'!#REF!+'SEMANA DEL 7 AL 14'!AN25+'SEMANA DEL 14 AL 21 '!AN23+'SEMANA DEL 21AL 28-3'!AN24+#REF!</f>
        <v>#REF!</v>
      </c>
      <c r="AO18" s="203" t="e">
        <f>+'SEMANA DEL 2 AL 7-3-26'!#REF!+'SEMANA DEL 7 AL 14'!AO25+'SEMANA DEL 14 AL 21 '!AO23+'SEMANA DEL 21AL 28-3'!AO24+#REF!</f>
        <v>#REF!</v>
      </c>
      <c r="AP18" s="203" t="e">
        <f>+'SEMANA DEL 2 AL 7-3-26'!#REF!+'SEMANA DEL 7 AL 14'!AP25+'SEMANA DEL 14 AL 21 '!AP23+'SEMANA DEL 21AL 28-3'!AP24+#REF!</f>
        <v>#REF!</v>
      </c>
      <c r="AQ18" s="203" t="e">
        <f>+'SEMANA DEL 2 AL 7-3-26'!#REF!+'SEMANA DEL 7 AL 14'!AQ25+'SEMANA DEL 14 AL 21 '!AQ23+'SEMANA DEL 21AL 28-3'!AQ24+#REF!</f>
        <v>#REF!</v>
      </c>
      <c r="AR18" s="203" t="e">
        <f>+'SEMANA DEL 2 AL 7-3-26'!#REF!+'SEMANA DEL 7 AL 14'!AR25+'SEMANA DEL 14 AL 21 '!AR23+'SEMANA DEL 21AL 28-3'!AR24+#REF!</f>
        <v>#REF!</v>
      </c>
      <c r="AS18" s="203" t="e">
        <f>+'SEMANA DEL 2 AL 7-3-26'!#REF!+'SEMANA DEL 7 AL 14'!AS25+'SEMANA DEL 14 AL 21 '!AS23+'SEMANA DEL 21AL 28-3'!AS24+#REF!</f>
        <v>#REF!</v>
      </c>
      <c r="AT18" s="203" t="e">
        <f>+'SEMANA DEL 2 AL 7-3-26'!#REF!+'SEMANA DEL 7 AL 14'!AT25+'SEMANA DEL 14 AL 21 '!AT23+'SEMANA DEL 21AL 28-3'!AT24+#REF!</f>
        <v>#REF!</v>
      </c>
      <c r="AU18" s="203" t="e">
        <f>+'SEMANA DEL 2 AL 7-3-26'!#REF!+'SEMANA DEL 7 AL 14'!AU25+'SEMANA DEL 14 AL 21 '!AU23+'SEMANA DEL 21AL 28-3'!AU24+#REF!</f>
        <v>#REF!</v>
      </c>
      <c r="AV18" s="203" t="e">
        <f>+'SEMANA DEL 2 AL 7-3-26'!#REF!+'SEMANA DEL 7 AL 14'!AV25+'SEMANA DEL 14 AL 21 '!AV23+'SEMANA DEL 21AL 28-3'!AV24+#REF!</f>
        <v>#REF!</v>
      </c>
      <c r="AW18" s="203" t="e">
        <f>+'SEMANA DEL 2 AL 7-3-26'!#REF!+'SEMANA DEL 7 AL 14'!AW25+'SEMANA DEL 14 AL 21 '!AW23+'SEMANA DEL 21AL 28-3'!AW24+#REF!</f>
        <v>#REF!</v>
      </c>
      <c r="AX18" s="203" t="e">
        <f t="shared" si="1"/>
        <v>#REF!</v>
      </c>
      <c r="AY18" s="203" t="e">
        <f t="shared" si="2"/>
        <v>#REF!</v>
      </c>
      <c r="AZ18" s="203" t="e">
        <f t="shared" si="3"/>
        <v>#REF!</v>
      </c>
      <c r="BA18" s="203" t="e">
        <f t="shared" si="4"/>
        <v>#REF!</v>
      </c>
      <c r="BB18" s="203" t="e">
        <f t="shared" si="5"/>
        <v>#REF!</v>
      </c>
      <c r="BC18" s="203" t="e">
        <f t="shared" si="6"/>
        <v>#REF!</v>
      </c>
      <c r="BD18" s="203" t="e">
        <f t="shared" si="7"/>
        <v>#REF!</v>
      </c>
      <c r="BE18" s="203" t="e">
        <f t="shared" si="8"/>
        <v>#REF!</v>
      </c>
      <c r="BF18" s="203" t="e">
        <f t="shared" si="9"/>
        <v>#REF!</v>
      </c>
      <c r="BG18" s="203" t="e">
        <f t="shared" si="10"/>
        <v>#REF!</v>
      </c>
      <c r="BH18" s="203" t="e">
        <f t="shared" si="11"/>
        <v>#REF!</v>
      </c>
      <c r="BI18" s="203" t="e">
        <f t="shared" si="12"/>
        <v>#REF!</v>
      </c>
      <c r="BJ18" s="203" t="e">
        <f t="shared" si="13"/>
        <v>#REF!</v>
      </c>
      <c r="BK18" s="203" t="e">
        <f t="shared" si="14"/>
        <v>#REF!</v>
      </c>
      <c r="BL18" s="203" t="e">
        <f t="shared" si="15"/>
        <v>#REF!</v>
      </c>
      <c r="BM18" s="203" t="e">
        <f t="shared" si="16"/>
        <v>#REF!</v>
      </c>
      <c r="BN18" s="203" t="e">
        <f>+'SEMANA DEL 2 AL 7-3-26'!#REF!+'SEMANA DEL 7 AL 14'!BN25+'SEMANA DEL 14 AL 21 '!BN23+'SEMANA DEL 21AL 28-3'!BN24+#REF!</f>
        <v>#REF!</v>
      </c>
      <c r="BO18" s="203" t="e">
        <f>+'SEMANA DEL 2 AL 7-3-26'!#REF!+'SEMANA DEL 7 AL 14'!BO25+'SEMANA DEL 14 AL 21 '!BO23+'SEMANA DEL 21AL 28-3'!BO24+#REF!</f>
        <v>#REF!</v>
      </c>
      <c r="BP18" s="203" t="e">
        <f>+'SEMANA DEL 2 AL 7-3-26'!#REF!+'SEMANA DEL 7 AL 14'!BP25+'SEMANA DEL 14 AL 21 '!BP23+'SEMANA DEL 21AL 28-3'!BP24+#REF!</f>
        <v>#REF!</v>
      </c>
      <c r="BQ18" s="203" t="e">
        <f>+'SEMANA DEL 2 AL 7-3-26'!#REF!+'SEMANA DEL 7 AL 14'!BQ25+'SEMANA DEL 14 AL 21 '!BQ23+'SEMANA DEL 21AL 28-3'!BQ24+#REF!</f>
        <v>#REF!</v>
      </c>
      <c r="BR18" s="203" t="e">
        <f>+'SEMANA DEL 2 AL 7-3-26'!#REF!+'SEMANA DEL 7 AL 14'!BR25+'SEMANA DEL 14 AL 21 '!BR23+'SEMANA DEL 21AL 28-3'!BR24+#REF!</f>
        <v>#REF!</v>
      </c>
      <c r="BS18" s="203" t="e">
        <f>+'SEMANA DEL 2 AL 7-3-26'!#REF!+'SEMANA DEL 7 AL 14'!BS25+'SEMANA DEL 14 AL 21 '!BS23+'SEMANA DEL 21AL 28-3'!BS24+#REF!</f>
        <v>#REF!</v>
      </c>
      <c r="BT18" s="203" t="e">
        <f>+'SEMANA DEL 2 AL 7-3-26'!#REF!+'SEMANA DEL 7 AL 14'!BT25+'SEMANA DEL 14 AL 21 '!BT23+'SEMANA DEL 21AL 28-3'!BT24+#REF!</f>
        <v>#REF!</v>
      </c>
      <c r="BU18" s="203" t="e">
        <f>+'SEMANA DEL 2 AL 7-3-26'!#REF!+'SEMANA DEL 7 AL 14'!BU25+'SEMANA DEL 14 AL 21 '!BU23+'SEMANA DEL 21AL 28-3'!BU24+#REF!</f>
        <v>#REF!</v>
      </c>
      <c r="BV18" s="203" t="e">
        <f>+'SEMANA DEL 2 AL 7-3-26'!#REF!+'SEMANA DEL 7 AL 14'!BV25+'SEMANA DEL 14 AL 21 '!BV23+'SEMANA DEL 21AL 28-3'!BV24+#REF!</f>
        <v>#REF!</v>
      </c>
      <c r="BW18" s="203" t="e">
        <f>+'SEMANA DEL 2 AL 7-3-26'!#REF!+'SEMANA DEL 7 AL 14'!BW25+'SEMANA DEL 14 AL 21 '!BW23+'SEMANA DEL 21AL 28-3'!BW24+#REF!</f>
        <v>#REF!</v>
      </c>
      <c r="BX18" s="203" t="e">
        <f>+'SEMANA DEL 2 AL 7-3-26'!#REF!+'SEMANA DEL 7 AL 14'!BX25+'SEMANA DEL 14 AL 21 '!BX23+'SEMANA DEL 21AL 28-3'!BX24+#REF!</f>
        <v>#REF!</v>
      </c>
      <c r="BY18" s="203" t="e">
        <f>+'SEMANA DEL 2 AL 7-3-26'!#REF!+'SEMANA DEL 7 AL 14'!BY25+'SEMANA DEL 14 AL 21 '!BY23+'SEMANA DEL 21AL 28-3'!BY24+#REF!</f>
        <v>#REF!</v>
      </c>
      <c r="BZ18" s="203" t="e">
        <f>+'SEMANA DEL 2 AL 7-3-26'!#REF!+'SEMANA DEL 7 AL 14'!BZ25+'SEMANA DEL 14 AL 21 '!BZ23+'SEMANA DEL 21AL 28-3'!BZ24+#REF!</f>
        <v>#REF!</v>
      </c>
      <c r="CA18" s="203" t="e">
        <f>+'SEMANA DEL 2 AL 7-3-26'!#REF!+'SEMANA DEL 7 AL 14'!CA25+'SEMANA DEL 14 AL 21 '!CA23+'SEMANA DEL 21AL 28-3'!CA24+#REF!</f>
        <v>#REF!</v>
      </c>
      <c r="CB18" s="203" t="e">
        <f>+'SEMANA DEL 2 AL 7-3-26'!#REF!+'SEMANA DEL 7 AL 14'!CB25+'SEMANA DEL 14 AL 21 '!CB23+'SEMANA DEL 21AL 28-3'!CB24+#REF!</f>
        <v>#REF!</v>
      </c>
      <c r="CC18" s="203" t="e">
        <f>+'SEMANA DEL 2 AL 7-3-26'!#REF!+'SEMANA DEL 7 AL 14'!CC25+'SEMANA DEL 14 AL 21 '!CC23+'SEMANA DEL 21AL 28-3'!CC24+#REF!</f>
        <v>#REF!</v>
      </c>
      <c r="CD18" s="203" t="e">
        <f>+'SEMANA DEL 2 AL 7-3-26'!#REF!+'SEMANA DEL 7 AL 14'!CD25+'SEMANA DEL 14 AL 21 '!CD23+'SEMANA DEL 21AL 28-3'!CD24+#REF!</f>
        <v>#REF!</v>
      </c>
      <c r="CE18" s="203" t="e">
        <f>+'SEMANA DEL 2 AL 7-3-26'!#REF!+'SEMANA DEL 7 AL 14'!CE25+'SEMANA DEL 14 AL 21 '!CE23+'SEMANA DEL 21AL 28-3'!CE24+#REF!</f>
        <v>#REF!</v>
      </c>
      <c r="CF18" s="203" t="e">
        <f>+'SEMANA DEL 2 AL 7-3-26'!#REF!+'SEMANA DEL 7 AL 14'!CF25+'SEMANA DEL 14 AL 21 '!CF23+'SEMANA DEL 21AL 28-3'!CF24+#REF!</f>
        <v>#REF!</v>
      </c>
      <c r="CG18" s="203" t="e">
        <f>+'SEMANA DEL 2 AL 7-3-26'!#REF!+'SEMANA DEL 7 AL 14'!CG25+'SEMANA DEL 14 AL 21 '!CG23+'SEMANA DEL 21AL 28-3'!CG24+#REF!</f>
        <v>#REF!</v>
      </c>
      <c r="CH18" s="203" t="e">
        <f>+'SEMANA DEL 2 AL 7-3-26'!#REF!+'SEMANA DEL 7 AL 14'!CH25+'SEMANA DEL 14 AL 21 '!CH23+'SEMANA DEL 21AL 28-3'!CH24+#REF!</f>
        <v>#REF!</v>
      </c>
      <c r="CI18" s="203" t="e">
        <f>+'SEMANA DEL 2 AL 7-3-26'!#REF!+'SEMANA DEL 7 AL 14'!CI25+'SEMANA DEL 14 AL 21 '!CI23+'SEMANA DEL 21AL 28-3'!CI24+#REF!</f>
        <v>#REF!</v>
      </c>
    </row>
    <row r="19" spans="1:93" x14ac:dyDescent="0.2">
      <c r="A19" s="34" t="e">
        <f>+'SEMANA DEL 2 AL 7-3-26'!#REF!</f>
        <v>#REF!</v>
      </c>
      <c r="B19" s="203" t="e">
        <f>+'SEMANA DEL 2 AL 7-3-26'!#REF!</f>
        <v>#REF!</v>
      </c>
      <c r="C19" s="203" t="e">
        <f>+'SEMANA DEL 2 AL 7-3-26'!#REF!</f>
        <v>#REF!</v>
      </c>
      <c r="D19" s="203" t="e">
        <f>+'SEMANA DEL 2 AL 7-3-26'!#REF!</f>
        <v>#REF!</v>
      </c>
      <c r="E19" s="203" t="e">
        <f>+'SEMANA DEL 2 AL 7-3-26'!#REF!</f>
        <v>#REF!</v>
      </c>
      <c r="F19" s="203" t="e">
        <f>+'SEMANA DEL 2 AL 7-3-26'!#REF!</f>
        <v>#REF!</v>
      </c>
      <c r="G19" s="203" t="e">
        <f>+'SEMANA DEL 2 AL 7-3-26'!#REF!</f>
        <v>#REF!</v>
      </c>
      <c r="H19" s="203" t="e">
        <f>+'SEMANA DEL 2 AL 7-3-26'!#REF!</f>
        <v>#REF!</v>
      </c>
      <c r="I19" s="203" t="e">
        <f>+'SEMANA DEL 2 AL 7-3-26'!#REF!</f>
        <v>#REF!</v>
      </c>
      <c r="J19" s="203" t="e">
        <f>+'SEMANA DEL 2 AL 7-3-26'!#REF!</f>
        <v>#REF!</v>
      </c>
      <c r="K19" s="203" t="e">
        <f>+'SEMANA DEL 2 AL 7-3-26'!#REF!</f>
        <v>#REF!</v>
      </c>
      <c r="L19" s="203" t="e">
        <f>+'SEMANA DEL 2 AL 7-3-26'!#REF!</f>
        <v>#REF!</v>
      </c>
      <c r="M19" s="203" t="e">
        <f>+'SEMANA DEL 2 AL 7-3-26'!#REF!</f>
        <v>#REF!</v>
      </c>
      <c r="N19" s="203" t="e">
        <f>+'SEMANA DEL 2 AL 7-3-26'!#REF!</f>
        <v>#REF!</v>
      </c>
      <c r="O19" s="203" t="e">
        <f>+'SEMANA DEL 2 AL 7-3-26'!#REF!</f>
        <v>#REF!</v>
      </c>
      <c r="P19" s="203" t="e">
        <f>+'SEMANA DEL 2 AL 7-3-26'!#REF!</f>
        <v>#REF!</v>
      </c>
      <c r="Q19" s="203" t="e">
        <f>+'SEMANA DEL 2 AL 7-3-26'!#REF!</f>
        <v>#REF!</v>
      </c>
      <c r="R19" s="203" t="e">
        <f>+'SEMANA DEL 2 AL 7-3-26'!R20+'SEMANA DEL 7 AL 14'!R26+'SEMANA DEL 14 AL 21 '!R24+'SEMANA DEL 21AL 28-3'!R25+#REF!</f>
        <v>#REF!</v>
      </c>
      <c r="S19" s="203" t="e">
        <f>+'SEMANA DEL 2 AL 7-3-26'!S20+'SEMANA DEL 7 AL 14'!S26+'SEMANA DEL 14 AL 21 '!S24+'SEMANA DEL 21AL 28-3'!S25+#REF!</f>
        <v>#REF!</v>
      </c>
      <c r="T19" s="203" t="e">
        <f>+'SEMANA DEL 2 AL 7-3-26'!T20+'SEMANA DEL 7 AL 14'!T26+'SEMANA DEL 14 AL 21 '!T24+'SEMANA DEL 21AL 28-3'!T25+#REF!</f>
        <v>#REF!</v>
      </c>
      <c r="U19" s="203" t="e">
        <f>+'SEMANA DEL 2 AL 7-3-26'!U20+'SEMANA DEL 7 AL 14'!U26+'SEMANA DEL 14 AL 21 '!U24+'SEMANA DEL 21AL 28-3'!U25+#REF!</f>
        <v>#REF!</v>
      </c>
      <c r="V19" s="203" t="e">
        <f>+'SEMANA DEL 2 AL 7-3-26'!V20+'SEMANA DEL 7 AL 14'!V26+'SEMANA DEL 14 AL 21 '!V24+'SEMANA DEL 21AL 28-3'!V25+#REF!</f>
        <v>#REF!</v>
      </c>
      <c r="W19" s="203" t="e">
        <f>+'SEMANA DEL 2 AL 7-3-26'!W20+'SEMANA DEL 7 AL 14'!W26+'SEMANA DEL 14 AL 21 '!W24+'SEMANA DEL 21AL 28-3'!W25+#REF!</f>
        <v>#REF!</v>
      </c>
      <c r="X19" s="203" t="e">
        <f>+'SEMANA DEL 2 AL 7-3-26'!X20+'SEMANA DEL 7 AL 14'!X26+'SEMANA DEL 14 AL 21 '!X24+'SEMANA DEL 21AL 28-3'!X25+#REF!</f>
        <v>#REF!</v>
      </c>
      <c r="Y19" s="203" t="e">
        <f>+'SEMANA DEL 2 AL 7-3-26'!Y20+'SEMANA DEL 7 AL 14'!Y26+'SEMANA DEL 14 AL 21 '!Y24+'SEMANA DEL 21AL 28-3'!Y25+#REF!</f>
        <v>#REF!</v>
      </c>
      <c r="Z19" s="203" t="e">
        <f>+'SEMANA DEL 2 AL 7-3-26'!Z20+'SEMANA DEL 7 AL 14'!Z26+'SEMANA DEL 14 AL 21 '!Z24+'SEMANA DEL 21AL 28-3'!Z25+#REF!</f>
        <v>#REF!</v>
      </c>
      <c r="AA19" s="203" t="e">
        <f>+'SEMANA DEL 2 AL 7-3-26'!AA20+'SEMANA DEL 7 AL 14'!AA26+'SEMANA DEL 14 AL 21 '!AA24+'SEMANA DEL 21AL 28-3'!AA25+#REF!</f>
        <v>#REF!</v>
      </c>
      <c r="AB19" s="203" t="e">
        <f>+'SEMANA DEL 2 AL 7-3-26'!AB20+'SEMANA DEL 7 AL 14'!AB26+'SEMANA DEL 14 AL 21 '!AB24+'SEMANA DEL 21AL 28-3'!AB25+#REF!</f>
        <v>#REF!</v>
      </c>
      <c r="AC19" s="203" t="e">
        <f>+'SEMANA DEL 2 AL 7-3-26'!AC20+'SEMANA DEL 7 AL 14'!AC26+'SEMANA DEL 14 AL 21 '!AC24+'SEMANA DEL 21AL 28-3'!AC25+#REF!</f>
        <v>#REF!</v>
      </c>
      <c r="AD19" s="203" t="e">
        <f>+'SEMANA DEL 2 AL 7-3-26'!AD20+'SEMANA DEL 7 AL 14'!AD26+'SEMANA DEL 14 AL 21 '!AD24+'SEMANA DEL 21AL 28-3'!AD25+#REF!</f>
        <v>#REF!</v>
      </c>
      <c r="AE19" s="203" t="e">
        <f>+'SEMANA DEL 2 AL 7-3-26'!AE20+'SEMANA DEL 7 AL 14'!AE26+'SEMANA DEL 14 AL 21 '!AE24+'SEMANA DEL 21AL 28-3'!AE25+#REF!</f>
        <v>#REF!</v>
      </c>
      <c r="AF19" s="203" t="e">
        <f>+'SEMANA DEL 2 AL 7-3-26'!AF20+'SEMANA DEL 7 AL 14'!AF26+'SEMANA DEL 14 AL 21 '!AF24+'SEMANA DEL 21AL 28-3'!AF25+#REF!</f>
        <v>#REF!</v>
      </c>
      <c r="AG19" s="203" t="e">
        <f>+'SEMANA DEL 2 AL 7-3-26'!AG20+'SEMANA DEL 7 AL 14'!AG26+'SEMANA DEL 14 AL 21 '!AG24+'SEMANA DEL 21AL 28-3'!AG25+#REF!</f>
        <v>#REF!</v>
      </c>
      <c r="AH19" s="203" t="e">
        <f>+'SEMANA DEL 2 AL 7-3-26'!AH20+'SEMANA DEL 7 AL 14'!AH26+'SEMANA DEL 14 AL 21 '!AH24+'SEMANA DEL 21AL 28-3'!AH25+#REF!</f>
        <v>#REF!</v>
      </c>
      <c r="AI19" s="203" t="e">
        <f>+'SEMANA DEL 2 AL 7-3-26'!AI20+'SEMANA DEL 7 AL 14'!AI26+'SEMANA DEL 14 AL 21 '!AI24+'SEMANA DEL 21AL 28-3'!AI25+#REF!</f>
        <v>#REF!</v>
      </c>
      <c r="AJ19" s="203" t="e">
        <f>+'SEMANA DEL 2 AL 7-3-26'!AJ20+'SEMANA DEL 7 AL 14'!AJ26+'SEMANA DEL 14 AL 21 '!AJ24+'SEMANA DEL 21AL 28-3'!AJ25+#REF!</f>
        <v>#REF!</v>
      </c>
      <c r="AK19" s="203" t="e">
        <f>+'SEMANA DEL 2 AL 7-3-26'!AK20+'SEMANA DEL 7 AL 14'!AK26+'SEMANA DEL 14 AL 21 '!AK24+'SEMANA DEL 21AL 28-3'!AK25+#REF!</f>
        <v>#REF!</v>
      </c>
      <c r="AL19" s="203" t="e">
        <f>+'SEMANA DEL 2 AL 7-3-26'!AL20+'SEMANA DEL 7 AL 14'!AL26+'SEMANA DEL 14 AL 21 '!AL24+'SEMANA DEL 21AL 28-3'!AL25+#REF!</f>
        <v>#REF!</v>
      </c>
      <c r="AM19" s="203" t="e">
        <f>+'SEMANA DEL 2 AL 7-3-26'!AM20+'SEMANA DEL 7 AL 14'!AM26+'SEMANA DEL 14 AL 21 '!AM24+'SEMANA DEL 21AL 28-3'!AM25+#REF!</f>
        <v>#REF!</v>
      </c>
      <c r="AN19" s="203" t="e">
        <f>+'SEMANA DEL 2 AL 7-3-26'!AN20+'SEMANA DEL 7 AL 14'!AN26+'SEMANA DEL 14 AL 21 '!AN24+'SEMANA DEL 21AL 28-3'!AN25+#REF!</f>
        <v>#REF!</v>
      </c>
      <c r="AO19" s="203" t="e">
        <f>+'SEMANA DEL 2 AL 7-3-26'!AO20+'SEMANA DEL 7 AL 14'!AO26+'SEMANA DEL 14 AL 21 '!AO24+'SEMANA DEL 21AL 28-3'!AO25+#REF!</f>
        <v>#REF!</v>
      </c>
      <c r="AP19" s="203" t="e">
        <f>+'SEMANA DEL 2 AL 7-3-26'!AP20+'SEMANA DEL 7 AL 14'!AP26+'SEMANA DEL 14 AL 21 '!AP24+'SEMANA DEL 21AL 28-3'!AP25+#REF!</f>
        <v>#REF!</v>
      </c>
      <c r="AQ19" s="203" t="e">
        <f>+'SEMANA DEL 2 AL 7-3-26'!AQ20+'SEMANA DEL 7 AL 14'!AQ26+'SEMANA DEL 14 AL 21 '!AQ24+'SEMANA DEL 21AL 28-3'!AQ25+#REF!</f>
        <v>#REF!</v>
      </c>
      <c r="AR19" s="203" t="e">
        <f>+'SEMANA DEL 2 AL 7-3-26'!AR20+'SEMANA DEL 7 AL 14'!AR26+'SEMANA DEL 14 AL 21 '!AR24+'SEMANA DEL 21AL 28-3'!AR25+#REF!</f>
        <v>#REF!</v>
      </c>
      <c r="AS19" s="203" t="e">
        <f>+'SEMANA DEL 2 AL 7-3-26'!AS20+'SEMANA DEL 7 AL 14'!AS26+'SEMANA DEL 14 AL 21 '!AS24+'SEMANA DEL 21AL 28-3'!AS25+#REF!</f>
        <v>#REF!</v>
      </c>
      <c r="AT19" s="203" t="e">
        <f>+'SEMANA DEL 2 AL 7-3-26'!AT20+'SEMANA DEL 7 AL 14'!AT26+'SEMANA DEL 14 AL 21 '!AT24+'SEMANA DEL 21AL 28-3'!AT25+#REF!</f>
        <v>#REF!</v>
      </c>
      <c r="AU19" s="203" t="e">
        <f>+'SEMANA DEL 2 AL 7-3-26'!AU20+'SEMANA DEL 7 AL 14'!AU26+'SEMANA DEL 14 AL 21 '!AU24+'SEMANA DEL 21AL 28-3'!AU25+#REF!</f>
        <v>#REF!</v>
      </c>
      <c r="AV19" s="203" t="e">
        <f>+'SEMANA DEL 2 AL 7-3-26'!AV20+'SEMANA DEL 7 AL 14'!AV26+'SEMANA DEL 14 AL 21 '!AV24+'SEMANA DEL 21AL 28-3'!AV25+#REF!</f>
        <v>#REF!</v>
      </c>
      <c r="AW19" s="203" t="e">
        <f>+'SEMANA DEL 2 AL 7-3-26'!AW20+'SEMANA DEL 7 AL 14'!AW26+'SEMANA DEL 14 AL 21 '!AW24+'SEMANA DEL 21AL 28-3'!AW25+#REF!</f>
        <v>#REF!</v>
      </c>
      <c r="AX19" s="203" t="e">
        <f t="shared" si="1"/>
        <v>#REF!</v>
      </c>
      <c r="AY19" s="203" t="e">
        <f t="shared" si="2"/>
        <v>#REF!</v>
      </c>
      <c r="AZ19" s="203" t="e">
        <f t="shared" si="3"/>
        <v>#REF!</v>
      </c>
      <c r="BA19" s="203" t="e">
        <f t="shared" si="4"/>
        <v>#REF!</v>
      </c>
      <c r="BB19" s="203" t="e">
        <f t="shared" si="5"/>
        <v>#REF!</v>
      </c>
      <c r="BC19" s="203" t="e">
        <f t="shared" si="6"/>
        <v>#REF!</v>
      </c>
      <c r="BD19" s="203" t="e">
        <f t="shared" si="7"/>
        <v>#REF!</v>
      </c>
      <c r="BE19" s="203" t="e">
        <f t="shared" si="8"/>
        <v>#REF!</v>
      </c>
      <c r="BF19" s="203" t="e">
        <f t="shared" si="9"/>
        <v>#REF!</v>
      </c>
      <c r="BG19" s="203" t="e">
        <f t="shared" si="10"/>
        <v>#REF!</v>
      </c>
      <c r="BH19" s="203" t="e">
        <f t="shared" si="11"/>
        <v>#REF!</v>
      </c>
      <c r="BI19" s="203" t="e">
        <f t="shared" si="12"/>
        <v>#REF!</v>
      </c>
      <c r="BJ19" s="203" t="e">
        <f t="shared" si="13"/>
        <v>#REF!</v>
      </c>
      <c r="BK19" s="203" t="e">
        <f t="shared" si="14"/>
        <v>#REF!</v>
      </c>
      <c r="BL19" s="203" t="e">
        <f t="shared" si="15"/>
        <v>#REF!</v>
      </c>
      <c r="BM19" s="203" t="e">
        <f t="shared" si="16"/>
        <v>#REF!</v>
      </c>
      <c r="BN19" s="203" t="e">
        <f>+'SEMANA DEL 2 AL 7-3-26'!BN20+'SEMANA DEL 7 AL 14'!BN26+'SEMANA DEL 14 AL 21 '!BN24+'SEMANA DEL 21AL 28-3'!BN25+#REF!</f>
        <v>#REF!</v>
      </c>
      <c r="BO19" s="203" t="e">
        <f>+'SEMANA DEL 2 AL 7-3-26'!BO20+'SEMANA DEL 7 AL 14'!BO26+'SEMANA DEL 14 AL 21 '!BO24+'SEMANA DEL 21AL 28-3'!BO25+#REF!</f>
        <v>#REF!</v>
      </c>
      <c r="BP19" s="203" t="e">
        <f>+'SEMANA DEL 2 AL 7-3-26'!BP20+'SEMANA DEL 7 AL 14'!BP26+'SEMANA DEL 14 AL 21 '!BP24+'SEMANA DEL 21AL 28-3'!BP25+#REF!</f>
        <v>#REF!</v>
      </c>
      <c r="BQ19" s="203" t="e">
        <f>+'SEMANA DEL 2 AL 7-3-26'!BQ20+'SEMANA DEL 7 AL 14'!BQ26+'SEMANA DEL 14 AL 21 '!BQ24+'SEMANA DEL 21AL 28-3'!BQ25+#REF!</f>
        <v>#REF!</v>
      </c>
      <c r="BR19" s="203" t="e">
        <f>+'SEMANA DEL 2 AL 7-3-26'!BR20+'SEMANA DEL 7 AL 14'!BR26+'SEMANA DEL 14 AL 21 '!BR24+'SEMANA DEL 21AL 28-3'!BR25+#REF!</f>
        <v>#REF!</v>
      </c>
      <c r="BS19" s="203" t="e">
        <f>+'SEMANA DEL 2 AL 7-3-26'!BS20+'SEMANA DEL 7 AL 14'!BS26+'SEMANA DEL 14 AL 21 '!BS24+'SEMANA DEL 21AL 28-3'!BS25+#REF!</f>
        <v>#REF!</v>
      </c>
      <c r="BT19" s="203" t="e">
        <f>+'SEMANA DEL 2 AL 7-3-26'!BT20+'SEMANA DEL 7 AL 14'!BT26+'SEMANA DEL 14 AL 21 '!BT24+'SEMANA DEL 21AL 28-3'!BT25+#REF!</f>
        <v>#REF!</v>
      </c>
      <c r="BU19" s="203" t="e">
        <f>+'SEMANA DEL 2 AL 7-3-26'!BU20+'SEMANA DEL 7 AL 14'!BU26+'SEMANA DEL 14 AL 21 '!BU24+'SEMANA DEL 21AL 28-3'!BU25+#REF!</f>
        <v>#REF!</v>
      </c>
      <c r="BV19" s="203" t="e">
        <f>+'SEMANA DEL 2 AL 7-3-26'!BV20+'SEMANA DEL 7 AL 14'!BV26+'SEMANA DEL 14 AL 21 '!BV24+'SEMANA DEL 21AL 28-3'!BV25+#REF!</f>
        <v>#REF!</v>
      </c>
      <c r="BW19" s="203" t="e">
        <f>+'SEMANA DEL 2 AL 7-3-26'!BW20+'SEMANA DEL 7 AL 14'!BW26+'SEMANA DEL 14 AL 21 '!BW24+'SEMANA DEL 21AL 28-3'!BW25+#REF!</f>
        <v>#REF!</v>
      </c>
      <c r="BX19" s="203" t="e">
        <f>+'SEMANA DEL 2 AL 7-3-26'!BX20+'SEMANA DEL 7 AL 14'!BX26+'SEMANA DEL 14 AL 21 '!BX24+'SEMANA DEL 21AL 28-3'!BX25+#REF!</f>
        <v>#REF!</v>
      </c>
      <c r="BY19" s="203" t="e">
        <f>+'SEMANA DEL 2 AL 7-3-26'!BY20+'SEMANA DEL 7 AL 14'!BY26+'SEMANA DEL 14 AL 21 '!BY24+'SEMANA DEL 21AL 28-3'!BY25+#REF!</f>
        <v>#REF!</v>
      </c>
      <c r="BZ19" s="203" t="e">
        <f>+'SEMANA DEL 2 AL 7-3-26'!BZ20+'SEMANA DEL 7 AL 14'!BZ26+'SEMANA DEL 14 AL 21 '!BZ24+'SEMANA DEL 21AL 28-3'!BZ25+#REF!</f>
        <v>#REF!</v>
      </c>
      <c r="CA19" s="203" t="e">
        <f>+'SEMANA DEL 2 AL 7-3-26'!CA20+'SEMANA DEL 7 AL 14'!CA26+'SEMANA DEL 14 AL 21 '!CA24+'SEMANA DEL 21AL 28-3'!CA25+#REF!</f>
        <v>#REF!</v>
      </c>
      <c r="CB19" s="203" t="e">
        <f>+'SEMANA DEL 2 AL 7-3-26'!CB20+'SEMANA DEL 7 AL 14'!CB26+'SEMANA DEL 14 AL 21 '!CB24+'SEMANA DEL 21AL 28-3'!CB25+#REF!</f>
        <v>#REF!</v>
      </c>
      <c r="CC19" s="203" t="e">
        <f>+'SEMANA DEL 2 AL 7-3-26'!CC20+'SEMANA DEL 7 AL 14'!CC26+'SEMANA DEL 14 AL 21 '!CC24+'SEMANA DEL 21AL 28-3'!CC25+#REF!</f>
        <v>#REF!</v>
      </c>
      <c r="CD19" s="203" t="e">
        <f>+'SEMANA DEL 2 AL 7-3-26'!CD20+'SEMANA DEL 7 AL 14'!CD26+'SEMANA DEL 14 AL 21 '!CD24+'SEMANA DEL 21AL 28-3'!CD25+#REF!</f>
        <v>#REF!</v>
      </c>
      <c r="CE19" s="203" t="e">
        <f>+'SEMANA DEL 2 AL 7-3-26'!CE20+'SEMANA DEL 7 AL 14'!CE26+'SEMANA DEL 14 AL 21 '!CE24+'SEMANA DEL 21AL 28-3'!CE25+#REF!</f>
        <v>#REF!</v>
      </c>
      <c r="CF19" s="203" t="e">
        <f>+'SEMANA DEL 2 AL 7-3-26'!CF20+'SEMANA DEL 7 AL 14'!CF26+'SEMANA DEL 14 AL 21 '!CF24+'SEMANA DEL 21AL 28-3'!CF25+#REF!</f>
        <v>#REF!</v>
      </c>
      <c r="CG19" s="203" t="e">
        <f>+'SEMANA DEL 2 AL 7-3-26'!CG20+'SEMANA DEL 7 AL 14'!CG26+'SEMANA DEL 14 AL 21 '!CG24+'SEMANA DEL 21AL 28-3'!CG25+#REF!</f>
        <v>#REF!</v>
      </c>
      <c r="CH19" s="203" t="e">
        <f>+'SEMANA DEL 2 AL 7-3-26'!CH20+'SEMANA DEL 7 AL 14'!CH26+'SEMANA DEL 14 AL 21 '!CH24+'SEMANA DEL 21AL 28-3'!CH25+#REF!</f>
        <v>#REF!</v>
      </c>
      <c r="CI19" s="203" t="e">
        <f>+'SEMANA DEL 2 AL 7-3-26'!CI20+'SEMANA DEL 7 AL 14'!CI26+'SEMANA DEL 14 AL 21 '!CI24+'SEMANA DEL 21AL 28-3'!CI25+#REF!</f>
        <v>#REF!</v>
      </c>
    </row>
    <row r="20" spans="1:93" x14ac:dyDescent="0.2">
      <c r="A20" s="34" t="str">
        <f>+'SEMANA DEL 2 AL 7-3-26'!A20</f>
        <v>LUIS ROJAS</v>
      </c>
      <c r="B20" s="203">
        <f>+'SEMANA DEL 2 AL 7-3-26'!B20</f>
        <v>0</v>
      </c>
      <c r="C20" s="203">
        <f>+'SEMANA DEL 2 AL 7-3-26'!C20</f>
        <v>0</v>
      </c>
      <c r="D20" s="203">
        <f>+'SEMANA DEL 2 AL 7-3-26'!D20</f>
        <v>0</v>
      </c>
      <c r="E20" s="203">
        <f>+'SEMANA DEL 2 AL 7-3-26'!E20</f>
        <v>0</v>
      </c>
      <c r="F20" s="203">
        <f>+'SEMANA DEL 2 AL 7-3-26'!F20</f>
        <v>0</v>
      </c>
      <c r="G20" s="203">
        <f>+'SEMANA DEL 2 AL 7-3-26'!G20</f>
        <v>0</v>
      </c>
      <c r="H20" s="203">
        <f>+'SEMANA DEL 2 AL 7-3-26'!H20</f>
        <v>0</v>
      </c>
      <c r="I20" s="203">
        <f>+'SEMANA DEL 2 AL 7-3-26'!I20</f>
        <v>0</v>
      </c>
      <c r="J20" s="203">
        <f>+'SEMANA DEL 2 AL 7-3-26'!J20</f>
        <v>0</v>
      </c>
      <c r="K20" s="203">
        <f>+'SEMANA DEL 2 AL 7-3-26'!K20</f>
        <v>0</v>
      </c>
      <c r="L20" s="203">
        <f>+'SEMANA DEL 2 AL 7-3-26'!L20</f>
        <v>0</v>
      </c>
      <c r="M20" s="203">
        <f>+'SEMANA DEL 2 AL 7-3-26'!M20</f>
        <v>0</v>
      </c>
      <c r="N20" s="203">
        <f>+'SEMANA DEL 2 AL 7-3-26'!N20</f>
        <v>0</v>
      </c>
      <c r="O20" s="203">
        <f>+'SEMANA DEL 2 AL 7-3-26'!O20</f>
        <v>0</v>
      </c>
      <c r="P20" s="203">
        <f>+'SEMANA DEL 2 AL 7-3-26'!P20</f>
        <v>0</v>
      </c>
      <c r="Q20" s="203">
        <f>+'SEMANA DEL 2 AL 7-3-26'!Q20</f>
        <v>0</v>
      </c>
      <c r="R20" s="203" t="e">
        <f>+'SEMANA DEL 2 AL 7-3-26'!R21+'SEMANA DEL 7 AL 14'!#REF!+'SEMANA DEL 14 AL 21 '!R25+'SEMANA DEL 21AL 28-3'!R26+#REF!</f>
        <v>#REF!</v>
      </c>
      <c r="S20" s="203" t="e">
        <f>+'SEMANA DEL 2 AL 7-3-26'!S21+'SEMANA DEL 7 AL 14'!#REF!+'SEMANA DEL 14 AL 21 '!S25+'SEMANA DEL 21AL 28-3'!S26+#REF!</f>
        <v>#REF!</v>
      </c>
      <c r="T20" s="203" t="e">
        <f>+'SEMANA DEL 2 AL 7-3-26'!T21+'SEMANA DEL 7 AL 14'!#REF!+'SEMANA DEL 14 AL 21 '!T25+'SEMANA DEL 21AL 28-3'!T26+#REF!</f>
        <v>#REF!</v>
      </c>
      <c r="U20" s="203" t="e">
        <f>+'SEMANA DEL 2 AL 7-3-26'!U21+'SEMANA DEL 7 AL 14'!#REF!+'SEMANA DEL 14 AL 21 '!U25+'SEMANA DEL 21AL 28-3'!U26+#REF!</f>
        <v>#REF!</v>
      </c>
      <c r="V20" s="203" t="e">
        <f>+'SEMANA DEL 2 AL 7-3-26'!V21+'SEMANA DEL 7 AL 14'!#REF!+'SEMANA DEL 14 AL 21 '!V25+'SEMANA DEL 21AL 28-3'!V26+#REF!</f>
        <v>#REF!</v>
      </c>
      <c r="W20" s="203" t="e">
        <f>+'SEMANA DEL 2 AL 7-3-26'!W21+'SEMANA DEL 7 AL 14'!#REF!+'SEMANA DEL 14 AL 21 '!W25+'SEMANA DEL 21AL 28-3'!W26+#REF!</f>
        <v>#REF!</v>
      </c>
      <c r="X20" s="203" t="e">
        <f>+'SEMANA DEL 2 AL 7-3-26'!X21+'SEMANA DEL 7 AL 14'!#REF!+'SEMANA DEL 14 AL 21 '!X25+'SEMANA DEL 21AL 28-3'!X26+#REF!</f>
        <v>#REF!</v>
      </c>
      <c r="Y20" s="203" t="e">
        <f>+'SEMANA DEL 2 AL 7-3-26'!Y21+'SEMANA DEL 7 AL 14'!#REF!+'SEMANA DEL 14 AL 21 '!Y25+'SEMANA DEL 21AL 28-3'!Y26+#REF!</f>
        <v>#REF!</v>
      </c>
      <c r="Z20" s="203" t="e">
        <f>+'SEMANA DEL 2 AL 7-3-26'!Z21+'SEMANA DEL 7 AL 14'!#REF!+'SEMANA DEL 14 AL 21 '!Z25+'SEMANA DEL 21AL 28-3'!Z26+#REF!</f>
        <v>#REF!</v>
      </c>
      <c r="AA20" s="203" t="e">
        <f>+'SEMANA DEL 2 AL 7-3-26'!AA21+'SEMANA DEL 7 AL 14'!#REF!+'SEMANA DEL 14 AL 21 '!AA25+'SEMANA DEL 21AL 28-3'!AA26+#REF!</f>
        <v>#REF!</v>
      </c>
      <c r="AB20" s="203" t="e">
        <f>+'SEMANA DEL 2 AL 7-3-26'!AB21+'SEMANA DEL 7 AL 14'!#REF!+'SEMANA DEL 14 AL 21 '!AB25+'SEMANA DEL 21AL 28-3'!AB26+#REF!</f>
        <v>#REF!</v>
      </c>
      <c r="AC20" s="203" t="e">
        <f>+'SEMANA DEL 2 AL 7-3-26'!AC21+'SEMANA DEL 7 AL 14'!#REF!+'SEMANA DEL 14 AL 21 '!AC25+'SEMANA DEL 21AL 28-3'!AC26+#REF!</f>
        <v>#REF!</v>
      </c>
      <c r="AD20" s="203" t="e">
        <f>+'SEMANA DEL 2 AL 7-3-26'!AD21+'SEMANA DEL 7 AL 14'!#REF!+'SEMANA DEL 14 AL 21 '!AD25+'SEMANA DEL 21AL 28-3'!AD26+#REF!</f>
        <v>#REF!</v>
      </c>
      <c r="AE20" s="203" t="e">
        <f>+'SEMANA DEL 2 AL 7-3-26'!AE21+'SEMANA DEL 7 AL 14'!#REF!+'SEMANA DEL 14 AL 21 '!AE25+'SEMANA DEL 21AL 28-3'!AE26+#REF!</f>
        <v>#REF!</v>
      </c>
      <c r="AF20" s="203" t="e">
        <f>+'SEMANA DEL 2 AL 7-3-26'!AF21+'SEMANA DEL 7 AL 14'!#REF!+'SEMANA DEL 14 AL 21 '!AF25+'SEMANA DEL 21AL 28-3'!AF26+#REF!</f>
        <v>#REF!</v>
      </c>
      <c r="AG20" s="203" t="e">
        <f>+'SEMANA DEL 2 AL 7-3-26'!AG21+'SEMANA DEL 7 AL 14'!#REF!+'SEMANA DEL 14 AL 21 '!AG25+'SEMANA DEL 21AL 28-3'!AG26+#REF!</f>
        <v>#REF!</v>
      </c>
      <c r="AH20" s="203" t="e">
        <f>+'SEMANA DEL 2 AL 7-3-26'!AH21+'SEMANA DEL 7 AL 14'!#REF!+'SEMANA DEL 14 AL 21 '!AH25+'SEMANA DEL 21AL 28-3'!AH26+#REF!</f>
        <v>#REF!</v>
      </c>
      <c r="AI20" s="203" t="e">
        <f>+'SEMANA DEL 2 AL 7-3-26'!AI21+'SEMANA DEL 7 AL 14'!#REF!+'SEMANA DEL 14 AL 21 '!AI25+'SEMANA DEL 21AL 28-3'!AI26+#REF!</f>
        <v>#REF!</v>
      </c>
      <c r="AJ20" s="203" t="e">
        <f>+'SEMANA DEL 2 AL 7-3-26'!AJ21+'SEMANA DEL 7 AL 14'!#REF!+'SEMANA DEL 14 AL 21 '!AJ25+'SEMANA DEL 21AL 28-3'!AJ26+#REF!</f>
        <v>#REF!</v>
      </c>
      <c r="AK20" s="203" t="e">
        <f>+'SEMANA DEL 2 AL 7-3-26'!AK21+'SEMANA DEL 7 AL 14'!#REF!+'SEMANA DEL 14 AL 21 '!AK25+'SEMANA DEL 21AL 28-3'!AK26+#REF!</f>
        <v>#REF!</v>
      </c>
      <c r="AL20" s="203" t="e">
        <f>+'SEMANA DEL 2 AL 7-3-26'!AL21+'SEMANA DEL 7 AL 14'!#REF!+'SEMANA DEL 14 AL 21 '!AL25+'SEMANA DEL 21AL 28-3'!AL26+#REF!</f>
        <v>#REF!</v>
      </c>
      <c r="AM20" s="203" t="e">
        <f>+'SEMANA DEL 2 AL 7-3-26'!AM21+'SEMANA DEL 7 AL 14'!#REF!+'SEMANA DEL 14 AL 21 '!AM25+'SEMANA DEL 21AL 28-3'!AM26+#REF!</f>
        <v>#REF!</v>
      </c>
      <c r="AN20" s="203" t="e">
        <f>+'SEMANA DEL 2 AL 7-3-26'!AN21+'SEMANA DEL 7 AL 14'!#REF!+'SEMANA DEL 14 AL 21 '!AN25+'SEMANA DEL 21AL 28-3'!AN26+#REF!</f>
        <v>#REF!</v>
      </c>
      <c r="AO20" s="203" t="e">
        <f>+'SEMANA DEL 2 AL 7-3-26'!AO21+'SEMANA DEL 7 AL 14'!#REF!+'SEMANA DEL 14 AL 21 '!AO25+'SEMANA DEL 21AL 28-3'!AO26+#REF!</f>
        <v>#REF!</v>
      </c>
      <c r="AP20" s="203" t="e">
        <f>+'SEMANA DEL 2 AL 7-3-26'!AP21+'SEMANA DEL 7 AL 14'!#REF!+'SEMANA DEL 14 AL 21 '!AP25+'SEMANA DEL 21AL 28-3'!AP26+#REF!</f>
        <v>#REF!</v>
      </c>
      <c r="AQ20" s="203" t="e">
        <f>+'SEMANA DEL 2 AL 7-3-26'!AQ21+'SEMANA DEL 7 AL 14'!#REF!+'SEMANA DEL 14 AL 21 '!AQ25+'SEMANA DEL 21AL 28-3'!AQ26+#REF!</f>
        <v>#REF!</v>
      </c>
      <c r="AR20" s="203" t="e">
        <f>+'SEMANA DEL 2 AL 7-3-26'!AR21+'SEMANA DEL 7 AL 14'!#REF!+'SEMANA DEL 14 AL 21 '!AR25+'SEMANA DEL 21AL 28-3'!AR26+#REF!</f>
        <v>#REF!</v>
      </c>
      <c r="AS20" s="203" t="e">
        <f>+'SEMANA DEL 2 AL 7-3-26'!AS21+'SEMANA DEL 7 AL 14'!#REF!+'SEMANA DEL 14 AL 21 '!AS25+'SEMANA DEL 21AL 28-3'!AS26+#REF!</f>
        <v>#REF!</v>
      </c>
      <c r="AT20" s="203" t="e">
        <f>+'SEMANA DEL 2 AL 7-3-26'!AT21+'SEMANA DEL 7 AL 14'!#REF!+'SEMANA DEL 14 AL 21 '!AT25+'SEMANA DEL 21AL 28-3'!AT26+#REF!</f>
        <v>#REF!</v>
      </c>
      <c r="AU20" s="203" t="e">
        <f>+'SEMANA DEL 2 AL 7-3-26'!AU21+'SEMANA DEL 7 AL 14'!#REF!+'SEMANA DEL 14 AL 21 '!AU25+'SEMANA DEL 21AL 28-3'!AU26+#REF!</f>
        <v>#REF!</v>
      </c>
      <c r="AV20" s="203" t="e">
        <f>+'SEMANA DEL 2 AL 7-3-26'!AV21+'SEMANA DEL 7 AL 14'!#REF!+'SEMANA DEL 14 AL 21 '!AV25+'SEMANA DEL 21AL 28-3'!AV26+#REF!</f>
        <v>#REF!</v>
      </c>
      <c r="AW20" s="203" t="e">
        <f>+'SEMANA DEL 2 AL 7-3-26'!AW21+'SEMANA DEL 7 AL 14'!#REF!+'SEMANA DEL 14 AL 21 '!AW25+'SEMANA DEL 21AL 28-3'!AW26+#REF!</f>
        <v>#REF!</v>
      </c>
      <c r="AX20" s="203" t="e">
        <f t="shared" si="1"/>
        <v>#REF!</v>
      </c>
      <c r="AY20" s="203" t="e">
        <f t="shared" si="2"/>
        <v>#REF!</v>
      </c>
      <c r="AZ20" s="203" t="e">
        <f t="shared" si="3"/>
        <v>#REF!</v>
      </c>
      <c r="BA20" s="203" t="e">
        <f t="shared" si="4"/>
        <v>#REF!</v>
      </c>
      <c r="BB20" s="203" t="e">
        <f t="shared" si="5"/>
        <v>#REF!</v>
      </c>
      <c r="BC20" s="203" t="e">
        <f t="shared" si="6"/>
        <v>#REF!</v>
      </c>
      <c r="BD20" s="203" t="e">
        <f t="shared" si="7"/>
        <v>#REF!</v>
      </c>
      <c r="BE20" s="203" t="e">
        <f t="shared" si="8"/>
        <v>#REF!</v>
      </c>
      <c r="BF20" s="203" t="e">
        <f t="shared" si="9"/>
        <v>#REF!</v>
      </c>
      <c r="BG20" s="203" t="e">
        <f t="shared" si="10"/>
        <v>#REF!</v>
      </c>
      <c r="BH20" s="203" t="e">
        <f t="shared" si="11"/>
        <v>#REF!</v>
      </c>
      <c r="BI20" s="203" t="e">
        <f t="shared" si="12"/>
        <v>#REF!</v>
      </c>
      <c r="BJ20" s="203" t="e">
        <f t="shared" si="13"/>
        <v>#REF!</v>
      </c>
      <c r="BK20" s="203" t="e">
        <f t="shared" si="14"/>
        <v>#REF!</v>
      </c>
      <c r="BL20" s="203" t="e">
        <f t="shared" si="15"/>
        <v>#REF!</v>
      </c>
      <c r="BM20" s="203" t="e">
        <f t="shared" si="16"/>
        <v>#REF!</v>
      </c>
      <c r="BN20" s="203" t="e">
        <f>+'SEMANA DEL 2 AL 7-3-26'!BN21+'SEMANA DEL 7 AL 14'!#REF!+'SEMANA DEL 14 AL 21 '!BN25+'SEMANA DEL 21AL 28-3'!BN26+#REF!</f>
        <v>#REF!</v>
      </c>
      <c r="BO20" s="203" t="e">
        <f>+'SEMANA DEL 2 AL 7-3-26'!BO21+'SEMANA DEL 7 AL 14'!#REF!+'SEMANA DEL 14 AL 21 '!BO25+'SEMANA DEL 21AL 28-3'!BO26+#REF!</f>
        <v>#REF!</v>
      </c>
      <c r="BP20" s="203" t="e">
        <f>+'SEMANA DEL 2 AL 7-3-26'!BP21+'SEMANA DEL 7 AL 14'!#REF!+'SEMANA DEL 14 AL 21 '!BP25+'SEMANA DEL 21AL 28-3'!BP26+#REF!</f>
        <v>#REF!</v>
      </c>
      <c r="BQ20" s="203" t="e">
        <f>+'SEMANA DEL 2 AL 7-3-26'!BQ21+'SEMANA DEL 7 AL 14'!#REF!+'SEMANA DEL 14 AL 21 '!BQ25+'SEMANA DEL 21AL 28-3'!BQ26+#REF!</f>
        <v>#REF!</v>
      </c>
      <c r="BR20" s="203" t="e">
        <f>+'SEMANA DEL 2 AL 7-3-26'!BR21+'SEMANA DEL 7 AL 14'!#REF!+'SEMANA DEL 14 AL 21 '!BR25+'SEMANA DEL 21AL 28-3'!BR26+#REF!</f>
        <v>#REF!</v>
      </c>
      <c r="BS20" s="203" t="e">
        <f>+'SEMANA DEL 2 AL 7-3-26'!BS21+'SEMANA DEL 7 AL 14'!#REF!+'SEMANA DEL 14 AL 21 '!BS25+'SEMANA DEL 21AL 28-3'!BS26+#REF!</f>
        <v>#REF!</v>
      </c>
      <c r="BT20" s="203" t="e">
        <f>+'SEMANA DEL 2 AL 7-3-26'!BT21+'SEMANA DEL 7 AL 14'!#REF!+'SEMANA DEL 14 AL 21 '!BT25+'SEMANA DEL 21AL 28-3'!BT26+#REF!</f>
        <v>#REF!</v>
      </c>
      <c r="BU20" s="203" t="e">
        <f>+'SEMANA DEL 2 AL 7-3-26'!BU21+'SEMANA DEL 7 AL 14'!#REF!+'SEMANA DEL 14 AL 21 '!BU25+'SEMANA DEL 21AL 28-3'!BU26+#REF!</f>
        <v>#REF!</v>
      </c>
      <c r="BV20" s="203" t="e">
        <f>+'SEMANA DEL 2 AL 7-3-26'!BV21+'SEMANA DEL 7 AL 14'!#REF!+'SEMANA DEL 14 AL 21 '!BV25+'SEMANA DEL 21AL 28-3'!BV26+#REF!</f>
        <v>#REF!</v>
      </c>
      <c r="BW20" s="203" t="e">
        <f>+'SEMANA DEL 2 AL 7-3-26'!BW21+'SEMANA DEL 7 AL 14'!#REF!+'SEMANA DEL 14 AL 21 '!BW25+'SEMANA DEL 21AL 28-3'!BW26+#REF!</f>
        <v>#REF!</v>
      </c>
      <c r="BX20" s="203" t="e">
        <f>+'SEMANA DEL 2 AL 7-3-26'!BX21+'SEMANA DEL 7 AL 14'!#REF!+'SEMANA DEL 14 AL 21 '!BX25+'SEMANA DEL 21AL 28-3'!BX26+#REF!</f>
        <v>#REF!</v>
      </c>
      <c r="BY20" s="203" t="e">
        <f>+'SEMANA DEL 2 AL 7-3-26'!BY21+'SEMANA DEL 7 AL 14'!#REF!+'SEMANA DEL 14 AL 21 '!BY25+'SEMANA DEL 21AL 28-3'!BY26+#REF!</f>
        <v>#REF!</v>
      </c>
      <c r="BZ20" s="203" t="e">
        <f>+'SEMANA DEL 2 AL 7-3-26'!BZ21+'SEMANA DEL 7 AL 14'!#REF!+'SEMANA DEL 14 AL 21 '!BZ25+'SEMANA DEL 21AL 28-3'!BZ26+#REF!</f>
        <v>#REF!</v>
      </c>
      <c r="CA20" s="203" t="e">
        <f>+'SEMANA DEL 2 AL 7-3-26'!CA21+'SEMANA DEL 7 AL 14'!#REF!+'SEMANA DEL 14 AL 21 '!CA25+'SEMANA DEL 21AL 28-3'!CA26+#REF!</f>
        <v>#REF!</v>
      </c>
      <c r="CB20" s="203" t="e">
        <f>+'SEMANA DEL 2 AL 7-3-26'!CB21+'SEMANA DEL 7 AL 14'!#REF!+'SEMANA DEL 14 AL 21 '!CB25+'SEMANA DEL 21AL 28-3'!CB26+#REF!</f>
        <v>#REF!</v>
      </c>
      <c r="CC20" s="203" t="e">
        <f>+'SEMANA DEL 2 AL 7-3-26'!CC21+'SEMANA DEL 7 AL 14'!#REF!+'SEMANA DEL 14 AL 21 '!CC25+'SEMANA DEL 21AL 28-3'!CC26+#REF!</f>
        <v>#REF!</v>
      </c>
      <c r="CD20" s="203" t="e">
        <f>+'SEMANA DEL 2 AL 7-3-26'!CD21+'SEMANA DEL 7 AL 14'!#REF!+'SEMANA DEL 14 AL 21 '!CD25+'SEMANA DEL 21AL 28-3'!CD26+#REF!</f>
        <v>#REF!</v>
      </c>
      <c r="CE20" s="203" t="e">
        <f>+'SEMANA DEL 2 AL 7-3-26'!CE21+'SEMANA DEL 7 AL 14'!#REF!+'SEMANA DEL 14 AL 21 '!CE25+'SEMANA DEL 21AL 28-3'!CE26+#REF!</f>
        <v>#REF!</v>
      </c>
      <c r="CF20" s="203" t="e">
        <f>+'SEMANA DEL 2 AL 7-3-26'!CF21+'SEMANA DEL 7 AL 14'!#REF!+'SEMANA DEL 14 AL 21 '!CF25+'SEMANA DEL 21AL 28-3'!CF26+#REF!</f>
        <v>#REF!</v>
      </c>
      <c r="CG20" s="203" t="e">
        <f>+'SEMANA DEL 2 AL 7-3-26'!CG21+'SEMANA DEL 7 AL 14'!#REF!+'SEMANA DEL 14 AL 21 '!CG25+'SEMANA DEL 21AL 28-3'!CG26+#REF!</f>
        <v>#REF!</v>
      </c>
      <c r="CH20" s="203" t="e">
        <f>+'SEMANA DEL 2 AL 7-3-26'!CH21+'SEMANA DEL 7 AL 14'!#REF!+'SEMANA DEL 14 AL 21 '!CH25+'SEMANA DEL 21AL 28-3'!CH26+#REF!</f>
        <v>#REF!</v>
      </c>
      <c r="CI20" s="203" t="e">
        <f>+'SEMANA DEL 2 AL 7-3-26'!CI21+'SEMANA DEL 7 AL 14'!#REF!+'SEMANA DEL 14 AL 21 '!CI25+'SEMANA DEL 21AL 28-3'!CI26+#REF!</f>
        <v>#REF!</v>
      </c>
    </row>
    <row r="21" spans="1:93" x14ac:dyDescent="0.2">
      <c r="A21" s="34" t="str">
        <f>+'SEMANA DEL 2 AL 7-3-26'!A21</f>
        <v xml:space="preserve">LUIS VALDERRAMA </v>
      </c>
      <c r="B21" s="203">
        <f>+'SEMANA DEL 2 AL 7-3-26'!B21</f>
        <v>0</v>
      </c>
      <c r="C21" s="203">
        <f>+'SEMANA DEL 2 AL 7-3-26'!C21</f>
        <v>0</v>
      </c>
      <c r="D21" s="203">
        <f>+'SEMANA DEL 2 AL 7-3-26'!D21</f>
        <v>0</v>
      </c>
      <c r="E21" s="203">
        <f>+'SEMANA DEL 2 AL 7-3-26'!E21</f>
        <v>0</v>
      </c>
      <c r="F21" s="203">
        <f>+'SEMANA DEL 2 AL 7-3-26'!F21</f>
        <v>0</v>
      </c>
      <c r="G21" s="203">
        <f>+'SEMANA DEL 2 AL 7-3-26'!G21</f>
        <v>0</v>
      </c>
      <c r="H21" s="203">
        <f>+'SEMANA DEL 2 AL 7-3-26'!H21</f>
        <v>0</v>
      </c>
      <c r="I21" s="203">
        <f>+'SEMANA DEL 2 AL 7-3-26'!I21</f>
        <v>0</v>
      </c>
      <c r="J21" s="203">
        <f>+'SEMANA DEL 2 AL 7-3-26'!J21</f>
        <v>0</v>
      </c>
      <c r="K21" s="203">
        <f>+'SEMANA DEL 2 AL 7-3-26'!K21</f>
        <v>0</v>
      </c>
      <c r="L21" s="203">
        <f>+'SEMANA DEL 2 AL 7-3-26'!L21</f>
        <v>0</v>
      </c>
      <c r="M21" s="203">
        <f>+'SEMANA DEL 2 AL 7-3-26'!M21</f>
        <v>0</v>
      </c>
      <c r="N21" s="203">
        <f>+'SEMANA DEL 2 AL 7-3-26'!N21</f>
        <v>0</v>
      </c>
      <c r="O21" s="203">
        <f>+'SEMANA DEL 2 AL 7-3-26'!O21</f>
        <v>0</v>
      </c>
      <c r="P21" s="203">
        <f>+'SEMANA DEL 2 AL 7-3-26'!P21</f>
        <v>0</v>
      </c>
      <c r="Q21" s="203">
        <f>+'SEMANA DEL 2 AL 7-3-26'!Q21</f>
        <v>0</v>
      </c>
      <c r="R21" s="203" t="e">
        <f>+'SEMANA DEL 2 AL 7-3-26'!R22+'SEMANA DEL 7 AL 14'!R27+'SEMANA DEL 14 AL 21 '!#REF!+'SEMANA DEL 21AL 28-3'!#REF!+#REF!</f>
        <v>#REF!</v>
      </c>
      <c r="S21" s="203" t="e">
        <f>+'SEMANA DEL 2 AL 7-3-26'!S22+'SEMANA DEL 7 AL 14'!S27+'SEMANA DEL 14 AL 21 '!#REF!+'SEMANA DEL 21AL 28-3'!#REF!+#REF!</f>
        <v>#REF!</v>
      </c>
      <c r="T21" s="203" t="e">
        <f>+'SEMANA DEL 2 AL 7-3-26'!T22+'SEMANA DEL 7 AL 14'!T27+'SEMANA DEL 14 AL 21 '!#REF!+'SEMANA DEL 21AL 28-3'!#REF!+#REF!</f>
        <v>#REF!</v>
      </c>
      <c r="U21" s="203" t="e">
        <f>+'SEMANA DEL 2 AL 7-3-26'!U22+'SEMANA DEL 7 AL 14'!U27+'SEMANA DEL 14 AL 21 '!#REF!+'SEMANA DEL 21AL 28-3'!#REF!+#REF!</f>
        <v>#REF!</v>
      </c>
      <c r="V21" s="203" t="e">
        <f>+'SEMANA DEL 2 AL 7-3-26'!V22+'SEMANA DEL 7 AL 14'!V27+'SEMANA DEL 14 AL 21 '!#REF!+'SEMANA DEL 21AL 28-3'!#REF!+#REF!</f>
        <v>#REF!</v>
      </c>
      <c r="W21" s="203" t="e">
        <f>+'SEMANA DEL 2 AL 7-3-26'!W22+'SEMANA DEL 7 AL 14'!W27+'SEMANA DEL 14 AL 21 '!#REF!+'SEMANA DEL 21AL 28-3'!#REF!+#REF!</f>
        <v>#REF!</v>
      </c>
      <c r="X21" s="203" t="e">
        <f>+'SEMANA DEL 2 AL 7-3-26'!X22+'SEMANA DEL 7 AL 14'!X27+'SEMANA DEL 14 AL 21 '!#REF!+'SEMANA DEL 21AL 28-3'!#REF!+#REF!</f>
        <v>#REF!</v>
      </c>
      <c r="Y21" s="203" t="e">
        <f>+'SEMANA DEL 2 AL 7-3-26'!Y22+'SEMANA DEL 7 AL 14'!Y27+'SEMANA DEL 14 AL 21 '!#REF!+'SEMANA DEL 21AL 28-3'!#REF!+#REF!</f>
        <v>#REF!</v>
      </c>
      <c r="Z21" s="203" t="e">
        <f>+'SEMANA DEL 2 AL 7-3-26'!Z22+'SEMANA DEL 7 AL 14'!Z27+'SEMANA DEL 14 AL 21 '!#REF!+'SEMANA DEL 21AL 28-3'!#REF!+#REF!</f>
        <v>#REF!</v>
      </c>
      <c r="AA21" s="203" t="e">
        <f>+'SEMANA DEL 2 AL 7-3-26'!AA22+'SEMANA DEL 7 AL 14'!AA27+'SEMANA DEL 14 AL 21 '!#REF!+'SEMANA DEL 21AL 28-3'!#REF!+#REF!</f>
        <v>#REF!</v>
      </c>
      <c r="AB21" s="203" t="e">
        <f>+'SEMANA DEL 2 AL 7-3-26'!AB22+'SEMANA DEL 7 AL 14'!AB27+'SEMANA DEL 14 AL 21 '!#REF!+'SEMANA DEL 21AL 28-3'!#REF!+#REF!</f>
        <v>#REF!</v>
      </c>
      <c r="AC21" s="203" t="e">
        <f>+'SEMANA DEL 2 AL 7-3-26'!AC22+'SEMANA DEL 7 AL 14'!AC27+'SEMANA DEL 14 AL 21 '!#REF!+'SEMANA DEL 21AL 28-3'!#REF!+#REF!</f>
        <v>#REF!</v>
      </c>
      <c r="AD21" s="203" t="e">
        <f>+'SEMANA DEL 2 AL 7-3-26'!AD22+'SEMANA DEL 7 AL 14'!AD27+'SEMANA DEL 14 AL 21 '!#REF!+'SEMANA DEL 21AL 28-3'!#REF!+#REF!</f>
        <v>#REF!</v>
      </c>
      <c r="AE21" s="203" t="e">
        <f>+'SEMANA DEL 2 AL 7-3-26'!AE22+'SEMANA DEL 7 AL 14'!AE27+'SEMANA DEL 14 AL 21 '!#REF!+'SEMANA DEL 21AL 28-3'!#REF!+#REF!</f>
        <v>#REF!</v>
      </c>
      <c r="AF21" s="203" t="e">
        <f>+'SEMANA DEL 2 AL 7-3-26'!AF22+'SEMANA DEL 7 AL 14'!AF27+'SEMANA DEL 14 AL 21 '!#REF!+'SEMANA DEL 21AL 28-3'!#REF!+#REF!</f>
        <v>#REF!</v>
      </c>
      <c r="AG21" s="203" t="e">
        <f>+'SEMANA DEL 2 AL 7-3-26'!AG22+'SEMANA DEL 7 AL 14'!AG27+'SEMANA DEL 14 AL 21 '!#REF!+'SEMANA DEL 21AL 28-3'!#REF!+#REF!</f>
        <v>#REF!</v>
      </c>
      <c r="AH21" s="203" t="e">
        <f>+'SEMANA DEL 2 AL 7-3-26'!AH22+'SEMANA DEL 7 AL 14'!AH27+'SEMANA DEL 14 AL 21 '!#REF!+'SEMANA DEL 21AL 28-3'!#REF!+#REF!</f>
        <v>#REF!</v>
      </c>
      <c r="AI21" s="203" t="e">
        <f>+'SEMANA DEL 2 AL 7-3-26'!AI22+'SEMANA DEL 7 AL 14'!AI27+'SEMANA DEL 14 AL 21 '!#REF!+'SEMANA DEL 21AL 28-3'!#REF!+#REF!</f>
        <v>#REF!</v>
      </c>
      <c r="AJ21" s="203" t="e">
        <f>+'SEMANA DEL 2 AL 7-3-26'!AJ22+'SEMANA DEL 7 AL 14'!AJ27+'SEMANA DEL 14 AL 21 '!#REF!+'SEMANA DEL 21AL 28-3'!#REF!+#REF!</f>
        <v>#REF!</v>
      </c>
      <c r="AK21" s="203" t="e">
        <f>+'SEMANA DEL 2 AL 7-3-26'!AK22+'SEMANA DEL 7 AL 14'!AK27+'SEMANA DEL 14 AL 21 '!#REF!+'SEMANA DEL 21AL 28-3'!#REF!+#REF!</f>
        <v>#REF!</v>
      </c>
      <c r="AL21" s="203" t="e">
        <f>+'SEMANA DEL 2 AL 7-3-26'!AL22+'SEMANA DEL 7 AL 14'!AL27+'SEMANA DEL 14 AL 21 '!#REF!+'SEMANA DEL 21AL 28-3'!#REF!+#REF!</f>
        <v>#REF!</v>
      </c>
      <c r="AM21" s="203" t="e">
        <f>+'SEMANA DEL 2 AL 7-3-26'!AM22+'SEMANA DEL 7 AL 14'!AM27+'SEMANA DEL 14 AL 21 '!#REF!+'SEMANA DEL 21AL 28-3'!#REF!+#REF!</f>
        <v>#REF!</v>
      </c>
      <c r="AN21" s="203" t="e">
        <f>+'SEMANA DEL 2 AL 7-3-26'!AN22+'SEMANA DEL 7 AL 14'!AN27+'SEMANA DEL 14 AL 21 '!#REF!+'SEMANA DEL 21AL 28-3'!#REF!+#REF!</f>
        <v>#REF!</v>
      </c>
      <c r="AO21" s="203" t="e">
        <f>+'SEMANA DEL 2 AL 7-3-26'!AO22+'SEMANA DEL 7 AL 14'!AO27+'SEMANA DEL 14 AL 21 '!#REF!+'SEMANA DEL 21AL 28-3'!#REF!+#REF!</f>
        <v>#REF!</v>
      </c>
      <c r="AP21" s="203" t="e">
        <f>+'SEMANA DEL 2 AL 7-3-26'!AP22+'SEMANA DEL 7 AL 14'!AP27+'SEMANA DEL 14 AL 21 '!#REF!+'SEMANA DEL 21AL 28-3'!#REF!+#REF!</f>
        <v>#REF!</v>
      </c>
      <c r="AQ21" s="203" t="e">
        <f>+'SEMANA DEL 2 AL 7-3-26'!AQ22+'SEMANA DEL 7 AL 14'!AQ27+'SEMANA DEL 14 AL 21 '!#REF!+'SEMANA DEL 21AL 28-3'!#REF!+#REF!</f>
        <v>#REF!</v>
      </c>
      <c r="AR21" s="203" t="e">
        <f>+'SEMANA DEL 2 AL 7-3-26'!AR22+'SEMANA DEL 7 AL 14'!AR27+'SEMANA DEL 14 AL 21 '!#REF!+'SEMANA DEL 21AL 28-3'!#REF!+#REF!</f>
        <v>#REF!</v>
      </c>
      <c r="AS21" s="203" t="e">
        <f>+'SEMANA DEL 2 AL 7-3-26'!AS22+'SEMANA DEL 7 AL 14'!AS27+'SEMANA DEL 14 AL 21 '!#REF!+'SEMANA DEL 21AL 28-3'!#REF!+#REF!</f>
        <v>#REF!</v>
      </c>
      <c r="AT21" s="203" t="e">
        <f>+'SEMANA DEL 2 AL 7-3-26'!AT22+'SEMANA DEL 7 AL 14'!AT27+'SEMANA DEL 14 AL 21 '!#REF!+'SEMANA DEL 21AL 28-3'!#REF!+#REF!</f>
        <v>#REF!</v>
      </c>
      <c r="AU21" s="203" t="e">
        <f>+'SEMANA DEL 2 AL 7-3-26'!AU22+'SEMANA DEL 7 AL 14'!AU27+'SEMANA DEL 14 AL 21 '!#REF!+'SEMANA DEL 21AL 28-3'!#REF!+#REF!</f>
        <v>#REF!</v>
      </c>
      <c r="AV21" s="203" t="e">
        <f>+'SEMANA DEL 2 AL 7-3-26'!AV22+'SEMANA DEL 7 AL 14'!AV27+'SEMANA DEL 14 AL 21 '!#REF!+'SEMANA DEL 21AL 28-3'!#REF!+#REF!</f>
        <v>#REF!</v>
      </c>
      <c r="AW21" s="203" t="e">
        <f>+'SEMANA DEL 2 AL 7-3-26'!AW22+'SEMANA DEL 7 AL 14'!AW27+'SEMANA DEL 14 AL 21 '!#REF!+'SEMANA DEL 21AL 28-3'!#REF!+#REF!</f>
        <v>#REF!</v>
      </c>
      <c r="AX21" s="203" t="e">
        <f t="shared" si="1"/>
        <v>#REF!</v>
      </c>
      <c r="AY21" s="203" t="e">
        <f t="shared" si="2"/>
        <v>#REF!</v>
      </c>
      <c r="AZ21" s="203" t="e">
        <f t="shared" si="3"/>
        <v>#REF!</v>
      </c>
      <c r="BA21" s="203" t="e">
        <f t="shared" si="4"/>
        <v>#REF!</v>
      </c>
      <c r="BB21" s="203" t="e">
        <f t="shared" si="5"/>
        <v>#REF!</v>
      </c>
      <c r="BC21" s="203" t="e">
        <f t="shared" si="6"/>
        <v>#REF!</v>
      </c>
      <c r="BD21" s="203" t="e">
        <f t="shared" si="7"/>
        <v>#REF!</v>
      </c>
      <c r="BE21" s="203" t="e">
        <f t="shared" si="8"/>
        <v>#REF!</v>
      </c>
      <c r="BF21" s="203" t="e">
        <f t="shared" si="9"/>
        <v>#REF!</v>
      </c>
      <c r="BG21" s="203" t="e">
        <f t="shared" si="10"/>
        <v>#REF!</v>
      </c>
      <c r="BH21" s="203" t="e">
        <f t="shared" si="11"/>
        <v>#REF!</v>
      </c>
      <c r="BI21" s="203" t="e">
        <f t="shared" si="12"/>
        <v>#REF!</v>
      </c>
      <c r="BJ21" s="203" t="e">
        <f t="shared" si="13"/>
        <v>#REF!</v>
      </c>
      <c r="BK21" s="203" t="e">
        <f t="shared" si="14"/>
        <v>#REF!</v>
      </c>
      <c r="BL21" s="203" t="e">
        <f t="shared" si="15"/>
        <v>#REF!</v>
      </c>
      <c r="BM21" s="203" t="e">
        <f t="shared" si="16"/>
        <v>#REF!</v>
      </c>
      <c r="BN21" s="203" t="e">
        <f>+'SEMANA DEL 2 AL 7-3-26'!BN22+'SEMANA DEL 7 AL 14'!BN27+'SEMANA DEL 14 AL 21 '!#REF!+'SEMANA DEL 21AL 28-3'!#REF!+#REF!</f>
        <v>#REF!</v>
      </c>
      <c r="BO21" s="203" t="e">
        <f>+'SEMANA DEL 2 AL 7-3-26'!BO22+'SEMANA DEL 7 AL 14'!BO27+'SEMANA DEL 14 AL 21 '!#REF!+'SEMANA DEL 21AL 28-3'!#REF!+#REF!</f>
        <v>#REF!</v>
      </c>
      <c r="BP21" s="203" t="e">
        <f>+'SEMANA DEL 2 AL 7-3-26'!BP22+'SEMANA DEL 7 AL 14'!BP27+'SEMANA DEL 14 AL 21 '!#REF!+'SEMANA DEL 21AL 28-3'!#REF!+#REF!</f>
        <v>#REF!</v>
      </c>
      <c r="BQ21" s="203" t="e">
        <f>+'SEMANA DEL 2 AL 7-3-26'!BQ22+'SEMANA DEL 7 AL 14'!BQ27+'SEMANA DEL 14 AL 21 '!#REF!+'SEMANA DEL 21AL 28-3'!#REF!+#REF!</f>
        <v>#REF!</v>
      </c>
      <c r="BR21" s="203" t="e">
        <f>+'SEMANA DEL 2 AL 7-3-26'!BR22+'SEMANA DEL 7 AL 14'!BR27+'SEMANA DEL 14 AL 21 '!#REF!+'SEMANA DEL 21AL 28-3'!#REF!+#REF!</f>
        <v>#REF!</v>
      </c>
      <c r="BS21" s="203" t="e">
        <f>+'SEMANA DEL 2 AL 7-3-26'!BS22+'SEMANA DEL 7 AL 14'!BS27+'SEMANA DEL 14 AL 21 '!#REF!+'SEMANA DEL 21AL 28-3'!#REF!+#REF!</f>
        <v>#REF!</v>
      </c>
      <c r="BT21" s="203" t="e">
        <f>+'SEMANA DEL 2 AL 7-3-26'!BT22+'SEMANA DEL 7 AL 14'!BT27+'SEMANA DEL 14 AL 21 '!#REF!+'SEMANA DEL 21AL 28-3'!#REF!+#REF!</f>
        <v>#REF!</v>
      </c>
      <c r="BU21" s="203" t="e">
        <f>+'SEMANA DEL 2 AL 7-3-26'!BU22+'SEMANA DEL 7 AL 14'!BU27+'SEMANA DEL 14 AL 21 '!#REF!+'SEMANA DEL 21AL 28-3'!#REF!+#REF!</f>
        <v>#REF!</v>
      </c>
      <c r="BV21" s="203" t="e">
        <f>+'SEMANA DEL 2 AL 7-3-26'!BV22+'SEMANA DEL 7 AL 14'!BV27+'SEMANA DEL 14 AL 21 '!#REF!+'SEMANA DEL 21AL 28-3'!#REF!+#REF!</f>
        <v>#REF!</v>
      </c>
      <c r="BW21" s="203" t="e">
        <f>+'SEMANA DEL 2 AL 7-3-26'!BW22+'SEMANA DEL 7 AL 14'!BW27+'SEMANA DEL 14 AL 21 '!#REF!+'SEMANA DEL 21AL 28-3'!#REF!+#REF!</f>
        <v>#REF!</v>
      </c>
      <c r="BX21" s="203" t="e">
        <f>+'SEMANA DEL 2 AL 7-3-26'!BX22+'SEMANA DEL 7 AL 14'!BX27+'SEMANA DEL 14 AL 21 '!#REF!+'SEMANA DEL 21AL 28-3'!#REF!+#REF!</f>
        <v>#REF!</v>
      </c>
      <c r="BY21" s="203" t="e">
        <f>+'SEMANA DEL 2 AL 7-3-26'!BY22+'SEMANA DEL 7 AL 14'!BY27+'SEMANA DEL 14 AL 21 '!#REF!+'SEMANA DEL 21AL 28-3'!#REF!+#REF!</f>
        <v>#REF!</v>
      </c>
      <c r="BZ21" s="203" t="e">
        <f>+'SEMANA DEL 2 AL 7-3-26'!BZ22+'SEMANA DEL 7 AL 14'!BZ27+'SEMANA DEL 14 AL 21 '!#REF!+'SEMANA DEL 21AL 28-3'!#REF!+#REF!</f>
        <v>#REF!</v>
      </c>
      <c r="CA21" s="203" t="e">
        <f>+'SEMANA DEL 2 AL 7-3-26'!CA22+'SEMANA DEL 7 AL 14'!CA27+'SEMANA DEL 14 AL 21 '!#REF!+'SEMANA DEL 21AL 28-3'!#REF!+#REF!</f>
        <v>#REF!</v>
      </c>
      <c r="CB21" s="203" t="e">
        <f>+'SEMANA DEL 2 AL 7-3-26'!CB22+'SEMANA DEL 7 AL 14'!CB27+'SEMANA DEL 14 AL 21 '!#REF!+'SEMANA DEL 21AL 28-3'!#REF!+#REF!</f>
        <v>#REF!</v>
      </c>
      <c r="CC21" s="203" t="e">
        <f>+'SEMANA DEL 2 AL 7-3-26'!CC22+'SEMANA DEL 7 AL 14'!CC27+'SEMANA DEL 14 AL 21 '!#REF!+'SEMANA DEL 21AL 28-3'!#REF!+#REF!</f>
        <v>#REF!</v>
      </c>
      <c r="CD21" s="203" t="e">
        <f>+'SEMANA DEL 2 AL 7-3-26'!CD22+'SEMANA DEL 7 AL 14'!CD27+'SEMANA DEL 14 AL 21 '!#REF!+'SEMANA DEL 21AL 28-3'!#REF!+#REF!</f>
        <v>#REF!</v>
      </c>
      <c r="CE21" s="203" t="e">
        <f>+'SEMANA DEL 2 AL 7-3-26'!CE22+'SEMANA DEL 7 AL 14'!CE27+'SEMANA DEL 14 AL 21 '!#REF!+'SEMANA DEL 21AL 28-3'!#REF!+#REF!</f>
        <v>#REF!</v>
      </c>
      <c r="CF21" s="203" t="e">
        <f>+'SEMANA DEL 2 AL 7-3-26'!CF22+'SEMANA DEL 7 AL 14'!CF27+'SEMANA DEL 14 AL 21 '!#REF!+'SEMANA DEL 21AL 28-3'!#REF!+#REF!</f>
        <v>#REF!</v>
      </c>
      <c r="CG21" s="203" t="e">
        <f>+'SEMANA DEL 2 AL 7-3-26'!CG22+'SEMANA DEL 7 AL 14'!CG27+'SEMANA DEL 14 AL 21 '!#REF!+'SEMANA DEL 21AL 28-3'!#REF!+#REF!</f>
        <v>#REF!</v>
      </c>
      <c r="CH21" s="203" t="e">
        <f>+'SEMANA DEL 2 AL 7-3-26'!CH22+'SEMANA DEL 7 AL 14'!CH27+'SEMANA DEL 14 AL 21 '!#REF!+'SEMANA DEL 21AL 28-3'!#REF!+#REF!</f>
        <v>#REF!</v>
      </c>
      <c r="CI21" s="203" t="e">
        <f>+'SEMANA DEL 2 AL 7-3-26'!CI22+'SEMANA DEL 7 AL 14'!CI27+'SEMANA DEL 14 AL 21 '!#REF!+'SEMANA DEL 21AL 28-3'!#REF!+#REF!</f>
        <v>#REF!</v>
      </c>
    </row>
    <row r="22" spans="1:93" x14ac:dyDescent="0.2">
      <c r="A22" s="34" t="str">
        <f>+'SEMANA DEL 2 AL 7-3-26'!A22</f>
        <v>LILIANA  VEGA</v>
      </c>
      <c r="B22" s="203">
        <f>+'SEMANA DEL 2 AL 7-3-26'!B22</f>
        <v>0</v>
      </c>
      <c r="C22" s="203">
        <f>+'SEMANA DEL 2 AL 7-3-26'!C22</f>
        <v>0</v>
      </c>
      <c r="D22" s="203">
        <f>+'SEMANA DEL 2 AL 7-3-26'!D22</f>
        <v>0</v>
      </c>
      <c r="E22" s="203">
        <f>+'SEMANA DEL 2 AL 7-3-26'!E22</f>
        <v>1</v>
      </c>
      <c r="F22" s="203">
        <f>+'SEMANA DEL 2 AL 7-3-26'!F22</f>
        <v>0</v>
      </c>
      <c r="G22" s="203">
        <f>+'SEMANA DEL 2 AL 7-3-26'!G22</f>
        <v>0</v>
      </c>
      <c r="H22" s="203">
        <f>+'SEMANA DEL 2 AL 7-3-26'!H22</f>
        <v>0</v>
      </c>
      <c r="I22" s="203">
        <f>+'SEMANA DEL 2 AL 7-3-26'!I22</f>
        <v>1</v>
      </c>
      <c r="J22" s="203">
        <f>+'SEMANA DEL 2 AL 7-3-26'!J22</f>
        <v>0</v>
      </c>
      <c r="K22" s="203">
        <f>+'SEMANA DEL 2 AL 7-3-26'!K22</f>
        <v>0</v>
      </c>
      <c r="L22" s="203">
        <f>+'SEMANA DEL 2 AL 7-3-26'!L22</f>
        <v>0</v>
      </c>
      <c r="M22" s="203">
        <f>+'SEMANA DEL 2 AL 7-3-26'!M22</f>
        <v>0</v>
      </c>
      <c r="N22" s="203">
        <f>+'SEMANA DEL 2 AL 7-3-26'!N22</f>
        <v>0</v>
      </c>
      <c r="O22" s="203">
        <f>+'SEMANA DEL 2 AL 7-3-26'!O22</f>
        <v>0</v>
      </c>
      <c r="P22" s="203">
        <f>+'SEMANA DEL 2 AL 7-3-26'!P22</f>
        <v>0</v>
      </c>
      <c r="Q22" s="203">
        <f>+'SEMANA DEL 2 AL 7-3-26'!Q22</f>
        <v>0</v>
      </c>
      <c r="R22" s="203" t="e">
        <f>+'SEMANA DEL 2 AL 7-3-26'!R26+'SEMANA DEL 7 AL 14'!R30+'SEMANA DEL 14 AL 21 '!R28+'SEMANA DEL 21AL 28-3'!R29+#REF!</f>
        <v>#REF!</v>
      </c>
      <c r="S22" s="203" t="e">
        <f>+'SEMANA DEL 2 AL 7-3-26'!S26+'SEMANA DEL 7 AL 14'!S30+'SEMANA DEL 14 AL 21 '!S28+'SEMANA DEL 21AL 28-3'!S29+#REF!</f>
        <v>#REF!</v>
      </c>
      <c r="T22" s="203" t="e">
        <f>+'SEMANA DEL 2 AL 7-3-26'!T26+'SEMANA DEL 7 AL 14'!T30+'SEMANA DEL 14 AL 21 '!T28+'SEMANA DEL 21AL 28-3'!T29+#REF!</f>
        <v>#REF!</v>
      </c>
      <c r="U22" s="203" t="e">
        <f>+'SEMANA DEL 2 AL 7-3-26'!U26+'SEMANA DEL 7 AL 14'!U30+'SEMANA DEL 14 AL 21 '!U28+'SEMANA DEL 21AL 28-3'!U29+#REF!</f>
        <v>#REF!</v>
      </c>
      <c r="V22" s="203" t="e">
        <f>+'SEMANA DEL 2 AL 7-3-26'!V26+'SEMANA DEL 7 AL 14'!V30+'SEMANA DEL 14 AL 21 '!V28+'SEMANA DEL 21AL 28-3'!V29+#REF!</f>
        <v>#REF!</v>
      </c>
      <c r="W22" s="203" t="e">
        <f>+'SEMANA DEL 2 AL 7-3-26'!W26+'SEMANA DEL 7 AL 14'!W30+'SEMANA DEL 14 AL 21 '!W28+'SEMANA DEL 21AL 28-3'!W29+#REF!</f>
        <v>#REF!</v>
      </c>
      <c r="X22" s="203" t="e">
        <f>+'SEMANA DEL 2 AL 7-3-26'!X26+'SEMANA DEL 7 AL 14'!X30+'SEMANA DEL 14 AL 21 '!X28+'SEMANA DEL 21AL 28-3'!X29+#REF!</f>
        <v>#REF!</v>
      </c>
      <c r="Y22" s="203" t="e">
        <f>+'SEMANA DEL 2 AL 7-3-26'!Y26+'SEMANA DEL 7 AL 14'!Y30+'SEMANA DEL 14 AL 21 '!Y28+'SEMANA DEL 21AL 28-3'!Y29+#REF!</f>
        <v>#REF!</v>
      </c>
      <c r="Z22" s="203" t="e">
        <f>+'SEMANA DEL 2 AL 7-3-26'!Z26+'SEMANA DEL 7 AL 14'!Z30+'SEMANA DEL 14 AL 21 '!Z28+'SEMANA DEL 21AL 28-3'!Z29+#REF!</f>
        <v>#REF!</v>
      </c>
      <c r="AA22" s="203" t="e">
        <f>+'SEMANA DEL 2 AL 7-3-26'!AA26+'SEMANA DEL 7 AL 14'!AA30+'SEMANA DEL 14 AL 21 '!AA28+'SEMANA DEL 21AL 28-3'!AA29+#REF!</f>
        <v>#REF!</v>
      </c>
      <c r="AB22" s="203" t="e">
        <f>+'SEMANA DEL 2 AL 7-3-26'!AB26+'SEMANA DEL 7 AL 14'!AB30+'SEMANA DEL 14 AL 21 '!AB28+'SEMANA DEL 21AL 28-3'!AB29+#REF!</f>
        <v>#REF!</v>
      </c>
      <c r="AC22" s="203" t="e">
        <f>+'SEMANA DEL 2 AL 7-3-26'!AC26+'SEMANA DEL 7 AL 14'!AC30+'SEMANA DEL 14 AL 21 '!AC28+'SEMANA DEL 21AL 28-3'!AC29+#REF!</f>
        <v>#REF!</v>
      </c>
      <c r="AD22" s="203" t="e">
        <f>+'SEMANA DEL 2 AL 7-3-26'!AD26+'SEMANA DEL 7 AL 14'!AD30+'SEMANA DEL 14 AL 21 '!AD28+'SEMANA DEL 21AL 28-3'!AD29+#REF!</f>
        <v>#REF!</v>
      </c>
      <c r="AE22" s="203" t="e">
        <f>+'SEMANA DEL 2 AL 7-3-26'!AE26+'SEMANA DEL 7 AL 14'!AE30+'SEMANA DEL 14 AL 21 '!AE28+'SEMANA DEL 21AL 28-3'!AE29+#REF!</f>
        <v>#REF!</v>
      </c>
      <c r="AF22" s="203" t="e">
        <f>+'SEMANA DEL 2 AL 7-3-26'!AF26+'SEMANA DEL 7 AL 14'!AF30+'SEMANA DEL 14 AL 21 '!AF28+'SEMANA DEL 21AL 28-3'!AF29+#REF!</f>
        <v>#REF!</v>
      </c>
      <c r="AG22" s="203" t="e">
        <f>+'SEMANA DEL 2 AL 7-3-26'!AG26+'SEMANA DEL 7 AL 14'!AG30+'SEMANA DEL 14 AL 21 '!AG28+'SEMANA DEL 21AL 28-3'!AG29+#REF!</f>
        <v>#REF!</v>
      </c>
      <c r="AH22" s="203" t="e">
        <f>+'SEMANA DEL 2 AL 7-3-26'!AH26+'SEMANA DEL 7 AL 14'!AH30+'SEMANA DEL 14 AL 21 '!AH28+'SEMANA DEL 21AL 28-3'!AH29+#REF!</f>
        <v>#REF!</v>
      </c>
      <c r="AI22" s="203" t="e">
        <f>+'SEMANA DEL 2 AL 7-3-26'!AI26+'SEMANA DEL 7 AL 14'!AI30+'SEMANA DEL 14 AL 21 '!AI28+'SEMANA DEL 21AL 28-3'!AI29+#REF!</f>
        <v>#REF!</v>
      </c>
      <c r="AJ22" s="203" t="e">
        <f>+'SEMANA DEL 2 AL 7-3-26'!AJ26+'SEMANA DEL 7 AL 14'!AJ30+'SEMANA DEL 14 AL 21 '!AJ28+'SEMANA DEL 21AL 28-3'!AJ29+#REF!</f>
        <v>#REF!</v>
      </c>
      <c r="AK22" s="203" t="e">
        <f>+'SEMANA DEL 2 AL 7-3-26'!AK26+'SEMANA DEL 7 AL 14'!AK30+'SEMANA DEL 14 AL 21 '!AK28+'SEMANA DEL 21AL 28-3'!AK29+#REF!</f>
        <v>#REF!</v>
      </c>
      <c r="AL22" s="203" t="e">
        <f>+'SEMANA DEL 2 AL 7-3-26'!AL26+'SEMANA DEL 7 AL 14'!AL30+'SEMANA DEL 14 AL 21 '!AL28+'SEMANA DEL 21AL 28-3'!AL29+#REF!</f>
        <v>#REF!</v>
      </c>
      <c r="AM22" s="203" t="e">
        <f>+'SEMANA DEL 2 AL 7-3-26'!AM26+'SEMANA DEL 7 AL 14'!AM30+'SEMANA DEL 14 AL 21 '!AM28+'SEMANA DEL 21AL 28-3'!AM29+#REF!</f>
        <v>#REF!</v>
      </c>
      <c r="AN22" s="203" t="e">
        <f>+'SEMANA DEL 2 AL 7-3-26'!AN26+'SEMANA DEL 7 AL 14'!AN30+'SEMANA DEL 14 AL 21 '!AN28+'SEMANA DEL 21AL 28-3'!AN29+#REF!</f>
        <v>#REF!</v>
      </c>
      <c r="AO22" s="203" t="e">
        <f>+'SEMANA DEL 2 AL 7-3-26'!AO26+'SEMANA DEL 7 AL 14'!AO30+'SEMANA DEL 14 AL 21 '!AO28+'SEMANA DEL 21AL 28-3'!AO29+#REF!</f>
        <v>#REF!</v>
      </c>
      <c r="AP22" s="203" t="e">
        <f>+'SEMANA DEL 2 AL 7-3-26'!AP26+'SEMANA DEL 7 AL 14'!AP30+'SEMANA DEL 14 AL 21 '!AP28+'SEMANA DEL 21AL 28-3'!AP29+#REF!</f>
        <v>#REF!</v>
      </c>
      <c r="AQ22" s="203" t="e">
        <f>+'SEMANA DEL 2 AL 7-3-26'!AQ26+'SEMANA DEL 7 AL 14'!AQ30+'SEMANA DEL 14 AL 21 '!AQ28+'SEMANA DEL 21AL 28-3'!AQ29+#REF!</f>
        <v>#REF!</v>
      </c>
      <c r="AR22" s="203" t="e">
        <f>+'SEMANA DEL 2 AL 7-3-26'!AR26+'SEMANA DEL 7 AL 14'!AR30+'SEMANA DEL 14 AL 21 '!AR28+'SEMANA DEL 21AL 28-3'!AR29+#REF!</f>
        <v>#REF!</v>
      </c>
      <c r="AS22" s="203" t="e">
        <f>+'SEMANA DEL 2 AL 7-3-26'!AS26+'SEMANA DEL 7 AL 14'!AS30+'SEMANA DEL 14 AL 21 '!AS28+'SEMANA DEL 21AL 28-3'!AS29+#REF!</f>
        <v>#REF!</v>
      </c>
      <c r="AT22" s="203" t="e">
        <f>+'SEMANA DEL 2 AL 7-3-26'!AT26+'SEMANA DEL 7 AL 14'!AT30+'SEMANA DEL 14 AL 21 '!AT28+'SEMANA DEL 21AL 28-3'!AT29+#REF!</f>
        <v>#REF!</v>
      </c>
      <c r="AU22" s="203" t="e">
        <f>+'SEMANA DEL 2 AL 7-3-26'!AU26+'SEMANA DEL 7 AL 14'!AU30+'SEMANA DEL 14 AL 21 '!AU28+'SEMANA DEL 21AL 28-3'!AU29+#REF!</f>
        <v>#REF!</v>
      </c>
      <c r="AV22" s="203" t="e">
        <f>+'SEMANA DEL 2 AL 7-3-26'!AV26+'SEMANA DEL 7 AL 14'!AV30+'SEMANA DEL 14 AL 21 '!AV28+'SEMANA DEL 21AL 28-3'!AV29+#REF!</f>
        <v>#REF!</v>
      </c>
      <c r="AW22" s="203" t="e">
        <f>+'SEMANA DEL 2 AL 7-3-26'!AW26+'SEMANA DEL 7 AL 14'!AW30+'SEMANA DEL 14 AL 21 '!AW28+'SEMANA DEL 21AL 28-3'!AW29+#REF!</f>
        <v>#REF!</v>
      </c>
      <c r="AX22" s="203" t="e">
        <f t="shared" si="1"/>
        <v>#REF!</v>
      </c>
      <c r="AY22" s="203" t="e">
        <f t="shared" si="2"/>
        <v>#REF!</v>
      </c>
      <c r="AZ22" s="203" t="e">
        <f t="shared" si="3"/>
        <v>#REF!</v>
      </c>
      <c r="BA22" s="203" t="e">
        <f t="shared" si="4"/>
        <v>#REF!</v>
      </c>
      <c r="BB22" s="203" t="e">
        <f t="shared" si="5"/>
        <v>#REF!</v>
      </c>
      <c r="BC22" s="203" t="e">
        <f t="shared" si="6"/>
        <v>#REF!</v>
      </c>
      <c r="BD22" s="203" t="e">
        <f t="shared" si="7"/>
        <v>#REF!</v>
      </c>
      <c r="BE22" s="203" t="e">
        <f t="shared" si="8"/>
        <v>#REF!</v>
      </c>
      <c r="BF22" s="203" t="e">
        <f t="shared" si="9"/>
        <v>#REF!</v>
      </c>
      <c r="BG22" s="203" t="e">
        <f t="shared" si="10"/>
        <v>#REF!</v>
      </c>
      <c r="BH22" s="203" t="e">
        <f t="shared" si="11"/>
        <v>#REF!</v>
      </c>
      <c r="BI22" s="203" t="e">
        <f t="shared" si="12"/>
        <v>#REF!</v>
      </c>
      <c r="BJ22" s="203" t="e">
        <f t="shared" si="13"/>
        <v>#REF!</v>
      </c>
      <c r="BK22" s="203" t="e">
        <f t="shared" si="14"/>
        <v>#REF!</v>
      </c>
      <c r="BL22" s="203" t="e">
        <f t="shared" si="15"/>
        <v>#REF!</v>
      </c>
      <c r="BM22" s="203" t="e">
        <f t="shared" si="16"/>
        <v>#REF!</v>
      </c>
      <c r="BN22" s="203" t="e">
        <f>+'SEMANA DEL 2 AL 7-3-26'!BN26+'SEMANA DEL 7 AL 14'!BN30+'SEMANA DEL 14 AL 21 '!BN28+'SEMANA DEL 21AL 28-3'!BN29+#REF!</f>
        <v>#REF!</v>
      </c>
      <c r="BO22" s="203" t="e">
        <f>+'SEMANA DEL 2 AL 7-3-26'!BO26+'SEMANA DEL 7 AL 14'!BO30+'SEMANA DEL 14 AL 21 '!BO28+'SEMANA DEL 21AL 28-3'!BO29+#REF!</f>
        <v>#REF!</v>
      </c>
      <c r="BP22" s="203" t="e">
        <f>+'SEMANA DEL 2 AL 7-3-26'!BP26+'SEMANA DEL 7 AL 14'!BP30+'SEMANA DEL 14 AL 21 '!BP28+'SEMANA DEL 21AL 28-3'!BP29+#REF!</f>
        <v>#REF!</v>
      </c>
      <c r="BQ22" s="203" t="e">
        <f>+'SEMANA DEL 2 AL 7-3-26'!BQ26+'SEMANA DEL 7 AL 14'!BQ30+'SEMANA DEL 14 AL 21 '!BQ28+'SEMANA DEL 21AL 28-3'!BQ29+#REF!</f>
        <v>#REF!</v>
      </c>
      <c r="BR22" s="203" t="e">
        <f>+'SEMANA DEL 2 AL 7-3-26'!BR26+'SEMANA DEL 7 AL 14'!BR30+'SEMANA DEL 14 AL 21 '!BR28+'SEMANA DEL 21AL 28-3'!BR29+#REF!</f>
        <v>#REF!</v>
      </c>
      <c r="BS22" s="203" t="e">
        <f>+'SEMANA DEL 2 AL 7-3-26'!BS26+'SEMANA DEL 7 AL 14'!BS30+'SEMANA DEL 14 AL 21 '!BS28+'SEMANA DEL 21AL 28-3'!BS29+#REF!</f>
        <v>#REF!</v>
      </c>
      <c r="BT22" s="203" t="e">
        <f>+'SEMANA DEL 2 AL 7-3-26'!BT26+'SEMANA DEL 7 AL 14'!BT30+'SEMANA DEL 14 AL 21 '!BT28+'SEMANA DEL 21AL 28-3'!BT29+#REF!</f>
        <v>#REF!</v>
      </c>
      <c r="BU22" s="203" t="e">
        <f>+'SEMANA DEL 2 AL 7-3-26'!BU26+'SEMANA DEL 7 AL 14'!BU30+'SEMANA DEL 14 AL 21 '!BU28+'SEMANA DEL 21AL 28-3'!BU29+#REF!</f>
        <v>#REF!</v>
      </c>
      <c r="BV22" s="203" t="e">
        <f>+'SEMANA DEL 2 AL 7-3-26'!BV26+'SEMANA DEL 7 AL 14'!BV30+'SEMANA DEL 14 AL 21 '!BV28+'SEMANA DEL 21AL 28-3'!BV29+#REF!</f>
        <v>#REF!</v>
      </c>
      <c r="BW22" s="203" t="e">
        <f>+'SEMANA DEL 2 AL 7-3-26'!BW26+'SEMANA DEL 7 AL 14'!BW30+'SEMANA DEL 14 AL 21 '!BW28+'SEMANA DEL 21AL 28-3'!BW29+#REF!</f>
        <v>#REF!</v>
      </c>
      <c r="BX22" s="203" t="e">
        <f>+'SEMANA DEL 2 AL 7-3-26'!BX26+'SEMANA DEL 7 AL 14'!BX30+'SEMANA DEL 14 AL 21 '!BX28+'SEMANA DEL 21AL 28-3'!BX29+#REF!</f>
        <v>#REF!</v>
      </c>
      <c r="BY22" s="203" t="e">
        <f>+'SEMANA DEL 2 AL 7-3-26'!BY26+'SEMANA DEL 7 AL 14'!BY30+'SEMANA DEL 14 AL 21 '!BY28+'SEMANA DEL 21AL 28-3'!BY29+#REF!</f>
        <v>#REF!</v>
      </c>
      <c r="BZ22" s="203" t="e">
        <f>+'SEMANA DEL 2 AL 7-3-26'!BZ26+'SEMANA DEL 7 AL 14'!BZ30+'SEMANA DEL 14 AL 21 '!BZ28+'SEMANA DEL 21AL 28-3'!BZ29+#REF!</f>
        <v>#REF!</v>
      </c>
      <c r="CA22" s="203" t="e">
        <f>+'SEMANA DEL 2 AL 7-3-26'!CA26+'SEMANA DEL 7 AL 14'!CA30+'SEMANA DEL 14 AL 21 '!CA28+'SEMANA DEL 21AL 28-3'!CA29+#REF!</f>
        <v>#REF!</v>
      </c>
      <c r="CB22" s="203" t="e">
        <f>+'SEMANA DEL 2 AL 7-3-26'!CB26+'SEMANA DEL 7 AL 14'!CB30+'SEMANA DEL 14 AL 21 '!CB28+'SEMANA DEL 21AL 28-3'!CB29+#REF!</f>
        <v>#REF!</v>
      </c>
      <c r="CC22" s="203" t="e">
        <f>+'SEMANA DEL 2 AL 7-3-26'!CC26+'SEMANA DEL 7 AL 14'!CC30+'SEMANA DEL 14 AL 21 '!CC28+'SEMANA DEL 21AL 28-3'!CC29+#REF!</f>
        <v>#REF!</v>
      </c>
      <c r="CD22" s="203" t="e">
        <f>+'SEMANA DEL 2 AL 7-3-26'!CD26+'SEMANA DEL 7 AL 14'!CD30+'SEMANA DEL 14 AL 21 '!CD28+'SEMANA DEL 21AL 28-3'!CD29+#REF!</f>
        <v>#REF!</v>
      </c>
      <c r="CE22" s="203" t="e">
        <f>+'SEMANA DEL 2 AL 7-3-26'!CE26+'SEMANA DEL 7 AL 14'!CE30+'SEMANA DEL 14 AL 21 '!CE28+'SEMANA DEL 21AL 28-3'!CE29+#REF!</f>
        <v>#REF!</v>
      </c>
      <c r="CF22" s="203" t="e">
        <f>+'SEMANA DEL 2 AL 7-3-26'!CF26+'SEMANA DEL 7 AL 14'!CF30+'SEMANA DEL 14 AL 21 '!CF28+'SEMANA DEL 21AL 28-3'!CF29+#REF!</f>
        <v>#REF!</v>
      </c>
      <c r="CG22" s="203" t="e">
        <f>+'SEMANA DEL 2 AL 7-3-26'!CG26+'SEMANA DEL 7 AL 14'!CG30+'SEMANA DEL 14 AL 21 '!CG28+'SEMANA DEL 21AL 28-3'!CG29+#REF!</f>
        <v>#REF!</v>
      </c>
      <c r="CH22" s="203" t="e">
        <f>+'SEMANA DEL 2 AL 7-3-26'!CH26+'SEMANA DEL 7 AL 14'!CH30+'SEMANA DEL 14 AL 21 '!CH28+'SEMANA DEL 21AL 28-3'!CH29+#REF!</f>
        <v>#REF!</v>
      </c>
      <c r="CI22" s="203" t="e">
        <f>+'SEMANA DEL 2 AL 7-3-26'!CI26+'SEMANA DEL 7 AL 14'!CI30+'SEMANA DEL 14 AL 21 '!CI28+'SEMANA DEL 21AL 28-3'!CI29+#REF!</f>
        <v>#REF!</v>
      </c>
    </row>
    <row r="23" spans="1:93" x14ac:dyDescent="0.2">
      <c r="A23" s="34" t="str">
        <f>+'SEMANA DEL 2 AL 7-3-26'!A23</f>
        <v xml:space="preserve">LUIS ERNESTO ALMEIDA </v>
      </c>
      <c r="B23" s="203">
        <f>+'SEMANA DEL 2 AL 7-3-26'!B23</f>
        <v>0</v>
      </c>
      <c r="C23" s="203">
        <f>+'SEMANA DEL 2 AL 7-3-26'!C23</f>
        <v>0</v>
      </c>
      <c r="D23" s="203">
        <f>+'SEMANA DEL 2 AL 7-3-26'!D23</f>
        <v>0</v>
      </c>
      <c r="E23" s="203">
        <f>+'SEMANA DEL 2 AL 7-3-26'!E23</f>
        <v>0</v>
      </c>
      <c r="F23" s="203">
        <f>+'SEMANA DEL 2 AL 7-3-26'!F23</f>
        <v>0</v>
      </c>
      <c r="G23" s="203">
        <f>+'SEMANA DEL 2 AL 7-3-26'!G23</f>
        <v>0</v>
      </c>
      <c r="H23" s="203">
        <f>+'SEMANA DEL 2 AL 7-3-26'!H23</f>
        <v>0</v>
      </c>
      <c r="I23" s="203">
        <f>+'SEMANA DEL 2 AL 7-3-26'!I23</f>
        <v>0</v>
      </c>
      <c r="J23" s="203">
        <f>+'SEMANA DEL 2 AL 7-3-26'!J23</f>
        <v>0</v>
      </c>
      <c r="K23" s="203">
        <f>+'SEMANA DEL 2 AL 7-3-26'!K23</f>
        <v>0</v>
      </c>
      <c r="L23" s="203">
        <f>+'SEMANA DEL 2 AL 7-3-26'!L23</f>
        <v>0</v>
      </c>
      <c r="M23" s="203">
        <f>+'SEMANA DEL 2 AL 7-3-26'!M23</f>
        <v>0</v>
      </c>
      <c r="N23" s="203">
        <f>+'SEMANA DEL 2 AL 7-3-26'!N23</f>
        <v>0</v>
      </c>
      <c r="O23" s="203">
        <f>+'SEMANA DEL 2 AL 7-3-26'!O23</f>
        <v>0</v>
      </c>
      <c r="P23" s="203">
        <f>+'SEMANA DEL 2 AL 7-3-26'!P23</f>
        <v>0</v>
      </c>
      <c r="Q23" s="203">
        <f>+'SEMANA DEL 2 AL 7-3-26'!Q23</f>
        <v>0</v>
      </c>
      <c r="R23" s="203" t="e">
        <f>+'SEMANA DEL 2 AL 7-3-26'!#REF!+'SEMANA DEL 7 AL 14'!R33+'SEMANA DEL 14 AL 21 '!R31+'SEMANA DEL 21AL 28-3'!R32+#REF!</f>
        <v>#REF!</v>
      </c>
      <c r="S23" s="203" t="e">
        <f>+'SEMANA DEL 2 AL 7-3-26'!#REF!+'SEMANA DEL 7 AL 14'!S33+'SEMANA DEL 14 AL 21 '!S31+'SEMANA DEL 21AL 28-3'!S32+#REF!</f>
        <v>#REF!</v>
      </c>
      <c r="T23" s="203" t="e">
        <f>+'SEMANA DEL 2 AL 7-3-26'!#REF!+'SEMANA DEL 7 AL 14'!T33+'SEMANA DEL 14 AL 21 '!T31+'SEMANA DEL 21AL 28-3'!T32+#REF!</f>
        <v>#REF!</v>
      </c>
      <c r="U23" s="203" t="e">
        <f>+'SEMANA DEL 2 AL 7-3-26'!#REF!+'SEMANA DEL 7 AL 14'!U33+'SEMANA DEL 14 AL 21 '!U31+'SEMANA DEL 21AL 28-3'!U32+#REF!</f>
        <v>#REF!</v>
      </c>
      <c r="V23" s="203" t="e">
        <f>+'SEMANA DEL 2 AL 7-3-26'!#REF!+'SEMANA DEL 7 AL 14'!V33+'SEMANA DEL 14 AL 21 '!V31+'SEMANA DEL 21AL 28-3'!V32+#REF!</f>
        <v>#REF!</v>
      </c>
      <c r="W23" s="203" t="e">
        <f>+'SEMANA DEL 2 AL 7-3-26'!#REF!+'SEMANA DEL 7 AL 14'!W33+'SEMANA DEL 14 AL 21 '!W31+'SEMANA DEL 21AL 28-3'!W32+#REF!</f>
        <v>#REF!</v>
      </c>
      <c r="X23" s="203" t="e">
        <f>+'SEMANA DEL 2 AL 7-3-26'!#REF!+'SEMANA DEL 7 AL 14'!X33+'SEMANA DEL 14 AL 21 '!X31+'SEMANA DEL 21AL 28-3'!X32+#REF!</f>
        <v>#REF!</v>
      </c>
      <c r="Y23" s="203" t="e">
        <f>+'SEMANA DEL 2 AL 7-3-26'!#REF!+'SEMANA DEL 7 AL 14'!Y33+'SEMANA DEL 14 AL 21 '!Y31+'SEMANA DEL 21AL 28-3'!Y32+#REF!</f>
        <v>#REF!</v>
      </c>
      <c r="Z23" s="203" t="e">
        <f>+'SEMANA DEL 2 AL 7-3-26'!#REF!+'SEMANA DEL 7 AL 14'!Z33+'SEMANA DEL 14 AL 21 '!Z31+'SEMANA DEL 21AL 28-3'!Z32+#REF!</f>
        <v>#REF!</v>
      </c>
      <c r="AA23" s="203" t="e">
        <f>+'SEMANA DEL 2 AL 7-3-26'!#REF!+'SEMANA DEL 7 AL 14'!AA33+'SEMANA DEL 14 AL 21 '!AA31+'SEMANA DEL 21AL 28-3'!AA32+#REF!</f>
        <v>#REF!</v>
      </c>
      <c r="AB23" s="203" t="e">
        <f>+'SEMANA DEL 2 AL 7-3-26'!#REF!+'SEMANA DEL 7 AL 14'!AB33+'SEMANA DEL 14 AL 21 '!AB31+'SEMANA DEL 21AL 28-3'!AB32+#REF!</f>
        <v>#REF!</v>
      </c>
      <c r="AC23" s="203" t="e">
        <f>+'SEMANA DEL 2 AL 7-3-26'!#REF!+'SEMANA DEL 7 AL 14'!AC33+'SEMANA DEL 14 AL 21 '!AC31+'SEMANA DEL 21AL 28-3'!AC32+#REF!</f>
        <v>#REF!</v>
      </c>
      <c r="AD23" s="203" t="e">
        <f>+'SEMANA DEL 2 AL 7-3-26'!#REF!+'SEMANA DEL 7 AL 14'!AD33+'SEMANA DEL 14 AL 21 '!AD31+'SEMANA DEL 21AL 28-3'!AD32+#REF!</f>
        <v>#REF!</v>
      </c>
      <c r="AE23" s="203" t="e">
        <f>+'SEMANA DEL 2 AL 7-3-26'!#REF!+'SEMANA DEL 7 AL 14'!AE33+'SEMANA DEL 14 AL 21 '!AE31+'SEMANA DEL 21AL 28-3'!AE32+#REF!</f>
        <v>#REF!</v>
      </c>
      <c r="AF23" s="203" t="e">
        <f>+'SEMANA DEL 2 AL 7-3-26'!#REF!+'SEMANA DEL 7 AL 14'!AF33+'SEMANA DEL 14 AL 21 '!AF31+'SEMANA DEL 21AL 28-3'!AF32+#REF!</f>
        <v>#REF!</v>
      </c>
      <c r="AG23" s="203" t="e">
        <f>+'SEMANA DEL 2 AL 7-3-26'!#REF!+'SEMANA DEL 7 AL 14'!AG33+'SEMANA DEL 14 AL 21 '!AG31+'SEMANA DEL 21AL 28-3'!AG32+#REF!</f>
        <v>#REF!</v>
      </c>
      <c r="AH23" s="203" t="e">
        <f>+'SEMANA DEL 2 AL 7-3-26'!#REF!+'SEMANA DEL 7 AL 14'!AH33+'SEMANA DEL 14 AL 21 '!AH31+'SEMANA DEL 21AL 28-3'!AH32+#REF!</f>
        <v>#REF!</v>
      </c>
      <c r="AI23" s="203" t="e">
        <f>+'SEMANA DEL 2 AL 7-3-26'!#REF!+'SEMANA DEL 7 AL 14'!AI33+'SEMANA DEL 14 AL 21 '!AI31+'SEMANA DEL 21AL 28-3'!AI32+#REF!</f>
        <v>#REF!</v>
      </c>
      <c r="AJ23" s="203" t="e">
        <f>+'SEMANA DEL 2 AL 7-3-26'!#REF!+'SEMANA DEL 7 AL 14'!AJ33+'SEMANA DEL 14 AL 21 '!AJ31+'SEMANA DEL 21AL 28-3'!AJ32+#REF!</f>
        <v>#REF!</v>
      </c>
      <c r="AK23" s="203" t="e">
        <f>+'SEMANA DEL 2 AL 7-3-26'!#REF!+'SEMANA DEL 7 AL 14'!AK33+'SEMANA DEL 14 AL 21 '!AK31+'SEMANA DEL 21AL 28-3'!AK32+#REF!</f>
        <v>#REF!</v>
      </c>
      <c r="AL23" s="203" t="e">
        <f>+'SEMANA DEL 2 AL 7-3-26'!#REF!+'SEMANA DEL 7 AL 14'!AL33+'SEMANA DEL 14 AL 21 '!AL31+'SEMANA DEL 21AL 28-3'!AL32+#REF!</f>
        <v>#REF!</v>
      </c>
      <c r="AM23" s="203" t="e">
        <f>+'SEMANA DEL 2 AL 7-3-26'!#REF!+'SEMANA DEL 7 AL 14'!AM33+'SEMANA DEL 14 AL 21 '!AM31+'SEMANA DEL 21AL 28-3'!AM32+#REF!</f>
        <v>#REF!</v>
      </c>
      <c r="AN23" s="203" t="e">
        <f>+'SEMANA DEL 2 AL 7-3-26'!#REF!+'SEMANA DEL 7 AL 14'!AN33+'SEMANA DEL 14 AL 21 '!AN31+'SEMANA DEL 21AL 28-3'!AN32+#REF!</f>
        <v>#REF!</v>
      </c>
      <c r="AO23" s="203" t="e">
        <f>+'SEMANA DEL 2 AL 7-3-26'!#REF!+'SEMANA DEL 7 AL 14'!AO33+'SEMANA DEL 14 AL 21 '!AO31+'SEMANA DEL 21AL 28-3'!AO32+#REF!</f>
        <v>#REF!</v>
      </c>
      <c r="AP23" s="203" t="e">
        <f>+'SEMANA DEL 2 AL 7-3-26'!#REF!+'SEMANA DEL 7 AL 14'!AP33+'SEMANA DEL 14 AL 21 '!AP31+'SEMANA DEL 21AL 28-3'!AP32+#REF!</f>
        <v>#REF!</v>
      </c>
      <c r="AQ23" s="203" t="e">
        <f>+'SEMANA DEL 2 AL 7-3-26'!#REF!+'SEMANA DEL 7 AL 14'!AQ33+'SEMANA DEL 14 AL 21 '!AQ31+'SEMANA DEL 21AL 28-3'!AQ32+#REF!</f>
        <v>#REF!</v>
      </c>
      <c r="AR23" s="203" t="e">
        <f>+'SEMANA DEL 2 AL 7-3-26'!#REF!+'SEMANA DEL 7 AL 14'!AR33+'SEMANA DEL 14 AL 21 '!AR31+'SEMANA DEL 21AL 28-3'!AR32+#REF!</f>
        <v>#REF!</v>
      </c>
      <c r="AS23" s="203" t="e">
        <f>+'SEMANA DEL 2 AL 7-3-26'!#REF!+'SEMANA DEL 7 AL 14'!AS33+'SEMANA DEL 14 AL 21 '!AS31+'SEMANA DEL 21AL 28-3'!AS32+#REF!</f>
        <v>#REF!</v>
      </c>
      <c r="AT23" s="203" t="e">
        <f>+'SEMANA DEL 2 AL 7-3-26'!#REF!+'SEMANA DEL 7 AL 14'!AT33+'SEMANA DEL 14 AL 21 '!AT31+'SEMANA DEL 21AL 28-3'!AT32+#REF!</f>
        <v>#REF!</v>
      </c>
      <c r="AU23" s="203" t="e">
        <f>+'SEMANA DEL 2 AL 7-3-26'!#REF!+'SEMANA DEL 7 AL 14'!AU33+'SEMANA DEL 14 AL 21 '!AU31+'SEMANA DEL 21AL 28-3'!AU32+#REF!</f>
        <v>#REF!</v>
      </c>
      <c r="AV23" s="203" t="e">
        <f>+'SEMANA DEL 2 AL 7-3-26'!#REF!+'SEMANA DEL 7 AL 14'!AV33+'SEMANA DEL 14 AL 21 '!AV31+'SEMANA DEL 21AL 28-3'!AV32+#REF!</f>
        <v>#REF!</v>
      </c>
      <c r="AW23" s="203" t="e">
        <f>+'SEMANA DEL 2 AL 7-3-26'!#REF!+'SEMANA DEL 7 AL 14'!AW33+'SEMANA DEL 14 AL 21 '!AW31+'SEMANA DEL 21AL 28-3'!AW32+#REF!</f>
        <v>#REF!</v>
      </c>
      <c r="AX23" s="203" t="e">
        <f t="shared" si="1"/>
        <v>#REF!</v>
      </c>
      <c r="AY23" s="203" t="e">
        <f t="shared" si="2"/>
        <v>#REF!</v>
      </c>
      <c r="AZ23" s="203" t="e">
        <f t="shared" si="3"/>
        <v>#REF!</v>
      </c>
      <c r="BA23" s="203" t="e">
        <f t="shared" si="4"/>
        <v>#REF!</v>
      </c>
      <c r="BB23" s="203" t="e">
        <f t="shared" si="5"/>
        <v>#REF!</v>
      </c>
      <c r="BC23" s="203" t="e">
        <f t="shared" si="6"/>
        <v>#REF!</v>
      </c>
      <c r="BD23" s="203" t="e">
        <f t="shared" si="7"/>
        <v>#REF!</v>
      </c>
      <c r="BE23" s="203" t="e">
        <f t="shared" si="8"/>
        <v>#REF!</v>
      </c>
      <c r="BF23" s="203" t="e">
        <f t="shared" si="9"/>
        <v>#REF!</v>
      </c>
      <c r="BG23" s="203" t="e">
        <f t="shared" si="10"/>
        <v>#REF!</v>
      </c>
      <c r="BH23" s="203" t="e">
        <f t="shared" si="11"/>
        <v>#REF!</v>
      </c>
      <c r="BI23" s="203" t="e">
        <f t="shared" si="12"/>
        <v>#REF!</v>
      </c>
      <c r="BJ23" s="203" t="e">
        <f t="shared" si="13"/>
        <v>#REF!</v>
      </c>
      <c r="BK23" s="203" t="e">
        <f t="shared" si="14"/>
        <v>#REF!</v>
      </c>
      <c r="BL23" s="203" t="e">
        <f t="shared" si="15"/>
        <v>#REF!</v>
      </c>
      <c r="BM23" s="203" t="e">
        <f t="shared" si="16"/>
        <v>#REF!</v>
      </c>
      <c r="BN23" s="203" t="e">
        <f>+'SEMANA DEL 2 AL 7-3-26'!#REF!+'SEMANA DEL 7 AL 14'!BN33+'SEMANA DEL 14 AL 21 '!BN31+'SEMANA DEL 21AL 28-3'!BN32+#REF!</f>
        <v>#REF!</v>
      </c>
      <c r="BO23" s="203" t="e">
        <f>+'SEMANA DEL 2 AL 7-3-26'!#REF!+'SEMANA DEL 7 AL 14'!BO33+'SEMANA DEL 14 AL 21 '!BO31+'SEMANA DEL 21AL 28-3'!BO32+#REF!</f>
        <v>#REF!</v>
      </c>
      <c r="BP23" s="203" t="e">
        <f>+'SEMANA DEL 2 AL 7-3-26'!#REF!+'SEMANA DEL 7 AL 14'!BP33+'SEMANA DEL 14 AL 21 '!BP31+'SEMANA DEL 21AL 28-3'!BP32+#REF!</f>
        <v>#REF!</v>
      </c>
      <c r="BQ23" s="203" t="e">
        <f>+'SEMANA DEL 2 AL 7-3-26'!#REF!+'SEMANA DEL 7 AL 14'!BQ33+'SEMANA DEL 14 AL 21 '!BQ31+'SEMANA DEL 21AL 28-3'!BQ32+#REF!</f>
        <v>#REF!</v>
      </c>
      <c r="BR23" s="203" t="e">
        <f>+'SEMANA DEL 2 AL 7-3-26'!#REF!+'SEMANA DEL 7 AL 14'!BR33+'SEMANA DEL 14 AL 21 '!BR31+'SEMANA DEL 21AL 28-3'!BR32+#REF!</f>
        <v>#REF!</v>
      </c>
      <c r="BS23" s="203" t="e">
        <f>+'SEMANA DEL 2 AL 7-3-26'!#REF!+'SEMANA DEL 7 AL 14'!BS33+'SEMANA DEL 14 AL 21 '!BS31+'SEMANA DEL 21AL 28-3'!BS32+#REF!</f>
        <v>#REF!</v>
      </c>
      <c r="BT23" s="203" t="e">
        <f>+'SEMANA DEL 2 AL 7-3-26'!#REF!+'SEMANA DEL 7 AL 14'!BT33+'SEMANA DEL 14 AL 21 '!BT31+'SEMANA DEL 21AL 28-3'!BT32+#REF!</f>
        <v>#REF!</v>
      </c>
      <c r="BU23" s="203" t="e">
        <f>+'SEMANA DEL 2 AL 7-3-26'!#REF!+'SEMANA DEL 7 AL 14'!BU33+'SEMANA DEL 14 AL 21 '!BU31+'SEMANA DEL 21AL 28-3'!BU32+#REF!</f>
        <v>#REF!</v>
      </c>
      <c r="BV23" s="203" t="e">
        <f>+'SEMANA DEL 2 AL 7-3-26'!#REF!+'SEMANA DEL 7 AL 14'!BV33+'SEMANA DEL 14 AL 21 '!BV31+'SEMANA DEL 21AL 28-3'!BV32+#REF!</f>
        <v>#REF!</v>
      </c>
      <c r="BW23" s="203" t="e">
        <f>+'SEMANA DEL 2 AL 7-3-26'!#REF!+'SEMANA DEL 7 AL 14'!BW33+'SEMANA DEL 14 AL 21 '!BW31+'SEMANA DEL 21AL 28-3'!BW32+#REF!</f>
        <v>#REF!</v>
      </c>
      <c r="BX23" s="203" t="e">
        <f>+'SEMANA DEL 2 AL 7-3-26'!#REF!+'SEMANA DEL 7 AL 14'!BX33+'SEMANA DEL 14 AL 21 '!BX31+'SEMANA DEL 21AL 28-3'!BX32+#REF!</f>
        <v>#REF!</v>
      </c>
      <c r="BY23" s="203" t="e">
        <f>+'SEMANA DEL 2 AL 7-3-26'!#REF!+'SEMANA DEL 7 AL 14'!BY33+'SEMANA DEL 14 AL 21 '!BY31+'SEMANA DEL 21AL 28-3'!BY32+#REF!</f>
        <v>#REF!</v>
      </c>
      <c r="BZ23" s="203" t="e">
        <f>+'SEMANA DEL 2 AL 7-3-26'!#REF!+'SEMANA DEL 7 AL 14'!BZ33+'SEMANA DEL 14 AL 21 '!BZ31+'SEMANA DEL 21AL 28-3'!BZ32+#REF!</f>
        <v>#REF!</v>
      </c>
      <c r="CA23" s="203" t="e">
        <f>+'SEMANA DEL 2 AL 7-3-26'!#REF!+'SEMANA DEL 7 AL 14'!CA33+'SEMANA DEL 14 AL 21 '!CA31+'SEMANA DEL 21AL 28-3'!CA32+#REF!</f>
        <v>#REF!</v>
      </c>
      <c r="CB23" s="203" t="e">
        <f>+'SEMANA DEL 2 AL 7-3-26'!#REF!+'SEMANA DEL 7 AL 14'!CB33+'SEMANA DEL 14 AL 21 '!CB31+'SEMANA DEL 21AL 28-3'!CB32+#REF!</f>
        <v>#REF!</v>
      </c>
      <c r="CC23" s="203" t="e">
        <f>+'SEMANA DEL 2 AL 7-3-26'!#REF!+'SEMANA DEL 7 AL 14'!CC33+'SEMANA DEL 14 AL 21 '!CC31+'SEMANA DEL 21AL 28-3'!CC32+#REF!</f>
        <v>#REF!</v>
      </c>
      <c r="CD23" s="203" t="e">
        <f>+'SEMANA DEL 2 AL 7-3-26'!#REF!+'SEMANA DEL 7 AL 14'!CD33+'SEMANA DEL 14 AL 21 '!CD31+'SEMANA DEL 21AL 28-3'!CD32+#REF!</f>
        <v>#REF!</v>
      </c>
      <c r="CE23" s="203" t="e">
        <f>+'SEMANA DEL 2 AL 7-3-26'!#REF!+'SEMANA DEL 7 AL 14'!CE33+'SEMANA DEL 14 AL 21 '!CE31+'SEMANA DEL 21AL 28-3'!CE32+#REF!</f>
        <v>#REF!</v>
      </c>
      <c r="CF23" s="203" t="e">
        <f>+'SEMANA DEL 2 AL 7-3-26'!#REF!+'SEMANA DEL 7 AL 14'!CF33+'SEMANA DEL 14 AL 21 '!CF31+'SEMANA DEL 21AL 28-3'!CF32+#REF!</f>
        <v>#REF!</v>
      </c>
      <c r="CG23" s="203" t="e">
        <f>+'SEMANA DEL 2 AL 7-3-26'!#REF!+'SEMANA DEL 7 AL 14'!CG33+'SEMANA DEL 14 AL 21 '!CG31+'SEMANA DEL 21AL 28-3'!CG32+#REF!</f>
        <v>#REF!</v>
      </c>
      <c r="CH23" s="203" t="e">
        <f>+'SEMANA DEL 2 AL 7-3-26'!#REF!+'SEMANA DEL 7 AL 14'!CH33+'SEMANA DEL 14 AL 21 '!CH31+'SEMANA DEL 21AL 28-3'!CH32+#REF!</f>
        <v>#REF!</v>
      </c>
      <c r="CI23" s="203" t="e">
        <f>+'SEMANA DEL 2 AL 7-3-26'!#REF!+'SEMANA DEL 7 AL 14'!CI33+'SEMANA DEL 14 AL 21 '!CI31+'SEMANA DEL 21AL 28-3'!CI32+#REF!</f>
        <v>#REF!</v>
      </c>
    </row>
    <row r="24" spans="1:93" x14ac:dyDescent="0.2">
      <c r="A24" s="34" t="str">
        <f>+'SEMANA DEL 2 AL 7-3-26'!A25</f>
        <v xml:space="preserve">MAYERLIN BOLIVAR </v>
      </c>
      <c r="B24" s="203">
        <f>+'SEMANA DEL 2 AL 7-3-26'!B25</f>
        <v>0.30000000000000071</v>
      </c>
      <c r="C24" s="203">
        <f>+'SEMANA DEL 2 AL 7-3-26'!C25</f>
        <v>1.3399999999999963</v>
      </c>
      <c r="D24" s="203">
        <f>+'SEMANA DEL 2 AL 7-3-26'!D25</f>
        <v>2.0999999999999801</v>
      </c>
      <c r="E24" s="203">
        <f>+'SEMANA DEL 2 AL 7-3-26'!E25</f>
        <v>0</v>
      </c>
      <c r="F24" s="203">
        <f>+'SEMANA DEL 2 AL 7-3-26'!F25</f>
        <v>0</v>
      </c>
      <c r="G24" s="203">
        <f>+'SEMANA DEL 2 AL 7-3-26'!G25</f>
        <v>0</v>
      </c>
      <c r="H24" s="203">
        <f>+'SEMANA DEL 2 AL 7-3-26'!H25</f>
        <v>0</v>
      </c>
      <c r="I24" s="203">
        <f>+'SEMANA DEL 2 AL 7-3-26'!I25</f>
        <v>0</v>
      </c>
      <c r="J24" s="203">
        <f>+'SEMANA DEL 2 AL 7-3-26'!J25</f>
        <v>0</v>
      </c>
      <c r="K24" s="203">
        <f>+'SEMANA DEL 2 AL 7-3-26'!K25</f>
        <v>0</v>
      </c>
      <c r="L24" s="203">
        <f>+'SEMANA DEL 2 AL 7-3-26'!L25</f>
        <v>0</v>
      </c>
      <c r="M24" s="203">
        <f>+'SEMANA DEL 2 AL 7-3-26'!M25</f>
        <v>0</v>
      </c>
      <c r="N24" s="203">
        <f>+'SEMANA DEL 2 AL 7-3-26'!N25</f>
        <v>0</v>
      </c>
      <c r="O24" s="203">
        <f>+'SEMANA DEL 2 AL 7-3-26'!O25</f>
        <v>0</v>
      </c>
      <c r="P24" s="203">
        <f>+'SEMANA DEL 2 AL 7-3-26'!P25</f>
        <v>0</v>
      </c>
      <c r="Q24" s="203">
        <f>+'SEMANA DEL 2 AL 7-3-26'!Q25</f>
        <v>0</v>
      </c>
      <c r="R24" s="203" t="e">
        <f>+'SEMANA DEL 2 AL 7-3-26'!#REF!+'SEMANA DEL 7 AL 14'!R35+'SEMANA DEL 14 AL 21 '!R35+'SEMANA DEL 21AL 28-3'!R34+#REF!</f>
        <v>#REF!</v>
      </c>
      <c r="S24" s="203" t="e">
        <f>+'SEMANA DEL 2 AL 7-3-26'!#REF!+'SEMANA DEL 7 AL 14'!S35+'SEMANA DEL 14 AL 21 '!S35+'SEMANA DEL 21AL 28-3'!S34+#REF!</f>
        <v>#REF!</v>
      </c>
      <c r="T24" s="203" t="e">
        <f>+'SEMANA DEL 2 AL 7-3-26'!#REF!+'SEMANA DEL 7 AL 14'!T35+'SEMANA DEL 14 AL 21 '!T35+'SEMANA DEL 21AL 28-3'!T34+#REF!</f>
        <v>#REF!</v>
      </c>
      <c r="U24" s="203" t="e">
        <f>+'SEMANA DEL 2 AL 7-3-26'!#REF!+'SEMANA DEL 7 AL 14'!U35+'SEMANA DEL 14 AL 21 '!U35+'SEMANA DEL 21AL 28-3'!U34+#REF!</f>
        <v>#REF!</v>
      </c>
      <c r="V24" s="203" t="e">
        <f>+'SEMANA DEL 2 AL 7-3-26'!#REF!+'SEMANA DEL 7 AL 14'!V35+'SEMANA DEL 14 AL 21 '!V35+'SEMANA DEL 21AL 28-3'!V34+#REF!</f>
        <v>#REF!</v>
      </c>
      <c r="W24" s="203" t="e">
        <f>+'SEMANA DEL 2 AL 7-3-26'!#REF!+'SEMANA DEL 7 AL 14'!W35+'SEMANA DEL 14 AL 21 '!W35+'SEMANA DEL 21AL 28-3'!W34+#REF!</f>
        <v>#REF!</v>
      </c>
      <c r="X24" s="203" t="e">
        <f>+'SEMANA DEL 2 AL 7-3-26'!#REF!+'SEMANA DEL 7 AL 14'!X35+'SEMANA DEL 14 AL 21 '!X35+'SEMANA DEL 21AL 28-3'!X34+#REF!</f>
        <v>#REF!</v>
      </c>
      <c r="Y24" s="203" t="e">
        <f>+'SEMANA DEL 2 AL 7-3-26'!#REF!+'SEMANA DEL 7 AL 14'!Y35+'SEMANA DEL 14 AL 21 '!Y35+'SEMANA DEL 21AL 28-3'!Y34+#REF!</f>
        <v>#REF!</v>
      </c>
      <c r="Z24" s="203" t="e">
        <f>+'SEMANA DEL 2 AL 7-3-26'!#REF!+'SEMANA DEL 7 AL 14'!Z35+'SEMANA DEL 14 AL 21 '!Z35+'SEMANA DEL 21AL 28-3'!Z34+#REF!</f>
        <v>#REF!</v>
      </c>
      <c r="AA24" s="203" t="e">
        <f>+'SEMANA DEL 2 AL 7-3-26'!#REF!+'SEMANA DEL 7 AL 14'!AA35+'SEMANA DEL 14 AL 21 '!AA35+'SEMANA DEL 21AL 28-3'!AA34+#REF!</f>
        <v>#REF!</v>
      </c>
      <c r="AB24" s="203" t="e">
        <f>+'SEMANA DEL 2 AL 7-3-26'!#REF!+'SEMANA DEL 7 AL 14'!AB35+'SEMANA DEL 14 AL 21 '!AB35+'SEMANA DEL 21AL 28-3'!AB34+#REF!</f>
        <v>#REF!</v>
      </c>
      <c r="AC24" s="203" t="e">
        <f>+'SEMANA DEL 2 AL 7-3-26'!#REF!+'SEMANA DEL 7 AL 14'!AC35+'SEMANA DEL 14 AL 21 '!AC35+'SEMANA DEL 21AL 28-3'!AC34+#REF!</f>
        <v>#REF!</v>
      </c>
      <c r="AD24" s="203" t="e">
        <f>+'SEMANA DEL 2 AL 7-3-26'!#REF!+'SEMANA DEL 7 AL 14'!AD35+'SEMANA DEL 14 AL 21 '!AD35+'SEMANA DEL 21AL 28-3'!AD34+#REF!</f>
        <v>#REF!</v>
      </c>
      <c r="AE24" s="203" t="e">
        <f>+'SEMANA DEL 2 AL 7-3-26'!#REF!+'SEMANA DEL 7 AL 14'!AE35+'SEMANA DEL 14 AL 21 '!AE35+'SEMANA DEL 21AL 28-3'!AE34+#REF!</f>
        <v>#REF!</v>
      </c>
      <c r="AF24" s="203" t="e">
        <f>+'SEMANA DEL 2 AL 7-3-26'!#REF!+'SEMANA DEL 7 AL 14'!AF35+'SEMANA DEL 14 AL 21 '!AF35+'SEMANA DEL 21AL 28-3'!AF34+#REF!</f>
        <v>#REF!</v>
      </c>
      <c r="AG24" s="203" t="e">
        <f>+'SEMANA DEL 2 AL 7-3-26'!#REF!+'SEMANA DEL 7 AL 14'!AG35+'SEMANA DEL 14 AL 21 '!AG35+'SEMANA DEL 21AL 28-3'!AG34+#REF!</f>
        <v>#REF!</v>
      </c>
      <c r="AH24" s="203" t="e">
        <f>+'SEMANA DEL 2 AL 7-3-26'!#REF!+'SEMANA DEL 7 AL 14'!AH35+'SEMANA DEL 14 AL 21 '!AH35+'SEMANA DEL 21AL 28-3'!AH34+#REF!</f>
        <v>#REF!</v>
      </c>
      <c r="AI24" s="203" t="e">
        <f>+'SEMANA DEL 2 AL 7-3-26'!#REF!+'SEMANA DEL 7 AL 14'!AI35+'SEMANA DEL 14 AL 21 '!AI35+'SEMANA DEL 21AL 28-3'!AI34+#REF!</f>
        <v>#REF!</v>
      </c>
      <c r="AJ24" s="203" t="e">
        <f>+'SEMANA DEL 2 AL 7-3-26'!#REF!+'SEMANA DEL 7 AL 14'!AJ35+'SEMANA DEL 14 AL 21 '!AJ35+'SEMANA DEL 21AL 28-3'!AJ34+#REF!</f>
        <v>#REF!</v>
      </c>
      <c r="AK24" s="203" t="e">
        <f>+'SEMANA DEL 2 AL 7-3-26'!#REF!+'SEMANA DEL 7 AL 14'!AK35+'SEMANA DEL 14 AL 21 '!AK35+'SEMANA DEL 21AL 28-3'!AK34+#REF!</f>
        <v>#REF!</v>
      </c>
      <c r="AL24" s="203" t="e">
        <f>+'SEMANA DEL 2 AL 7-3-26'!#REF!+'SEMANA DEL 7 AL 14'!AL35+'SEMANA DEL 14 AL 21 '!AL35+'SEMANA DEL 21AL 28-3'!AL34+#REF!</f>
        <v>#REF!</v>
      </c>
      <c r="AM24" s="203" t="e">
        <f>+'SEMANA DEL 2 AL 7-3-26'!#REF!+'SEMANA DEL 7 AL 14'!AM35+'SEMANA DEL 14 AL 21 '!AM35+'SEMANA DEL 21AL 28-3'!AM34+#REF!</f>
        <v>#REF!</v>
      </c>
      <c r="AN24" s="203" t="e">
        <f>+'SEMANA DEL 2 AL 7-3-26'!#REF!+'SEMANA DEL 7 AL 14'!AN35+'SEMANA DEL 14 AL 21 '!AN35+'SEMANA DEL 21AL 28-3'!AN34+#REF!</f>
        <v>#REF!</v>
      </c>
      <c r="AO24" s="203" t="e">
        <f>+'SEMANA DEL 2 AL 7-3-26'!#REF!+'SEMANA DEL 7 AL 14'!AO35+'SEMANA DEL 14 AL 21 '!AO35+'SEMANA DEL 21AL 28-3'!AO34+#REF!</f>
        <v>#REF!</v>
      </c>
      <c r="AP24" s="203" t="e">
        <f>+'SEMANA DEL 2 AL 7-3-26'!#REF!+'SEMANA DEL 7 AL 14'!AP35+'SEMANA DEL 14 AL 21 '!AP35+'SEMANA DEL 21AL 28-3'!AP34+#REF!</f>
        <v>#REF!</v>
      </c>
      <c r="AQ24" s="203" t="e">
        <f>+'SEMANA DEL 2 AL 7-3-26'!#REF!+'SEMANA DEL 7 AL 14'!AQ35+'SEMANA DEL 14 AL 21 '!AQ35+'SEMANA DEL 21AL 28-3'!AQ34+#REF!</f>
        <v>#REF!</v>
      </c>
      <c r="AR24" s="203" t="e">
        <f>+'SEMANA DEL 2 AL 7-3-26'!#REF!+'SEMANA DEL 7 AL 14'!AR35+'SEMANA DEL 14 AL 21 '!AR35+'SEMANA DEL 21AL 28-3'!AR34+#REF!</f>
        <v>#REF!</v>
      </c>
      <c r="AS24" s="203" t="e">
        <f>+'SEMANA DEL 2 AL 7-3-26'!#REF!+'SEMANA DEL 7 AL 14'!AS35+'SEMANA DEL 14 AL 21 '!AS35+'SEMANA DEL 21AL 28-3'!AS34+#REF!</f>
        <v>#REF!</v>
      </c>
      <c r="AT24" s="203" t="e">
        <f>+'SEMANA DEL 2 AL 7-3-26'!#REF!+'SEMANA DEL 7 AL 14'!AT35+'SEMANA DEL 14 AL 21 '!AT35+'SEMANA DEL 21AL 28-3'!AT34+#REF!</f>
        <v>#REF!</v>
      </c>
      <c r="AU24" s="203" t="e">
        <f>+'SEMANA DEL 2 AL 7-3-26'!#REF!+'SEMANA DEL 7 AL 14'!AU35+'SEMANA DEL 14 AL 21 '!AU35+'SEMANA DEL 21AL 28-3'!AU34+#REF!</f>
        <v>#REF!</v>
      </c>
      <c r="AV24" s="203" t="e">
        <f>+'SEMANA DEL 2 AL 7-3-26'!#REF!+'SEMANA DEL 7 AL 14'!AV35+'SEMANA DEL 14 AL 21 '!AV35+'SEMANA DEL 21AL 28-3'!AV34+#REF!</f>
        <v>#REF!</v>
      </c>
      <c r="AW24" s="203" t="e">
        <f>+'SEMANA DEL 2 AL 7-3-26'!#REF!+'SEMANA DEL 7 AL 14'!AW35+'SEMANA DEL 14 AL 21 '!AW35+'SEMANA DEL 21AL 28-3'!AW34+#REF!</f>
        <v>#REF!</v>
      </c>
      <c r="AX24" s="203" t="e">
        <f t="shared" si="1"/>
        <v>#REF!</v>
      </c>
      <c r="AY24" s="203" t="e">
        <f t="shared" si="2"/>
        <v>#REF!</v>
      </c>
      <c r="AZ24" s="203" t="e">
        <f t="shared" si="3"/>
        <v>#REF!</v>
      </c>
      <c r="BA24" s="203" t="e">
        <f t="shared" si="4"/>
        <v>#REF!</v>
      </c>
      <c r="BB24" s="203" t="e">
        <f t="shared" si="5"/>
        <v>#REF!</v>
      </c>
      <c r="BC24" s="203" t="e">
        <f t="shared" si="6"/>
        <v>#REF!</v>
      </c>
      <c r="BD24" s="203" t="e">
        <f t="shared" si="7"/>
        <v>#REF!</v>
      </c>
      <c r="BE24" s="203" t="e">
        <f t="shared" si="8"/>
        <v>#REF!</v>
      </c>
      <c r="BF24" s="203" t="e">
        <f t="shared" si="9"/>
        <v>#REF!</v>
      </c>
      <c r="BG24" s="203" t="e">
        <f t="shared" si="10"/>
        <v>#REF!</v>
      </c>
      <c r="BH24" s="203" t="e">
        <f t="shared" si="11"/>
        <v>#REF!</v>
      </c>
      <c r="BI24" s="203" t="e">
        <f t="shared" si="12"/>
        <v>#REF!</v>
      </c>
      <c r="BJ24" s="203" t="e">
        <f t="shared" si="13"/>
        <v>#REF!</v>
      </c>
      <c r="BK24" s="203" t="e">
        <f t="shared" si="14"/>
        <v>#REF!</v>
      </c>
      <c r="BL24" s="203" t="e">
        <f t="shared" si="15"/>
        <v>#REF!</v>
      </c>
      <c r="BM24" s="203" t="e">
        <f t="shared" si="16"/>
        <v>#REF!</v>
      </c>
      <c r="BN24" s="203" t="e">
        <f>+'SEMANA DEL 2 AL 7-3-26'!#REF!+'SEMANA DEL 7 AL 14'!BN35+'SEMANA DEL 14 AL 21 '!BN35+'SEMANA DEL 21AL 28-3'!BN34+#REF!</f>
        <v>#REF!</v>
      </c>
      <c r="BO24" s="203" t="e">
        <f>+'SEMANA DEL 2 AL 7-3-26'!#REF!+'SEMANA DEL 7 AL 14'!BO35+'SEMANA DEL 14 AL 21 '!BO35+'SEMANA DEL 21AL 28-3'!BO34+#REF!</f>
        <v>#REF!</v>
      </c>
      <c r="BP24" s="203" t="e">
        <f>+'SEMANA DEL 2 AL 7-3-26'!#REF!+'SEMANA DEL 7 AL 14'!BP35+'SEMANA DEL 14 AL 21 '!BP35+'SEMANA DEL 21AL 28-3'!BP34+#REF!</f>
        <v>#REF!</v>
      </c>
      <c r="BQ24" s="203" t="e">
        <f>+'SEMANA DEL 2 AL 7-3-26'!#REF!+'SEMANA DEL 7 AL 14'!BQ35+'SEMANA DEL 14 AL 21 '!BQ35+'SEMANA DEL 21AL 28-3'!BQ34+#REF!</f>
        <v>#REF!</v>
      </c>
      <c r="BR24" s="203" t="e">
        <f>+'SEMANA DEL 2 AL 7-3-26'!#REF!+'SEMANA DEL 7 AL 14'!BR35+'SEMANA DEL 14 AL 21 '!BR35+'SEMANA DEL 21AL 28-3'!BR34+#REF!</f>
        <v>#REF!</v>
      </c>
      <c r="BS24" s="203" t="e">
        <f>+'SEMANA DEL 2 AL 7-3-26'!#REF!+'SEMANA DEL 7 AL 14'!BS35+'SEMANA DEL 14 AL 21 '!BS35+'SEMANA DEL 21AL 28-3'!BS34+#REF!</f>
        <v>#REF!</v>
      </c>
      <c r="BT24" s="203" t="e">
        <f>+'SEMANA DEL 2 AL 7-3-26'!#REF!+'SEMANA DEL 7 AL 14'!BT35+'SEMANA DEL 14 AL 21 '!BT35+'SEMANA DEL 21AL 28-3'!BT34+#REF!</f>
        <v>#REF!</v>
      </c>
      <c r="BU24" s="203" t="e">
        <f>+'SEMANA DEL 2 AL 7-3-26'!#REF!+'SEMANA DEL 7 AL 14'!BU35+'SEMANA DEL 14 AL 21 '!BU35+'SEMANA DEL 21AL 28-3'!BU34+#REF!</f>
        <v>#REF!</v>
      </c>
      <c r="BV24" s="203" t="e">
        <f>+'SEMANA DEL 2 AL 7-3-26'!#REF!+'SEMANA DEL 7 AL 14'!BV35+'SEMANA DEL 14 AL 21 '!BV35+'SEMANA DEL 21AL 28-3'!BV34+#REF!</f>
        <v>#REF!</v>
      </c>
      <c r="BW24" s="203" t="e">
        <f>+'SEMANA DEL 2 AL 7-3-26'!#REF!+'SEMANA DEL 7 AL 14'!BW35+'SEMANA DEL 14 AL 21 '!BW35+'SEMANA DEL 21AL 28-3'!BW34+#REF!</f>
        <v>#REF!</v>
      </c>
      <c r="BX24" s="203" t="e">
        <f>+'SEMANA DEL 2 AL 7-3-26'!#REF!+'SEMANA DEL 7 AL 14'!BX35+'SEMANA DEL 14 AL 21 '!BX35+'SEMANA DEL 21AL 28-3'!BX34+#REF!</f>
        <v>#REF!</v>
      </c>
      <c r="BY24" s="203" t="e">
        <f>+'SEMANA DEL 2 AL 7-3-26'!#REF!+'SEMANA DEL 7 AL 14'!BY35+'SEMANA DEL 14 AL 21 '!BY35+'SEMANA DEL 21AL 28-3'!BY34+#REF!</f>
        <v>#REF!</v>
      </c>
      <c r="BZ24" s="203" t="e">
        <f>+'SEMANA DEL 2 AL 7-3-26'!#REF!+'SEMANA DEL 7 AL 14'!BZ35+'SEMANA DEL 14 AL 21 '!BZ35+'SEMANA DEL 21AL 28-3'!BZ34+#REF!</f>
        <v>#REF!</v>
      </c>
      <c r="CA24" s="203" t="e">
        <f>+'SEMANA DEL 2 AL 7-3-26'!#REF!+'SEMANA DEL 7 AL 14'!CA35+'SEMANA DEL 14 AL 21 '!CA35+'SEMANA DEL 21AL 28-3'!CA34+#REF!</f>
        <v>#REF!</v>
      </c>
      <c r="CB24" s="203" t="e">
        <f>+'SEMANA DEL 2 AL 7-3-26'!#REF!+'SEMANA DEL 7 AL 14'!CB35+'SEMANA DEL 14 AL 21 '!CB35+'SEMANA DEL 21AL 28-3'!CB34+#REF!</f>
        <v>#REF!</v>
      </c>
      <c r="CC24" s="203" t="e">
        <f>+'SEMANA DEL 2 AL 7-3-26'!#REF!+'SEMANA DEL 7 AL 14'!CC35+'SEMANA DEL 14 AL 21 '!CC35+'SEMANA DEL 21AL 28-3'!CC34+#REF!</f>
        <v>#REF!</v>
      </c>
      <c r="CD24" s="203" t="e">
        <f>+'SEMANA DEL 2 AL 7-3-26'!#REF!+'SEMANA DEL 7 AL 14'!CD35+'SEMANA DEL 14 AL 21 '!CD35+'SEMANA DEL 21AL 28-3'!CD34+#REF!</f>
        <v>#REF!</v>
      </c>
      <c r="CE24" s="203" t="e">
        <f>+'SEMANA DEL 2 AL 7-3-26'!#REF!+'SEMANA DEL 7 AL 14'!CE35+'SEMANA DEL 14 AL 21 '!CE35+'SEMANA DEL 21AL 28-3'!CE34+#REF!</f>
        <v>#REF!</v>
      </c>
      <c r="CF24" s="203" t="e">
        <f>+'SEMANA DEL 2 AL 7-3-26'!#REF!+'SEMANA DEL 7 AL 14'!CF35+'SEMANA DEL 14 AL 21 '!CF35+'SEMANA DEL 21AL 28-3'!CF34+#REF!</f>
        <v>#REF!</v>
      </c>
      <c r="CG24" s="203" t="e">
        <f>+'SEMANA DEL 2 AL 7-3-26'!#REF!+'SEMANA DEL 7 AL 14'!CG35+'SEMANA DEL 14 AL 21 '!CG35+'SEMANA DEL 21AL 28-3'!CG34+#REF!</f>
        <v>#REF!</v>
      </c>
      <c r="CH24" s="203" t="e">
        <f>+'SEMANA DEL 2 AL 7-3-26'!#REF!+'SEMANA DEL 7 AL 14'!CH35+'SEMANA DEL 14 AL 21 '!CH35+'SEMANA DEL 21AL 28-3'!CH34+#REF!</f>
        <v>#REF!</v>
      </c>
      <c r="CI24" s="203" t="e">
        <f>+'SEMANA DEL 2 AL 7-3-26'!#REF!+'SEMANA DEL 7 AL 14'!CI35+'SEMANA DEL 14 AL 21 '!CI35+'SEMANA DEL 21AL 28-3'!CI34+#REF!</f>
        <v>#REF!</v>
      </c>
    </row>
    <row r="25" spans="1:93" x14ac:dyDescent="0.2">
      <c r="A25" s="34" t="str">
        <f>+'SEMANA DEL 2 AL 7-3-26'!A26</f>
        <v xml:space="preserve">MARTHA SILVA </v>
      </c>
      <c r="B25" s="203">
        <f>+'SEMANA DEL 2 AL 7-3-26'!B26</f>
        <v>9.9999999999999645E-2</v>
      </c>
      <c r="C25" s="203">
        <f>+'SEMANA DEL 2 AL 7-3-26'!C26</f>
        <v>0.17999999999999972</v>
      </c>
      <c r="D25" s="203">
        <f>+'SEMANA DEL 2 AL 7-3-26'!D26</f>
        <v>12.000000000000021</v>
      </c>
      <c r="E25" s="203">
        <f>+'SEMANA DEL 2 AL 7-3-26'!E26</f>
        <v>0</v>
      </c>
      <c r="F25" s="203">
        <f>+'SEMANA DEL 2 AL 7-3-26'!F26</f>
        <v>0</v>
      </c>
      <c r="G25" s="203">
        <f>+'SEMANA DEL 2 AL 7-3-26'!G26</f>
        <v>0</v>
      </c>
      <c r="H25" s="203">
        <f>+'SEMANA DEL 2 AL 7-3-26'!H26</f>
        <v>0</v>
      </c>
      <c r="I25" s="203">
        <f>+'SEMANA DEL 2 AL 7-3-26'!I26</f>
        <v>0</v>
      </c>
      <c r="J25" s="203">
        <f>+'SEMANA DEL 2 AL 7-3-26'!J26</f>
        <v>0</v>
      </c>
      <c r="K25" s="203">
        <f>+'SEMANA DEL 2 AL 7-3-26'!K26</f>
        <v>0</v>
      </c>
      <c r="L25" s="203">
        <f>+'SEMANA DEL 2 AL 7-3-26'!L26</f>
        <v>0</v>
      </c>
      <c r="M25" s="203">
        <f>+'SEMANA DEL 2 AL 7-3-26'!M26</f>
        <v>0</v>
      </c>
      <c r="N25" s="203">
        <f>+'SEMANA DEL 2 AL 7-3-26'!N26</f>
        <v>0</v>
      </c>
      <c r="O25" s="203">
        <f>+'SEMANA DEL 2 AL 7-3-26'!O26</f>
        <v>0</v>
      </c>
      <c r="P25" s="203">
        <f>+'SEMANA DEL 2 AL 7-3-26'!P26</f>
        <v>0</v>
      </c>
      <c r="Q25" s="203">
        <f>+'SEMANA DEL 2 AL 7-3-26'!Q26</f>
        <v>0</v>
      </c>
      <c r="R25" s="203" t="e">
        <f>+'SEMANA DEL 2 AL 7-3-26'!R32+'SEMANA DEL 7 AL 14'!R36+'SEMANA DEL 14 AL 21 '!R36+'SEMANA DEL 21AL 28-3'!R35+#REF!</f>
        <v>#REF!</v>
      </c>
      <c r="S25" s="203" t="e">
        <f>+'SEMANA DEL 2 AL 7-3-26'!S32+'SEMANA DEL 7 AL 14'!S36+'SEMANA DEL 14 AL 21 '!S36+'SEMANA DEL 21AL 28-3'!S35+#REF!</f>
        <v>#REF!</v>
      </c>
      <c r="T25" s="203" t="e">
        <f>+'SEMANA DEL 2 AL 7-3-26'!T32+'SEMANA DEL 7 AL 14'!T36+'SEMANA DEL 14 AL 21 '!T36+'SEMANA DEL 21AL 28-3'!T35+#REF!</f>
        <v>#REF!</v>
      </c>
      <c r="U25" s="203" t="e">
        <f>+'SEMANA DEL 2 AL 7-3-26'!U32+'SEMANA DEL 7 AL 14'!U36+'SEMANA DEL 14 AL 21 '!U36+'SEMANA DEL 21AL 28-3'!U35+#REF!</f>
        <v>#REF!</v>
      </c>
      <c r="V25" s="203" t="e">
        <f>+'SEMANA DEL 2 AL 7-3-26'!V32+'SEMANA DEL 7 AL 14'!V36+'SEMANA DEL 14 AL 21 '!V36+'SEMANA DEL 21AL 28-3'!V35+#REF!</f>
        <v>#REF!</v>
      </c>
      <c r="W25" s="203" t="e">
        <f>+'SEMANA DEL 2 AL 7-3-26'!W32+'SEMANA DEL 7 AL 14'!W36+'SEMANA DEL 14 AL 21 '!W36+'SEMANA DEL 21AL 28-3'!W35+#REF!</f>
        <v>#REF!</v>
      </c>
      <c r="X25" s="203" t="e">
        <f>+'SEMANA DEL 2 AL 7-3-26'!X32+'SEMANA DEL 7 AL 14'!X36+'SEMANA DEL 14 AL 21 '!X36+'SEMANA DEL 21AL 28-3'!X35+#REF!</f>
        <v>#REF!</v>
      </c>
      <c r="Y25" s="203" t="e">
        <f>+'SEMANA DEL 2 AL 7-3-26'!Y32+'SEMANA DEL 7 AL 14'!Y36+'SEMANA DEL 14 AL 21 '!Y36+'SEMANA DEL 21AL 28-3'!Y35+#REF!</f>
        <v>#REF!</v>
      </c>
      <c r="Z25" s="203" t="e">
        <f>+'SEMANA DEL 2 AL 7-3-26'!Z32+'SEMANA DEL 7 AL 14'!Z36+'SEMANA DEL 14 AL 21 '!Z36+'SEMANA DEL 21AL 28-3'!Z35+#REF!</f>
        <v>#REF!</v>
      </c>
      <c r="AA25" s="203" t="e">
        <f>+'SEMANA DEL 2 AL 7-3-26'!AA32+'SEMANA DEL 7 AL 14'!AA36+'SEMANA DEL 14 AL 21 '!AA36+'SEMANA DEL 21AL 28-3'!AA35+#REF!</f>
        <v>#REF!</v>
      </c>
      <c r="AB25" s="203" t="e">
        <f>+'SEMANA DEL 2 AL 7-3-26'!AB32+'SEMANA DEL 7 AL 14'!AB36+'SEMANA DEL 14 AL 21 '!AB36+'SEMANA DEL 21AL 28-3'!AB35+#REF!</f>
        <v>#REF!</v>
      </c>
      <c r="AC25" s="203" t="e">
        <f>+'SEMANA DEL 2 AL 7-3-26'!AC32+'SEMANA DEL 7 AL 14'!AC36+'SEMANA DEL 14 AL 21 '!AC36+'SEMANA DEL 21AL 28-3'!AC35+#REF!</f>
        <v>#REF!</v>
      </c>
      <c r="AD25" s="203" t="e">
        <f>+'SEMANA DEL 2 AL 7-3-26'!AD32+'SEMANA DEL 7 AL 14'!AD36+'SEMANA DEL 14 AL 21 '!AD36+'SEMANA DEL 21AL 28-3'!AD35+#REF!</f>
        <v>#REF!</v>
      </c>
      <c r="AE25" s="203" t="e">
        <f>+'SEMANA DEL 2 AL 7-3-26'!AE32+'SEMANA DEL 7 AL 14'!AE36+'SEMANA DEL 14 AL 21 '!AE36+'SEMANA DEL 21AL 28-3'!AE35+#REF!</f>
        <v>#REF!</v>
      </c>
      <c r="AF25" s="203" t="e">
        <f>+'SEMANA DEL 2 AL 7-3-26'!AF32+'SEMANA DEL 7 AL 14'!AF36+'SEMANA DEL 14 AL 21 '!AF36+'SEMANA DEL 21AL 28-3'!AF35+#REF!</f>
        <v>#REF!</v>
      </c>
      <c r="AG25" s="203" t="e">
        <f>+'SEMANA DEL 2 AL 7-3-26'!AG32+'SEMANA DEL 7 AL 14'!AG36+'SEMANA DEL 14 AL 21 '!AG36+'SEMANA DEL 21AL 28-3'!AG35+#REF!</f>
        <v>#REF!</v>
      </c>
      <c r="AH25" s="203" t="e">
        <f>+'SEMANA DEL 2 AL 7-3-26'!AH32+'SEMANA DEL 7 AL 14'!AH36+'SEMANA DEL 14 AL 21 '!AH36+'SEMANA DEL 21AL 28-3'!AH35+#REF!</f>
        <v>#REF!</v>
      </c>
      <c r="AI25" s="203" t="e">
        <f>+'SEMANA DEL 2 AL 7-3-26'!AI32+'SEMANA DEL 7 AL 14'!AI36+'SEMANA DEL 14 AL 21 '!AI36+'SEMANA DEL 21AL 28-3'!AI35+#REF!</f>
        <v>#REF!</v>
      </c>
      <c r="AJ25" s="203" t="e">
        <f>+'SEMANA DEL 2 AL 7-3-26'!AJ32+'SEMANA DEL 7 AL 14'!AJ36+'SEMANA DEL 14 AL 21 '!AJ36+'SEMANA DEL 21AL 28-3'!AJ35+#REF!</f>
        <v>#REF!</v>
      </c>
      <c r="AK25" s="203" t="e">
        <f>+'SEMANA DEL 2 AL 7-3-26'!AK32+'SEMANA DEL 7 AL 14'!AK36+'SEMANA DEL 14 AL 21 '!AK36+'SEMANA DEL 21AL 28-3'!AK35+#REF!</f>
        <v>#REF!</v>
      </c>
      <c r="AL25" s="203" t="e">
        <f>+'SEMANA DEL 2 AL 7-3-26'!AL32+'SEMANA DEL 7 AL 14'!AL36+'SEMANA DEL 14 AL 21 '!AL36+'SEMANA DEL 21AL 28-3'!AL35+#REF!</f>
        <v>#REF!</v>
      </c>
      <c r="AM25" s="203" t="e">
        <f>+'SEMANA DEL 2 AL 7-3-26'!AM32+'SEMANA DEL 7 AL 14'!AM36+'SEMANA DEL 14 AL 21 '!AM36+'SEMANA DEL 21AL 28-3'!AM35+#REF!</f>
        <v>#REF!</v>
      </c>
      <c r="AN25" s="203" t="e">
        <f>+'SEMANA DEL 2 AL 7-3-26'!AN32+'SEMANA DEL 7 AL 14'!AN36+'SEMANA DEL 14 AL 21 '!AN36+'SEMANA DEL 21AL 28-3'!AN35+#REF!</f>
        <v>#REF!</v>
      </c>
      <c r="AO25" s="203" t="e">
        <f>+'SEMANA DEL 2 AL 7-3-26'!AO32+'SEMANA DEL 7 AL 14'!AO36+'SEMANA DEL 14 AL 21 '!AO36+'SEMANA DEL 21AL 28-3'!AO35+#REF!</f>
        <v>#REF!</v>
      </c>
      <c r="AP25" s="203" t="e">
        <f>+'SEMANA DEL 2 AL 7-3-26'!AP32+'SEMANA DEL 7 AL 14'!AP36+'SEMANA DEL 14 AL 21 '!AP36+'SEMANA DEL 21AL 28-3'!AP35+#REF!</f>
        <v>#REF!</v>
      </c>
      <c r="AQ25" s="203" t="e">
        <f>+'SEMANA DEL 2 AL 7-3-26'!AQ32+'SEMANA DEL 7 AL 14'!AQ36+'SEMANA DEL 14 AL 21 '!AQ36+'SEMANA DEL 21AL 28-3'!AQ35+#REF!</f>
        <v>#REF!</v>
      </c>
      <c r="AR25" s="203" t="e">
        <f>+'SEMANA DEL 2 AL 7-3-26'!AR32+'SEMANA DEL 7 AL 14'!AR36+'SEMANA DEL 14 AL 21 '!AR36+'SEMANA DEL 21AL 28-3'!AR35+#REF!</f>
        <v>#REF!</v>
      </c>
      <c r="AS25" s="203" t="e">
        <f>+'SEMANA DEL 2 AL 7-3-26'!AS32+'SEMANA DEL 7 AL 14'!AS36+'SEMANA DEL 14 AL 21 '!AS36+'SEMANA DEL 21AL 28-3'!AS35+#REF!</f>
        <v>#REF!</v>
      </c>
      <c r="AT25" s="203" t="e">
        <f>+'SEMANA DEL 2 AL 7-3-26'!AT32+'SEMANA DEL 7 AL 14'!AT36+'SEMANA DEL 14 AL 21 '!AT36+'SEMANA DEL 21AL 28-3'!AT35+#REF!</f>
        <v>#REF!</v>
      </c>
      <c r="AU25" s="203" t="e">
        <f>+'SEMANA DEL 2 AL 7-3-26'!AU32+'SEMANA DEL 7 AL 14'!AU36+'SEMANA DEL 14 AL 21 '!AU36+'SEMANA DEL 21AL 28-3'!AU35+#REF!</f>
        <v>#REF!</v>
      </c>
      <c r="AV25" s="203" t="e">
        <f>+'SEMANA DEL 2 AL 7-3-26'!AV32+'SEMANA DEL 7 AL 14'!AV36+'SEMANA DEL 14 AL 21 '!AV36+'SEMANA DEL 21AL 28-3'!AV35+#REF!</f>
        <v>#REF!</v>
      </c>
      <c r="AW25" s="203" t="e">
        <f>+'SEMANA DEL 2 AL 7-3-26'!AW32+'SEMANA DEL 7 AL 14'!AW36+'SEMANA DEL 14 AL 21 '!AW36+'SEMANA DEL 21AL 28-3'!AW35+#REF!</f>
        <v>#REF!</v>
      </c>
      <c r="AX25" s="203" t="e">
        <f t="shared" si="1"/>
        <v>#REF!</v>
      </c>
      <c r="AY25" s="203" t="e">
        <f t="shared" si="2"/>
        <v>#REF!</v>
      </c>
      <c r="AZ25" s="203" t="e">
        <f t="shared" si="3"/>
        <v>#REF!</v>
      </c>
      <c r="BA25" s="203" t="e">
        <f t="shared" si="4"/>
        <v>#REF!</v>
      </c>
      <c r="BB25" s="203" t="e">
        <f t="shared" si="5"/>
        <v>#REF!</v>
      </c>
      <c r="BC25" s="203" t="e">
        <f t="shared" si="6"/>
        <v>#REF!</v>
      </c>
      <c r="BD25" s="203" t="e">
        <f t="shared" si="7"/>
        <v>#REF!</v>
      </c>
      <c r="BE25" s="203" t="e">
        <f t="shared" si="8"/>
        <v>#REF!</v>
      </c>
      <c r="BF25" s="203" t="e">
        <f t="shared" si="9"/>
        <v>#REF!</v>
      </c>
      <c r="BG25" s="203" t="e">
        <f t="shared" si="10"/>
        <v>#REF!</v>
      </c>
      <c r="BH25" s="203" t="e">
        <f t="shared" si="11"/>
        <v>#REF!</v>
      </c>
      <c r="BI25" s="203" t="e">
        <f t="shared" si="12"/>
        <v>#REF!</v>
      </c>
      <c r="BJ25" s="203" t="e">
        <f t="shared" si="13"/>
        <v>#REF!</v>
      </c>
      <c r="BK25" s="203" t="e">
        <f t="shared" si="14"/>
        <v>#REF!</v>
      </c>
      <c r="BL25" s="203" t="e">
        <f t="shared" si="15"/>
        <v>#REF!</v>
      </c>
      <c r="BM25" s="203" t="e">
        <f t="shared" si="16"/>
        <v>#REF!</v>
      </c>
      <c r="BN25" s="203" t="e">
        <f>+'SEMANA DEL 2 AL 7-3-26'!BN32+'SEMANA DEL 7 AL 14'!BN36+'SEMANA DEL 14 AL 21 '!BN36+'SEMANA DEL 21AL 28-3'!BN35+#REF!</f>
        <v>#REF!</v>
      </c>
      <c r="BO25" s="203" t="e">
        <f>+'SEMANA DEL 2 AL 7-3-26'!BO32+'SEMANA DEL 7 AL 14'!BO36+'SEMANA DEL 14 AL 21 '!BO36+'SEMANA DEL 21AL 28-3'!BO35+#REF!</f>
        <v>#REF!</v>
      </c>
      <c r="BP25" s="203" t="e">
        <f>+'SEMANA DEL 2 AL 7-3-26'!BP32+'SEMANA DEL 7 AL 14'!BP36+'SEMANA DEL 14 AL 21 '!BP36+'SEMANA DEL 21AL 28-3'!BP35+#REF!</f>
        <v>#REF!</v>
      </c>
      <c r="BQ25" s="203" t="e">
        <f>+'SEMANA DEL 2 AL 7-3-26'!BQ32+'SEMANA DEL 7 AL 14'!BQ36+'SEMANA DEL 14 AL 21 '!BQ36+'SEMANA DEL 21AL 28-3'!BQ35+#REF!</f>
        <v>#REF!</v>
      </c>
      <c r="BR25" s="203" t="e">
        <f>+'SEMANA DEL 2 AL 7-3-26'!BR32+'SEMANA DEL 7 AL 14'!BR36+'SEMANA DEL 14 AL 21 '!BR36+'SEMANA DEL 21AL 28-3'!BR35+#REF!</f>
        <v>#REF!</v>
      </c>
      <c r="BS25" s="203" t="e">
        <f>+'SEMANA DEL 2 AL 7-3-26'!BS32+'SEMANA DEL 7 AL 14'!BS36+'SEMANA DEL 14 AL 21 '!BS36+'SEMANA DEL 21AL 28-3'!BS35+#REF!</f>
        <v>#REF!</v>
      </c>
      <c r="BT25" s="203" t="e">
        <f>+'SEMANA DEL 2 AL 7-3-26'!BT32+'SEMANA DEL 7 AL 14'!BT36+'SEMANA DEL 14 AL 21 '!BT36+'SEMANA DEL 21AL 28-3'!BT35+#REF!</f>
        <v>#REF!</v>
      </c>
      <c r="BU25" s="203" t="e">
        <f>+'SEMANA DEL 2 AL 7-3-26'!BU32+'SEMANA DEL 7 AL 14'!BU36+'SEMANA DEL 14 AL 21 '!BU36+'SEMANA DEL 21AL 28-3'!BU35+#REF!</f>
        <v>#REF!</v>
      </c>
      <c r="BV25" s="203" t="e">
        <f>+'SEMANA DEL 2 AL 7-3-26'!BV32+'SEMANA DEL 7 AL 14'!BV36+'SEMANA DEL 14 AL 21 '!BV36+'SEMANA DEL 21AL 28-3'!BV35+#REF!</f>
        <v>#REF!</v>
      </c>
      <c r="BW25" s="203" t="e">
        <f>+'SEMANA DEL 2 AL 7-3-26'!BW32+'SEMANA DEL 7 AL 14'!BW36+'SEMANA DEL 14 AL 21 '!BW36+'SEMANA DEL 21AL 28-3'!BW35+#REF!</f>
        <v>#REF!</v>
      </c>
      <c r="BX25" s="203" t="e">
        <f>+'SEMANA DEL 2 AL 7-3-26'!BX32+'SEMANA DEL 7 AL 14'!BX36+'SEMANA DEL 14 AL 21 '!BX36+'SEMANA DEL 21AL 28-3'!BX35+#REF!</f>
        <v>#REF!</v>
      </c>
      <c r="BY25" s="203" t="e">
        <f>+'SEMANA DEL 2 AL 7-3-26'!BY32+'SEMANA DEL 7 AL 14'!BY36+'SEMANA DEL 14 AL 21 '!BY36+'SEMANA DEL 21AL 28-3'!BY35+#REF!</f>
        <v>#REF!</v>
      </c>
      <c r="BZ25" s="203" t="e">
        <f>+'SEMANA DEL 2 AL 7-3-26'!BZ32+'SEMANA DEL 7 AL 14'!BZ36+'SEMANA DEL 14 AL 21 '!BZ36+'SEMANA DEL 21AL 28-3'!BZ35+#REF!</f>
        <v>#REF!</v>
      </c>
      <c r="CA25" s="203" t="e">
        <f>+'SEMANA DEL 2 AL 7-3-26'!CA32+'SEMANA DEL 7 AL 14'!CA36+'SEMANA DEL 14 AL 21 '!CA36+'SEMANA DEL 21AL 28-3'!CA35+#REF!</f>
        <v>#REF!</v>
      </c>
      <c r="CB25" s="203" t="e">
        <f>+'SEMANA DEL 2 AL 7-3-26'!CB32+'SEMANA DEL 7 AL 14'!CB36+'SEMANA DEL 14 AL 21 '!CB36+'SEMANA DEL 21AL 28-3'!CB35+#REF!</f>
        <v>#REF!</v>
      </c>
      <c r="CC25" s="203" t="e">
        <f>+'SEMANA DEL 2 AL 7-3-26'!CC32+'SEMANA DEL 7 AL 14'!CC36+'SEMANA DEL 14 AL 21 '!CC36+'SEMANA DEL 21AL 28-3'!CC35+#REF!</f>
        <v>#REF!</v>
      </c>
      <c r="CD25" s="203" t="e">
        <f>+'SEMANA DEL 2 AL 7-3-26'!CD32+'SEMANA DEL 7 AL 14'!CD36+'SEMANA DEL 14 AL 21 '!CD36+'SEMANA DEL 21AL 28-3'!CD35+#REF!</f>
        <v>#REF!</v>
      </c>
      <c r="CE25" s="203" t="e">
        <f>+'SEMANA DEL 2 AL 7-3-26'!CE32+'SEMANA DEL 7 AL 14'!CE36+'SEMANA DEL 14 AL 21 '!CE36+'SEMANA DEL 21AL 28-3'!CE35+#REF!</f>
        <v>#REF!</v>
      </c>
      <c r="CF25" s="203" t="e">
        <f>+'SEMANA DEL 2 AL 7-3-26'!CF32+'SEMANA DEL 7 AL 14'!CF36+'SEMANA DEL 14 AL 21 '!CF36+'SEMANA DEL 21AL 28-3'!CF35+#REF!</f>
        <v>#REF!</v>
      </c>
      <c r="CG25" s="203" t="e">
        <f>+'SEMANA DEL 2 AL 7-3-26'!CG32+'SEMANA DEL 7 AL 14'!CG36+'SEMANA DEL 14 AL 21 '!CG36+'SEMANA DEL 21AL 28-3'!CG35+#REF!</f>
        <v>#REF!</v>
      </c>
      <c r="CH25" s="203" t="e">
        <f>+'SEMANA DEL 2 AL 7-3-26'!CH32+'SEMANA DEL 7 AL 14'!CH36+'SEMANA DEL 14 AL 21 '!CH36+'SEMANA DEL 21AL 28-3'!CH35+#REF!</f>
        <v>#REF!</v>
      </c>
      <c r="CI25" s="203" t="e">
        <f>+'SEMANA DEL 2 AL 7-3-26'!CI32+'SEMANA DEL 7 AL 14'!CI36+'SEMANA DEL 14 AL 21 '!CI36+'SEMANA DEL 21AL 28-3'!CI35+#REF!</f>
        <v>#REF!</v>
      </c>
    </row>
    <row r="26" spans="1:93" x14ac:dyDescent="0.2">
      <c r="A26" s="34" t="e">
        <f>+'SEMANA DEL 2 AL 7-3-26'!#REF!</f>
        <v>#REF!</v>
      </c>
      <c r="B26" s="203" t="e">
        <f>+'SEMANA DEL 2 AL 7-3-26'!#REF!</f>
        <v>#REF!</v>
      </c>
      <c r="C26" s="203" t="e">
        <f>+'SEMANA DEL 2 AL 7-3-26'!#REF!</f>
        <v>#REF!</v>
      </c>
      <c r="D26" s="203" t="e">
        <f>+'SEMANA DEL 2 AL 7-3-26'!#REF!</f>
        <v>#REF!</v>
      </c>
      <c r="E26" s="203" t="e">
        <f>+'SEMANA DEL 2 AL 7-3-26'!#REF!</f>
        <v>#REF!</v>
      </c>
      <c r="F26" s="203" t="e">
        <f>+'SEMANA DEL 2 AL 7-3-26'!#REF!</f>
        <v>#REF!</v>
      </c>
      <c r="G26" s="203" t="e">
        <f>+'SEMANA DEL 2 AL 7-3-26'!#REF!</f>
        <v>#REF!</v>
      </c>
      <c r="H26" s="203" t="e">
        <f>+'SEMANA DEL 2 AL 7-3-26'!#REF!</f>
        <v>#REF!</v>
      </c>
      <c r="I26" s="203" t="e">
        <f>+'SEMANA DEL 2 AL 7-3-26'!#REF!</f>
        <v>#REF!</v>
      </c>
      <c r="J26" s="203" t="e">
        <f>+'SEMANA DEL 2 AL 7-3-26'!#REF!</f>
        <v>#REF!</v>
      </c>
      <c r="K26" s="203" t="e">
        <f>+'SEMANA DEL 2 AL 7-3-26'!#REF!</f>
        <v>#REF!</v>
      </c>
      <c r="L26" s="203" t="e">
        <f>+'SEMANA DEL 2 AL 7-3-26'!#REF!</f>
        <v>#REF!</v>
      </c>
      <c r="M26" s="203" t="e">
        <f>+'SEMANA DEL 2 AL 7-3-26'!#REF!</f>
        <v>#REF!</v>
      </c>
      <c r="N26" s="203" t="e">
        <f>+'SEMANA DEL 2 AL 7-3-26'!#REF!</f>
        <v>#REF!</v>
      </c>
      <c r="O26" s="203" t="e">
        <f>+'SEMANA DEL 2 AL 7-3-26'!#REF!</f>
        <v>#REF!</v>
      </c>
      <c r="P26" s="203" t="e">
        <f>+'SEMANA DEL 2 AL 7-3-26'!#REF!</f>
        <v>#REF!</v>
      </c>
      <c r="Q26" s="203" t="e">
        <f>+'SEMANA DEL 2 AL 7-3-26'!#REF!</f>
        <v>#REF!</v>
      </c>
      <c r="R26" s="203" t="e">
        <f>+'SEMANA DEL 2 AL 7-3-26'!R34+'SEMANA DEL 7 AL 14'!R38+'SEMANA DEL 14 AL 21 '!R38+'SEMANA DEL 21AL 28-3'!R39+#REF!</f>
        <v>#REF!</v>
      </c>
      <c r="S26" s="203" t="e">
        <f>+'SEMANA DEL 2 AL 7-3-26'!S34+'SEMANA DEL 7 AL 14'!S38+'SEMANA DEL 14 AL 21 '!S38+'SEMANA DEL 21AL 28-3'!S39+#REF!</f>
        <v>#REF!</v>
      </c>
      <c r="T26" s="203" t="e">
        <f>+'SEMANA DEL 2 AL 7-3-26'!T34+'SEMANA DEL 7 AL 14'!T38+'SEMANA DEL 14 AL 21 '!T38+'SEMANA DEL 21AL 28-3'!T39+#REF!</f>
        <v>#REF!</v>
      </c>
      <c r="U26" s="203" t="e">
        <f>+'SEMANA DEL 2 AL 7-3-26'!U34+'SEMANA DEL 7 AL 14'!U38+'SEMANA DEL 14 AL 21 '!U38+'SEMANA DEL 21AL 28-3'!U39+#REF!</f>
        <v>#REF!</v>
      </c>
      <c r="V26" s="203" t="e">
        <f>+'SEMANA DEL 2 AL 7-3-26'!V34+'SEMANA DEL 7 AL 14'!V38+'SEMANA DEL 14 AL 21 '!V38+'SEMANA DEL 21AL 28-3'!V39+#REF!</f>
        <v>#REF!</v>
      </c>
      <c r="W26" s="203" t="e">
        <f>+'SEMANA DEL 2 AL 7-3-26'!W34+'SEMANA DEL 7 AL 14'!W38+'SEMANA DEL 14 AL 21 '!W38+'SEMANA DEL 21AL 28-3'!W39+#REF!</f>
        <v>#REF!</v>
      </c>
      <c r="X26" s="203" t="e">
        <f>+'SEMANA DEL 2 AL 7-3-26'!X34+'SEMANA DEL 7 AL 14'!X38+'SEMANA DEL 14 AL 21 '!X38+'SEMANA DEL 21AL 28-3'!X39+#REF!</f>
        <v>#REF!</v>
      </c>
      <c r="Y26" s="203" t="e">
        <f>+'SEMANA DEL 2 AL 7-3-26'!Y34+'SEMANA DEL 7 AL 14'!Y38+'SEMANA DEL 14 AL 21 '!Y38+'SEMANA DEL 21AL 28-3'!Y39+#REF!</f>
        <v>#REF!</v>
      </c>
      <c r="Z26" s="203" t="e">
        <f>+'SEMANA DEL 2 AL 7-3-26'!Z34+'SEMANA DEL 7 AL 14'!Z38+'SEMANA DEL 14 AL 21 '!Z38+'SEMANA DEL 21AL 28-3'!Z39+#REF!</f>
        <v>#REF!</v>
      </c>
      <c r="AA26" s="203" t="e">
        <f>+'SEMANA DEL 2 AL 7-3-26'!AA34+'SEMANA DEL 7 AL 14'!AA38+'SEMANA DEL 14 AL 21 '!AA38+'SEMANA DEL 21AL 28-3'!AA39+#REF!</f>
        <v>#REF!</v>
      </c>
      <c r="AB26" s="203" t="e">
        <f>+'SEMANA DEL 2 AL 7-3-26'!AB34+'SEMANA DEL 7 AL 14'!AB38+'SEMANA DEL 14 AL 21 '!AB38+'SEMANA DEL 21AL 28-3'!AB39+#REF!</f>
        <v>#REF!</v>
      </c>
      <c r="AC26" s="203" t="e">
        <f>+'SEMANA DEL 2 AL 7-3-26'!AC34+'SEMANA DEL 7 AL 14'!AC38+'SEMANA DEL 14 AL 21 '!AC38+'SEMANA DEL 21AL 28-3'!AC39+#REF!</f>
        <v>#REF!</v>
      </c>
      <c r="AD26" s="203" t="e">
        <f>+'SEMANA DEL 2 AL 7-3-26'!AD34+'SEMANA DEL 7 AL 14'!AD38+'SEMANA DEL 14 AL 21 '!AD38+'SEMANA DEL 21AL 28-3'!AD39+#REF!</f>
        <v>#REF!</v>
      </c>
      <c r="AE26" s="203" t="e">
        <f>+'SEMANA DEL 2 AL 7-3-26'!AE34+'SEMANA DEL 7 AL 14'!AE38+'SEMANA DEL 14 AL 21 '!AE38+'SEMANA DEL 21AL 28-3'!AE39+#REF!</f>
        <v>#REF!</v>
      </c>
      <c r="AF26" s="203" t="e">
        <f>+'SEMANA DEL 2 AL 7-3-26'!AF34+'SEMANA DEL 7 AL 14'!AF38+'SEMANA DEL 14 AL 21 '!AF38+'SEMANA DEL 21AL 28-3'!AF39+#REF!</f>
        <v>#REF!</v>
      </c>
      <c r="AG26" s="203" t="e">
        <f>+'SEMANA DEL 2 AL 7-3-26'!AG34+'SEMANA DEL 7 AL 14'!AG38+'SEMANA DEL 14 AL 21 '!AG38+'SEMANA DEL 21AL 28-3'!AG39+#REF!</f>
        <v>#REF!</v>
      </c>
      <c r="AH26" s="203" t="e">
        <f>+'SEMANA DEL 2 AL 7-3-26'!AH34+'SEMANA DEL 7 AL 14'!AH38+'SEMANA DEL 14 AL 21 '!AH38+'SEMANA DEL 21AL 28-3'!AH39+#REF!</f>
        <v>#REF!</v>
      </c>
      <c r="AI26" s="203" t="e">
        <f>+'SEMANA DEL 2 AL 7-3-26'!AI34+'SEMANA DEL 7 AL 14'!AI38+'SEMANA DEL 14 AL 21 '!AI38+'SEMANA DEL 21AL 28-3'!AI39+#REF!</f>
        <v>#REF!</v>
      </c>
      <c r="AJ26" s="203" t="e">
        <f>+'SEMANA DEL 2 AL 7-3-26'!AJ34+'SEMANA DEL 7 AL 14'!AJ38+'SEMANA DEL 14 AL 21 '!AJ38+'SEMANA DEL 21AL 28-3'!AJ39+#REF!</f>
        <v>#REF!</v>
      </c>
      <c r="AK26" s="203" t="e">
        <f>+'SEMANA DEL 2 AL 7-3-26'!AK34+'SEMANA DEL 7 AL 14'!AK38+'SEMANA DEL 14 AL 21 '!AK38+'SEMANA DEL 21AL 28-3'!AK39+#REF!</f>
        <v>#REF!</v>
      </c>
      <c r="AL26" s="203" t="e">
        <f>+'SEMANA DEL 2 AL 7-3-26'!AL34+'SEMANA DEL 7 AL 14'!AL38+'SEMANA DEL 14 AL 21 '!AL38+'SEMANA DEL 21AL 28-3'!AL39+#REF!</f>
        <v>#REF!</v>
      </c>
      <c r="AM26" s="203" t="e">
        <f>+'SEMANA DEL 2 AL 7-3-26'!AM34+'SEMANA DEL 7 AL 14'!AM38+'SEMANA DEL 14 AL 21 '!AM38+'SEMANA DEL 21AL 28-3'!AM39+#REF!</f>
        <v>#REF!</v>
      </c>
      <c r="AN26" s="203" t="e">
        <f>+'SEMANA DEL 2 AL 7-3-26'!AN34+'SEMANA DEL 7 AL 14'!AN38+'SEMANA DEL 14 AL 21 '!AN38+'SEMANA DEL 21AL 28-3'!AN39+#REF!</f>
        <v>#REF!</v>
      </c>
      <c r="AO26" s="203" t="e">
        <f>+'SEMANA DEL 2 AL 7-3-26'!AO34+'SEMANA DEL 7 AL 14'!AO38+'SEMANA DEL 14 AL 21 '!AO38+'SEMANA DEL 21AL 28-3'!AO39+#REF!</f>
        <v>#REF!</v>
      </c>
      <c r="AP26" s="203" t="e">
        <f>+'SEMANA DEL 2 AL 7-3-26'!AP34+'SEMANA DEL 7 AL 14'!AP38+'SEMANA DEL 14 AL 21 '!AP38+'SEMANA DEL 21AL 28-3'!AP39+#REF!</f>
        <v>#REF!</v>
      </c>
      <c r="AQ26" s="203" t="e">
        <f>+'SEMANA DEL 2 AL 7-3-26'!AQ34+'SEMANA DEL 7 AL 14'!AQ38+'SEMANA DEL 14 AL 21 '!AQ38+'SEMANA DEL 21AL 28-3'!AQ39+#REF!</f>
        <v>#REF!</v>
      </c>
      <c r="AR26" s="203" t="e">
        <f>+'SEMANA DEL 2 AL 7-3-26'!AR34+'SEMANA DEL 7 AL 14'!AR38+'SEMANA DEL 14 AL 21 '!AR38+'SEMANA DEL 21AL 28-3'!AR39+#REF!</f>
        <v>#REF!</v>
      </c>
      <c r="AS26" s="203" t="e">
        <f>+'SEMANA DEL 2 AL 7-3-26'!AS34+'SEMANA DEL 7 AL 14'!AS38+'SEMANA DEL 14 AL 21 '!AS38+'SEMANA DEL 21AL 28-3'!AS39+#REF!</f>
        <v>#REF!</v>
      </c>
      <c r="AT26" s="203" t="e">
        <f>+'SEMANA DEL 2 AL 7-3-26'!AT34+'SEMANA DEL 7 AL 14'!AT38+'SEMANA DEL 14 AL 21 '!AT38+'SEMANA DEL 21AL 28-3'!AT39+#REF!</f>
        <v>#REF!</v>
      </c>
      <c r="AU26" s="203" t="e">
        <f>+'SEMANA DEL 2 AL 7-3-26'!AU34+'SEMANA DEL 7 AL 14'!AU38+'SEMANA DEL 14 AL 21 '!AU38+'SEMANA DEL 21AL 28-3'!AU39+#REF!</f>
        <v>#REF!</v>
      </c>
      <c r="AV26" s="203" t="e">
        <f>+'SEMANA DEL 2 AL 7-3-26'!AV34+'SEMANA DEL 7 AL 14'!AV38+'SEMANA DEL 14 AL 21 '!AV38+'SEMANA DEL 21AL 28-3'!AV39+#REF!</f>
        <v>#REF!</v>
      </c>
      <c r="AW26" s="203" t="e">
        <f>+'SEMANA DEL 2 AL 7-3-26'!AW34+'SEMANA DEL 7 AL 14'!AW38+'SEMANA DEL 14 AL 21 '!AW38+'SEMANA DEL 21AL 28-3'!AW39+#REF!</f>
        <v>#REF!</v>
      </c>
      <c r="AX26" s="203" t="e">
        <f t="shared" si="1"/>
        <v>#REF!</v>
      </c>
      <c r="AY26" s="203" t="e">
        <f t="shared" si="2"/>
        <v>#REF!</v>
      </c>
      <c r="AZ26" s="203" t="e">
        <f t="shared" si="3"/>
        <v>#REF!</v>
      </c>
      <c r="BA26" s="203" t="e">
        <f t="shared" si="4"/>
        <v>#REF!</v>
      </c>
      <c r="BB26" s="203" t="e">
        <f t="shared" si="5"/>
        <v>#REF!</v>
      </c>
      <c r="BC26" s="203" t="e">
        <f t="shared" si="6"/>
        <v>#REF!</v>
      </c>
      <c r="BD26" s="203" t="e">
        <f t="shared" si="7"/>
        <v>#REF!</v>
      </c>
      <c r="BE26" s="203" t="e">
        <f t="shared" si="8"/>
        <v>#REF!</v>
      </c>
      <c r="BF26" s="203" t="e">
        <f t="shared" si="9"/>
        <v>#REF!</v>
      </c>
      <c r="BG26" s="203" t="e">
        <f t="shared" si="10"/>
        <v>#REF!</v>
      </c>
      <c r="BH26" s="203" t="e">
        <f t="shared" si="11"/>
        <v>#REF!</v>
      </c>
      <c r="BI26" s="203" t="e">
        <f t="shared" si="12"/>
        <v>#REF!</v>
      </c>
      <c r="BJ26" s="203" t="e">
        <f t="shared" si="13"/>
        <v>#REF!</v>
      </c>
      <c r="BK26" s="203" t="e">
        <f t="shared" si="14"/>
        <v>#REF!</v>
      </c>
      <c r="BL26" s="203" t="e">
        <f t="shared" si="15"/>
        <v>#REF!</v>
      </c>
      <c r="BM26" s="203" t="e">
        <f t="shared" si="16"/>
        <v>#REF!</v>
      </c>
      <c r="BN26" s="203" t="e">
        <f>+'SEMANA DEL 2 AL 7-3-26'!BN34+'SEMANA DEL 7 AL 14'!BN38+'SEMANA DEL 14 AL 21 '!BN38+'SEMANA DEL 21AL 28-3'!BN39+#REF!</f>
        <v>#REF!</v>
      </c>
      <c r="BO26" s="203" t="e">
        <f>+'SEMANA DEL 2 AL 7-3-26'!BO34+'SEMANA DEL 7 AL 14'!BO38+'SEMANA DEL 14 AL 21 '!BO38+'SEMANA DEL 21AL 28-3'!BO39+#REF!</f>
        <v>#REF!</v>
      </c>
      <c r="BP26" s="203" t="e">
        <f>+'SEMANA DEL 2 AL 7-3-26'!BP34+'SEMANA DEL 7 AL 14'!BP38+'SEMANA DEL 14 AL 21 '!BP38+'SEMANA DEL 21AL 28-3'!BP39+#REF!</f>
        <v>#REF!</v>
      </c>
      <c r="BQ26" s="203" t="e">
        <f>+'SEMANA DEL 2 AL 7-3-26'!BQ34+'SEMANA DEL 7 AL 14'!BQ38+'SEMANA DEL 14 AL 21 '!BQ38+'SEMANA DEL 21AL 28-3'!BQ39+#REF!</f>
        <v>#REF!</v>
      </c>
      <c r="BR26" s="203" t="e">
        <f>+'SEMANA DEL 2 AL 7-3-26'!BR34+'SEMANA DEL 7 AL 14'!BR38+'SEMANA DEL 14 AL 21 '!BR38+'SEMANA DEL 21AL 28-3'!BR39+#REF!</f>
        <v>#REF!</v>
      </c>
      <c r="BS26" s="203" t="e">
        <f>+'SEMANA DEL 2 AL 7-3-26'!BS34+'SEMANA DEL 7 AL 14'!BS38+'SEMANA DEL 14 AL 21 '!BS38+'SEMANA DEL 21AL 28-3'!BS39+#REF!</f>
        <v>#REF!</v>
      </c>
      <c r="BT26" s="203" t="e">
        <f>+'SEMANA DEL 2 AL 7-3-26'!BT34+'SEMANA DEL 7 AL 14'!BT38+'SEMANA DEL 14 AL 21 '!BT38+'SEMANA DEL 21AL 28-3'!BT39+#REF!</f>
        <v>#REF!</v>
      </c>
      <c r="BU26" s="203" t="e">
        <f>+'SEMANA DEL 2 AL 7-3-26'!BU34+'SEMANA DEL 7 AL 14'!BU38+'SEMANA DEL 14 AL 21 '!BU38+'SEMANA DEL 21AL 28-3'!BU39+#REF!</f>
        <v>#REF!</v>
      </c>
      <c r="BV26" s="203" t="e">
        <f>+'SEMANA DEL 2 AL 7-3-26'!BV34+'SEMANA DEL 7 AL 14'!BV38+'SEMANA DEL 14 AL 21 '!BV38+'SEMANA DEL 21AL 28-3'!BV39+#REF!</f>
        <v>#REF!</v>
      </c>
      <c r="BW26" s="203" t="e">
        <f>+'SEMANA DEL 2 AL 7-3-26'!BW34+'SEMANA DEL 7 AL 14'!BW38+'SEMANA DEL 14 AL 21 '!BW38+'SEMANA DEL 21AL 28-3'!BW39+#REF!</f>
        <v>#REF!</v>
      </c>
      <c r="BX26" s="203" t="e">
        <f>+'SEMANA DEL 2 AL 7-3-26'!BX34+'SEMANA DEL 7 AL 14'!BX38+'SEMANA DEL 14 AL 21 '!BX38+'SEMANA DEL 21AL 28-3'!BX39+#REF!</f>
        <v>#REF!</v>
      </c>
      <c r="BY26" s="203" t="e">
        <f>+'SEMANA DEL 2 AL 7-3-26'!BY34+'SEMANA DEL 7 AL 14'!BY38+'SEMANA DEL 14 AL 21 '!BY38+'SEMANA DEL 21AL 28-3'!BY39+#REF!</f>
        <v>#REF!</v>
      </c>
      <c r="BZ26" s="203" t="e">
        <f>+'SEMANA DEL 2 AL 7-3-26'!BZ34+'SEMANA DEL 7 AL 14'!BZ38+'SEMANA DEL 14 AL 21 '!BZ38+'SEMANA DEL 21AL 28-3'!BZ39+#REF!</f>
        <v>#REF!</v>
      </c>
      <c r="CA26" s="203" t="e">
        <f>+'SEMANA DEL 2 AL 7-3-26'!CA34+'SEMANA DEL 7 AL 14'!CA38+'SEMANA DEL 14 AL 21 '!CA38+'SEMANA DEL 21AL 28-3'!CA39+#REF!</f>
        <v>#REF!</v>
      </c>
      <c r="CB26" s="203" t="e">
        <f>+'SEMANA DEL 2 AL 7-3-26'!CB34+'SEMANA DEL 7 AL 14'!CB38+'SEMANA DEL 14 AL 21 '!CB38+'SEMANA DEL 21AL 28-3'!CB39+#REF!</f>
        <v>#REF!</v>
      </c>
      <c r="CC26" s="203" t="e">
        <f>+'SEMANA DEL 2 AL 7-3-26'!CC34+'SEMANA DEL 7 AL 14'!CC38+'SEMANA DEL 14 AL 21 '!CC38+'SEMANA DEL 21AL 28-3'!CC39+#REF!</f>
        <v>#REF!</v>
      </c>
      <c r="CD26" s="203" t="e">
        <f>+'SEMANA DEL 2 AL 7-3-26'!CD34+'SEMANA DEL 7 AL 14'!CD38+'SEMANA DEL 14 AL 21 '!CD38+'SEMANA DEL 21AL 28-3'!CD39+#REF!</f>
        <v>#REF!</v>
      </c>
      <c r="CE26" s="203" t="e">
        <f>+'SEMANA DEL 2 AL 7-3-26'!CE34+'SEMANA DEL 7 AL 14'!CE38+'SEMANA DEL 14 AL 21 '!CE38+'SEMANA DEL 21AL 28-3'!CE39+#REF!</f>
        <v>#REF!</v>
      </c>
      <c r="CF26" s="203" t="e">
        <f>+'SEMANA DEL 2 AL 7-3-26'!CF34+'SEMANA DEL 7 AL 14'!CF38+'SEMANA DEL 14 AL 21 '!CF38+'SEMANA DEL 21AL 28-3'!CF39+#REF!</f>
        <v>#REF!</v>
      </c>
      <c r="CG26" s="203" t="e">
        <f>+'SEMANA DEL 2 AL 7-3-26'!CG34+'SEMANA DEL 7 AL 14'!CG38+'SEMANA DEL 14 AL 21 '!CG38+'SEMANA DEL 21AL 28-3'!CG39+#REF!</f>
        <v>#REF!</v>
      </c>
      <c r="CH26" s="203" t="e">
        <f>+'SEMANA DEL 2 AL 7-3-26'!CH34+'SEMANA DEL 7 AL 14'!CH38+'SEMANA DEL 14 AL 21 '!CH38+'SEMANA DEL 21AL 28-3'!CH39+#REF!</f>
        <v>#REF!</v>
      </c>
      <c r="CI26" s="203" t="e">
        <f>+'SEMANA DEL 2 AL 7-3-26'!CI34+'SEMANA DEL 7 AL 14'!CI38+'SEMANA DEL 14 AL 21 '!CI38+'SEMANA DEL 21AL 28-3'!CI39+#REF!</f>
        <v>#REF!</v>
      </c>
    </row>
    <row r="27" spans="1:93" x14ac:dyDescent="0.2">
      <c r="A27" s="34" t="e">
        <f>+'SEMANA DEL 2 AL 7-3-26'!#REF!</f>
        <v>#REF!</v>
      </c>
      <c r="B27" s="203" t="e">
        <f>+'SEMANA DEL 2 AL 7-3-26'!#REF!</f>
        <v>#REF!</v>
      </c>
      <c r="C27" s="203" t="e">
        <f>+'SEMANA DEL 2 AL 7-3-26'!#REF!</f>
        <v>#REF!</v>
      </c>
      <c r="D27" s="203" t="e">
        <f>+'SEMANA DEL 2 AL 7-3-26'!#REF!</f>
        <v>#REF!</v>
      </c>
      <c r="E27" s="203" t="e">
        <f>+'SEMANA DEL 2 AL 7-3-26'!#REF!</f>
        <v>#REF!</v>
      </c>
      <c r="F27" s="203" t="e">
        <f>+'SEMANA DEL 2 AL 7-3-26'!#REF!</f>
        <v>#REF!</v>
      </c>
      <c r="G27" s="203" t="e">
        <f>+'SEMANA DEL 2 AL 7-3-26'!#REF!</f>
        <v>#REF!</v>
      </c>
      <c r="H27" s="203" t="e">
        <f>+'SEMANA DEL 2 AL 7-3-26'!#REF!</f>
        <v>#REF!</v>
      </c>
      <c r="I27" s="203" t="e">
        <f>+'SEMANA DEL 2 AL 7-3-26'!#REF!</f>
        <v>#REF!</v>
      </c>
      <c r="J27" s="203" t="e">
        <f>+'SEMANA DEL 2 AL 7-3-26'!#REF!</f>
        <v>#REF!</v>
      </c>
      <c r="K27" s="203" t="e">
        <f>+'SEMANA DEL 2 AL 7-3-26'!#REF!</f>
        <v>#REF!</v>
      </c>
      <c r="L27" s="203" t="e">
        <f>+'SEMANA DEL 2 AL 7-3-26'!#REF!</f>
        <v>#REF!</v>
      </c>
      <c r="M27" s="203" t="e">
        <f>+'SEMANA DEL 2 AL 7-3-26'!#REF!</f>
        <v>#REF!</v>
      </c>
      <c r="N27" s="203" t="e">
        <f>+'SEMANA DEL 2 AL 7-3-26'!#REF!</f>
        <v>#REF!</v>
      </c>
      <c r="O27" s="203" t="e">
        <f>+'SEMANA DEL 2 AL 7-3-26'!#REF!</f>
        <v>#REF!</v>
      </c>
      <c r="P27" s="203" t="e">
        <f>+'SEMANA DEL 2 AL 7-3-26'!#REF!</f>
        <v>#REF!</v>
      </c>
      <c r="Q27" s="203" t="e">
        <f>+'SEMANA DEL 2 AL 7-3-26'!#REF!</f>
        <v>#REF!</v>
      </c>
      <c r="R27" s="203" t="e">
        <f>+'SEMANA DEL 2 AL 7-3-26'!R35+'SEMANA DEL 7 AL 14'!R39+'SEMANA DEL 14 AL 21 '!R39+'SEMANA DEL 21AL 28-3'!R40+#REF!</f>
        <v>#REF!</v>
      </c>
      <c r="S27" s="203" t="e">
        <f>+'SEMANA DEL 2 AL 7-3-26'!S35+'SEMANA DEL 7 AL 14'!S39+'SEMANA DEL 14 AL 21 '!S39+'SEMANA DEL 21AL 28-3'!S40+#REF!</f>
        <v>#REF!</v>
      </c>
      <c r="T27" s="203" t="e">
        <f>+'SEMANA DEL 2 AL 7-3-26'!T35+'SEMANA DEL 7 AL 14'!T39+'SEMANA DEL 14 AL 21 '!T39+'SEMANA DEL 21AL 28-3'!T40+#REF!</f>
        <v>#REF!</v>
      </c>
      <c r="U27" s="203" t="e">
        <f>+'SEMANA DEL 2 AL 7-3-26'!U35+'SEMANA DEL 7 AL 14'!U39+'SEMANA DEL 14 AL 21 '!U39+'SEMANA DEL 21AL 28-3'!U40+#REF!</f>
        <v>#REF!</v>
      </c>
      <c r="V27" s="203" t="e">
        <f>+'SEMANA DEL 2 AL 7-3-26'!V35+'SEMANA DEL 7 AL 14'!V39+'SEMANA DEL 14 AL 21 '!V39+'SEMANA DEL 21AL 28-3'!V40+#REF!</f>
        <v>#REF!</v>
      </c>
      <c r="W27" s="203" t="e">
        <f>+'SEMANA DEL 2 AL 7-3-26'!W35+'SEMANA DEL 7 AL 14'!W39+'SEMANA DEL 14 AL 21 '!W39+'SEMANA DEL 21AL 28-3'!W40+#REF!</f>
        <v>#REF!</v>
      </c>
      <c r="X27" s="203" t="e">
        <f>+'SEMANA DEL 2 AL 7-3-26'!X35+'SEMANA DEL 7 AL 14'!X39+'SEMANA DEL 14 AL 21 '!X39+'SEMANA DEL 21AL 28-3'!X40+#REF!</f>
        <v>#REF!</v>
      </c>
      <c r="Y27" s="203" t="e">
        <f>+'SEMANA DEL 2 AL 7-3-26'!Y35+'SEMANA DEL 7 AL 14'!Y39+'SEMANA DEL 14 AL 21 '!Y39+'SEMANA DEL 21AL 28-3'!Y40+#REF!</f>
        <v>#REF!</v>
      </c>
      <c r="Z27" s="203" t="e">
        <f>+'SEMANA DEL 2 AL 7-3-26'!Z35+'SEMANA DEL 7 AL 14'!Z39+'SEMANA DEL 14 AL 21 '!Z39+'SEMANA DEL 21AL 28-3'!Z40+#REF!</f>
        <v>#REF!</v>
      </c>
      <c r="AA27" s="203" t="e">
        <f>+'SEMANA DEL 2 AL 7-3-26'!AA35+'SEMANA DEL 7 AL 14'!AA39+'SEMANA DEL 14 AL 21 '!AA39+'SEMANA DEL 21AL 28-3'!AA40+#REF!</f>
        <v>#REF!</v>
      </c>
      <c r="AB27" s="203" t="e">
        <f>+'SEMANA DEL 2 AL 7-3-26'!AB35+'SEMANA DEL 7 AL 14'!AB39+'SEMANA DEL 14 AL 21 '!AB39+'SEMANA DEL 21AL 28-3'!AB40+#REF!</f>
        <v>#REF!</v>
      </c>
      <c r="AC27" s="203" t="e">
        <f>+'SEMANA DEL 2 AL 7-3-26'!AC35+'SEMANA DEL 7 AL 14'!AC39+'SEMANA DEL 14 AL 21 '!AC39+'SEMANA DEL 21AL 28-3'!AC40+#REF!</f>
        <v>#REF!</v>
      </c>
      <c r="AD27" s="203" t="e">
        <f>+'SEMANA DEL 2 AL 7-3-26'!AD35+'SEMANA DEL 7 AL 14'!AD39+'SEMANA DEL 14 AL 21 '!AD39+'SEMANA DEL 21AL 28-3'!AD40+#REF!</f>
        <v>#REF!</v>
      </c>
      <c r="AE27" s="203" t="e">
        <f>+'SEMANA DEL 2 AL 7-3-26'!AE35+'SEMANA DEL 7 AL 14'!AE39+'SEMANA DEL 14 AL 21 '!AE39+'SEMANA DEL 21AL 28-3'!AE40+#REF!</f>
        <v>#REF!</v>
      </c>
      <c r="AF27" s="203" t="e">
        <f>+'SEMANA DEL 2 AL 7-3-26'!AF35+'SEMANA DEL 7 AL 14'!AF39+'SEMANA DEL 14 AL 21 '!AF39+'SEMANA DEL 21AL 28-3'!AF40+#REF!</f>
        <v>#REF!</v>
      </c>
      <c r="AG27" s="203" t="e">
        <f>+'SEMANA DEL 2 AL 7-3-26'!AG35+'SEMANA DEL 7 AL 14'!AG39+'SEMANA DEL 14 AL 21 '!AG39+'SEMANA DEL 21AL 28-3'!AG40+#REF!</f>
        <v>#REF!</v>
      </c>
      <c r="AH27" s="203" t="e">
        <f>+'SEMANA DEL 2 AL 7-3-26'!AH35+'SEMANA DEL 7 AL 14'!AH39+'SEMANA DEL 14 AL 21 '!AH39+'SEMANA DEL 21AL 28-3'!AH40+#REF!</f>
        <v>#REF!</v>
      </c>
      <c r="AI27" s="203" t="e">
        <f>+'SEMANA DEL 2 AL 7-3-26'!AI35+'SEMANA DEL 7 AL 14'!AI39+'SEMANA DEL 14 AL 21 '!AI39+'SEMANA DEL 21AL 28-3'!AI40+#REF!</f>
        <v>#REF!</v>
      </c>
      <c r="AJ27" s="203" t="e">
        <f>+'SEMANA DEL 2 AL 7-3-26'!AJ35+'SEMANA DEL 7 AL 14'!AJ39+'SEMANA DEL 14 AL 21 '!AJ39+'SEMANA DEL 21AL 28-3'!AJ40+#REF!</f>
        <v>#REF!</v>
      </c>
      <c r="AK27" s="203" t="e">
        <f>+'SEMANA DEL 2 AL 7-3-26'!AK35+'SEMANA DEL 7 AL 14'!AK39+'SEMANA DEL 14 AL 21 '!AK39+'SEMANA DEL 21AL 28-3'!AK40+#REF!</f>
        <v>#REF!</v>
      </c>
      <c r="AL27" s="203" t="e">
        <f>+'SEMANA DEL 2 AL 7-3-26'!AL35+'SEMANA DEL 7 AL 14'!AL39+'SEMANA DEL 14 AL 21 '!AL39+'SEMANA DEL 21AL 28-3'!AL40+#REF!</f>
        <v>#REF!</v>
      </c>
      <c r="AM27" s="203" t="e">
        <f>+'SEMANA DEL 2 AL 7-3-26'!AM35+'SEMANA DEL 7 AL 14'!AM39+'SEMANA DEL 14 AL 21 '!AM39+'SEMANA DEL 21AL 28-3'!AM40+#REF!</f>
        <v>#REF!</v>
      </c>
      <c r="AN27" s="203" t="e">
        <f>+'SEMANA DEL 2 AL 7-3-26'!AN35+'SEMANA DEL 7 AL 14'!AN39+'SEMANA DEL 14 AL 21 '!AN39+'SEMANA DEL 21AL 28-3'!AN40+#REF!</f>
        <v>#REF!</v>
      </c>
      <c r="AO27" s="203" t="e">
        <f>+'SEMANA DEL 2 AL 7-3-26'!AO35+'SEMANA DEL 7 AL 14'!AO39+'SEMANA DEL 14 AL 21 '!AO39+'SEMANA DEL 21AL 28-3'!AO40+#REF!</f>
        <v>#REF!</v>
      </c>
      <c r="AP27" s="203" t="e">
        <f>+'SEMANA DEL 2 AL 7-3-26'!AP35+'SEMANA DEL 7 AL 14'!AP39+'SEMANA DEL 14 AL 21 '!AP39+'SEMANA DEL 21AL 28-3'!AP40+#REF!</f>
        <v>#REF!</v>
      </c>
      <c r="AQ27" s="203" t="e">
        <f>+'SEMANA DEL 2 AL 7-3-26'!AQ35+'SEMANA DEL 7 AL 14'!AQ39+'SEMANA DEL 14 AL 21 '!AQ39+'SEMANA DEL 21AL 28-3'!AQ40+#REF!</f>
        <v>#REF!</v>
      </c>
      <c r="AR27" s="203" t="e">
        <f>+'SEMANA DEL 2 AL 7-3-26'!AR35+'SEMANA DEL 7 AL 14'!AR39+'SEMANA DEL 14 AL 21 '!AR39+'SEMANA DEL 21AL 28-3'!AR40+#REF!</f>
        <v>#REF!</v>
      </c>
      <c r="AS27" s="203" t="e">
        <f>+'SEMANA DEL 2 AL 7-3-26'!AS35+'SEMANA DEL 7 AL 14'!AS39+'SEMANA DEL 14 AL 21 '!AS39+'SEMANA DEL 21AL 28-3'!AS40+#REF!</f>
        <v>#REF!</v>
      </c>
      <c r="AT27" s="203" t="e">
        <f>+'SEMANA DEL 2 AL 7-3-26'!AT35+'SEMANA DEL 7 AL 14'!AT39+'SEMANA DEL 14 AL 21 '!AT39+'SEMANA DEL 21AL 28-3'!AT40+#REF!</f>
        <v>#REF!</v>
      </c>
      <c r="AU27" s="203" t="e">
        <f>+'SEMANA DEL 2 AL 7-3-26'!AU35+'SEMANA DEL 7 AL 14'!AU39+'SEMANA DEL 14 AL 21 '!AU39+'SEMANA DEL 21AL 28-3'!AU40+#REF!</f>
        <v>#REF!</v>
      </c>
      <c r="AV27" s="203" t="e">
        <f>+'SEMANA DEL 2 AL 7-3-26'!AV35+'SEMANA DEL 7 AL 14'!AV39+'SEMANA DEL 14 AL 21 '!AV39+'SEMANA DEL 21AL 28-3'!AV40+#REF!</f>
        <v>#REF!</v>
      </c>
      <c r="AW27" s="203" t="e">
        <f>+'SEMANA DEL 2 AL 7-3-26'!AW35+'SEMANA DEL 7 AL 14'!AW39+'SEMANA DEL 14 AL 21 '!AW39+'SEMANA DEL 21AL 28-3'!AW40+#REF!</f>
        <v>#REF!</v>
      </c>
      <c r="AX27" s="203" t="e">
        <f t="shared" si="1"/>
        <v>#REF!</v>
      </c>
      <c r="AY27" s="203" t="e">
        <f t="shared" si="2"/>
        <v>#REF!</v>
      </c>
      <c r="AZ27" s="203" t="e">
        <f t="shared" si="3"/>
        <v>#REF!</v>
      </c>
      <c r="BA27" s="203" t="e">
        <f t="shared" si="4"/>
        <v>#REF!</v>
      </c>
      <c r="BB27" s="203" t="e">
        <f t="shared" si="5"/>
        <v>#REF!</v>
      </c>
      <c r="BC27" s="203" t="e">
        <f t="shared" si="6"/>
        <v>#REF!</v>
      </c>
      <c r="BD27" s="203" t="e">
        <f t="shared" si="7"/>
        <v>#REF!</v>
      </c>
      <c r="BE27" s="203" t="e">
        <f t="shared" si="8"/>
        <v>#REF!</v>
      </c>
      <c r="BF27" s="203" t="e">
        <f t="shared" si="9"/>
        <v>#REF!</v>
      </c>
      <c r="BG27" s="203" t="e">
        <f t="shared" si="10"/>
        <v>#REF!</v>
      </c>
      <c r="BH27" s="203" t="e">
        <f t="shared" si="11"/>
        <v>#REF!</v>
      </c>
      <c r="BI27" s="203" t="e">
        <f t="shared" si="12"/>
        <v>#REF!</v>
      </c>
      <c r="BJ27" s="203" t="e">
        <f t="shared" si="13"/>
        <v>#REF!</v>
      </c>
      <c r="BK27" s="203" t="e">
        <f t="shared" si="14"/>
        <v>#REF!</v>
      </c>
      <c r="BL27" s="203" t="e">
        <f t="shared" si="15"/>
        <v>#REF!</v>
      </c>
      <c r="BM27" s="203" t="e">
        <f t="shared" si="16"/>
        <v>#REF!</v>
      </c>
      <c r="BN27" s="203" t="e">
        <f>+'SEMANA DEL 2 AL 7-3-26'!BN35+'SEMANA DEL 7 AL 14'!BN39+'SEMANA DEL 14 AL 21 '!BN39+'SEMANA DEL 21AL 28-3'!BN40+#REF!</f>
        <v>#REF!</v>
      </c>
      <c r="BO27" s="203" t="e">
        <f>+'SEMANA DEL 2 AL 7-3-26'!BO35+'SEMANA DEL 7 AL 14'!BO39+'SEMANA DEL 14 AL 21 '!BO39+'SEMANA DEL 21AL 28-3'!BO40+#REF!</f>
        <v>#REF!</v>
      </c>
      <c r="BP27" s="203" t="e">
        <f>+'SEMANA DEL 2 AL 7-3-26'!BP35+'SEMANA DEL 7 AL 14'!BP39+'SEMANA DEL 14 AL 21 '!BP39+'SEMANA DEL 21AL 28-3'!BP40+#REF!</f>
        <v>#REF!</v>
      </c>
      <c r="BQ27" s="203" t="e">
        <f>+'SEMANA DEL 2 AL 7-3-26'!BQ35+'SEMANA DEL 7 AL 14'!BQ39+'SEMANA DEL 14 AL 21 '!BQ39+'SEMANA DEL 21AL 28-3'!BQ40+#REF!</f>
        <v>#REF!</v>
      </c>
      <c r="BR27" s="203" t="e">
        <f>+'SEMANA DEL 2 AL 7-3-26'!BR35+'SEMANA DEL 7 AL 14'!BR39+'SEMANA DEL 14 AL 21 '!BR39+'SEMANA DEL 21AL 28-3'!BR40+#REF!</f>
        <v>#REF!</v>
      </c>
      <c r="BS27" s="203" t="e">
        <f>+'SEMANA DEL 2 AL 7-3-26'!BS35+'SEMANA DEL 7 AL 14'!BS39+'SEMANA DEL 14 AL 21 '!BS39+'SEMANA DEL 21AL 28-3'!BS40+#REF!</f>
        <v>#REF!</v>
      </c>
      <c r="BT27" s="203" t="e">
        <f>+'SEMANA DEL 2 AL 7-3-26'!BT35+'SEMANA DEL 7 AL 14'!BT39+'SEMANA DEL 14 AL 21 '!BT39+'SEMANA DEL 21AL 28-3'!BT40+#REF!</f>
        <v>#REF!</v>
      </c>
      <c r="BU27" s="203" t="e">
        <f>+'SEMANA DEL 2 AL 7-3-26'!BU35+'SEMANA DEL 7 AL 14'!BU39+'SEMANA DEL 14 AL 21 '!BU39+'SEMANA DEL 21AL 28-3'!BU40+#REF!</f>
        <v>#REF!</v>
      </c>
      <c r="BV27" s="203" t="e">
        <f>+'SEMANA DEL 2 AL 7-3-26'!BV35+'SEMANA DEL 7 AL 14'!BV39+'SEMANA DEL 14 AL 21 '!BV39+'SEMANA DEL 21AL 28-3'!BV40+#REF!</f>
        <v>#REF!</v>
      </c>
      <c r="BW27" s="203" t="e">
        <f>+'SEMANA DEL 2 AL 7-3-26'!BW35+'SEMANA DEL 7 AL 14'!BW39+'SEMANA DEL 14 AL 21 '!BW39+'SEMANA DEL 21AL 28-3'!BW40+#REF!</f>
        <v>#REF!</v>
      </c>
      <c r="BX27" s="203" t="e">
        <f>+'SEMANA DEL 2 AL 7-3-26'!BX35+'SEMANA DEL 7 AL 14'!BX39+'SEMANA DEL 14 AL 21 '!BX39+'SEMANA DEL 21AL 28-3'!BX40+#REF!</f>
        <v>#REF!</v>
      </c>
      <c r="BY27" s="203" t="e">
        <f>+'SEMANA DEL 2 AL 7-3-26'!BY35+'SEMANA DEL 7 AL 14'!BY39+'SEMANA DEL 14 AL 21 '!BY39+'SEMANA DEL 21AL 28-3'!BY40+#REF!</f>
        <v>#REF!</v>
      </c>
      <c r="BZ27" s="203" t="e">
        <f>+'SEMANA DEL 2 AL 7-3-26'!BZ35+'SEMANA DEL 7 AL 14'!BZ39+'SEMANA DEL 14 AL 21 '!BZ39+'SEMANA DEL 21AL 28-3'!BZ40+#REF!</f>
        <v>#REF!</v>
      </c>
      <c r="CA27" s="203" t="e">
        <f>+'SEMANA DEL 2 AL 7-3-26'!CA35+'SEMANA DEL 7 AL 14'!CA39+'SEMANA DEL 14 AL 21 '!CA39+'SEMANA DEL 21AL 28-3'!CA40+#REF!</f>
        <v>#REF!</v>
      </c>
      <c r="CB27" s="203" t="e">
        <f>+'SEMANA DEL 2 AL 7-3-26'!CB35+'SEMANA DEL 7 AL 14'!CB39+'SEMANA DEL 14 AL 21 '!CB39+'SEMANA DEL 21AL 28-3'!CB40+#REF!</f>
        <v>#REF!</v>
      </c>
      <c r="CC27" s="203" t="e">
        <f>+'SEMANA DEL 2 AL 7-3-26'!CC35+'SEMANA DEL 7 AL 14'!CC39+'SEMANA DEL 14 AL 21 '!CC39+'SEMANA DEL 21AL 28-3'!CC40+#REF!</f>
        <v>#REF!</v>
      </c>
      <c r="CD27" s="203" t="e">
        <f>+'SEMANA DEL 2 AL 7-3-26'!CD35+'SEMANA DEL 7 AL 14'!CD39+'SEMANA DEL 14 AL 21 '!CD39+'SEMANA DEL 21AL 28-3'!CD40+#REF!</f>
        <v>#REF!</v>
      </c>
      <c r="CE27" s="203" t="e">
        <f>+'SEMANA DEL 2 AL 7-3-26'!CE35+'SEMANA DEL 7 AL 14'!CE39+'SEMANA DEL 14 AL 21 '!CE39+'SEMANA DEL 21AL 28-3'!CE40+#REF!</f>
        <v>#REF!</v>
      </c>
      <c r="CF27" s="203" t="e">
        <f>+'SEMANA DEL 2 AL 7-3-26'!CF35+'SEMANA DEL 7 AL 14'!CF39+'SEMANA DEL 14 AL 21 '!CF39+'SEMANA DEL 21AL 28-3'!CF40+#REF!</f>
        <v>#REF!</v>
      </c>
      <c r="CG27" s="203" t="e">
        <f>+'SEMANA DEL 2 AL 7-3-26'!CG35+'SEMANA DEL 7 AL 14'!CG39+'SEMANA DEL 14 AL 21 '!CG39+'SEMANA DEL 21AL 28-3'!CG40+#REF!</f>
        <v>#REF!</v>
      </c>
      <c r="CH27" s="203" t="e">
        <f>+'SEMANA DEL 2 AL 7-3-26'!CH35+'SEMANA DEL 7 AL 14'!CH39+'SEMANA DEL 14 AL 21 '!CH39+'SEMANA DEL 21AL 28-3'!CH40+#REF!</f>
        <v>#REF!</v>
      </c>
      <c r="CI27" s="203" t="e">
        <f>+'SEMANA DEL 2 AL 7-3-26'!CI35+'SEMANA DEL 7 AL 14'!CI39+'SEMANA DEL 14 AL 21 '!CI39+'SEMANA DEL 21AL 28-3'!CI40+#REF!</f>
        <v>#REF!</v>
      </c>
    </row>
    <row r="28" spans="1:93" x14ac:dyDescent="0.2">
      <c r="A28" s="34" t="e">
        <f>+'SEMANA DEL 2 AL 7-3-26'!#REF!</f>
        <v>#REF!</v>
      </c>
      <c r="B28" s="203" t="e">
        <f>+'SEMANA DEL 2 AL 7-3-26'!#REF!</f>
        <v>#REF!</v>
      </c>
      <c r="C28" s="203" t="e">
        <f>+'SEMANA DEL 2 AL 7-3-26'!#REF!</f>
        <v>#REF!</v>
      </c>
      <c r="D28" s="203" t="e">
        <f>+'SEMANA DEL 2 AL 7-3-26'!#REF!</f>
        <v>#REF!</v>
      </c>
      <c r="E28" s="203" t="e">
        <f>+'SEMANA DEL 2 AL 7-3-26'!#REF!</f>
        <v>#REF!</v>
      </c>
      <c r="F28" s="203" t="e">
        <f>+'SEMANA DEL 2 AL 7-3-26'!#REF!</f>
        <v>#REF!</v>
      </c>
      <c r="G28" s="203" t="e">
        <f>+'SEMANA DEL 2 AL 7-3-26'!#REF!</f>
        <v>#REF!</v>
      </c>
      <c r="H28" s="203" t="e">
        <f>+'SEMANA DEL 2 AL 7-3-26'!#REF!</f>
        <v>#REF!</v>
      </c>
      <c r="I28" s="203" t="e">
        <f>+'SEMANA DEL 2 AL 7-3-26'!#REF!</f>
        <v>#REF!</v>
      </c>
      <c r="J28" s="203" t="e">
        <f>+'SEMANA DEL 2 AL 7-3-26'!#REF!</f>
        <v>#REF!</v>
      </c>
      <c r="K28" s="203" t="e">
        <f>+'SEMANA DEL 2 AL 7-3-26'!#REF!</f>
        <v>#REF!</v>
      </c>
      <c r="L28" s="203" t="e">
        <f>+'SEMANA DEL 2 AL 7-3-26'!#REF!</f>
        <v>#REF!</v>
      </c>
      <c r="M28" s="203" t="e">
        <f>+'SEMANA DEL 2 AL 7-3-26'!#REF!</f>
        <v>#REF!</v>
      </c>
      <c r="N28" s="203" t="e">
        <f>+'SEMANA DEL 2 AL 7-3-26'!#REF!</f>
        <v>#REF!</v>
      </c>
      <c r="O28" s="203" t="e">
        <f>+'SEMANA DEL 2 AL 7-3-26'!#REF!</f>
        <v>#REF!</v>
      </c>
      <c r="P28" s="203" t="e">
        <f>+'SEMANA DEL 2 AL 7-3-26'!#REF!</f>
        <v>#REF!</v>
      </c>
      <c r="Q28" s="203" t="e">
        <f>+'SEMANA DEL 2 AL 7-3-26'!#REF!</f>
        <v>#REF!</v>
      </c>
      <c r="R28" s="203" t="e">
        <f>+'SEMANA DEL 2 AL 7-3-26'!#REF!+'SEMANA DEL 7 AL 14'!R40+'SEMANA DEL 14 AL 21 '!R40+'SEMANA DEL 21AL 28-3'!R45+#REF!</f>
        <v>#REF!</v>
      </c>
      <c r="S28" s="203" t="e">
        <f>+'SEMANA DEL 2 AL 7-3-26'!#REF!+'SEMANA DEL 7 AL 14'!S40+'SEMANA DEL 14 AL 21 '!S40+'SEMANA DEL 21AL 28-3'!S45+#REF!</f>
        <v>#REF!</v>
      </c>
      <c r="T28" s="203" t="e">
        <f>+'SEMANA DEL 2 AL 7-3-26'!#REF!+'SEMANA DEL 7 AL 14'!T40+'SEMANA DEL 14 AL 21 '!T40+'SEMANA DEL 21AL 28-3'!T45+#REF!</f>
        <v>#REF!</v>
      </c>
      <c r="U28" s="203" t="e">
        <f>+'SEMANA DEL 2 AL 7-3-26'!#REF!+'SEMANA DEL 7 AL 14'!U40+'SEMANA DEL 14 AL 21 '!U40+'SEMANA DEL 21AL 28-3'!U45+#REF!</f>
        <v>#REF!</v>
      </c>
      <c r="V28" s="203" t="e">
        <f>+'SEMANA DEL 2 AL 7-3-26'!#REF!+'SEMANA DEL 7 AL 14'!V40+'SEMANA DEL 14 AL 21 '!V40+'SEMANA DEL 21AL 28-3'!V45+#REF!</f>
        <v>#REF!</v>
      </c>
      <c r="W28" s="203" t="e">
        <f>+'SEMANA DEL 2 AL 7-3-26'!#REF!+'SEMANA DEL 7 AL 14'!W40+'SEMANA DEL 14 AL 21 '!W40+'SEMANA DEL 21AL 28-3'!W45+#REF!</f>
        <v>#REF!</v>
      </c>
      <c r="X28" s="203" t="e">
        <f>+'SEMANA DEL 2 AL 7-3-26'!#REF!+'SEMANA DEL 7 AL 14'!X40+'SEMANA DEL 14 AL 21 '!X40+'SEMANA DEL 21AL 28-3'!X45+#REF!</f>
        <v>#REF!</v>
      </c>
      <c r="Y28" s="203" t="e">
        <f>+'SEMANA DEL 2 AL 7-3-26'!#REF!+'SEMANA DEL 7 AL 14'!Y40+'SEMANA DEL 14 AL 21 '!Y40+'SEMANA DEL 21AL 28-3'!Y45+#REF!</f>
        <v>#REF!</v>
      </c>
      <c r="Z28" s="203" t="e">
        <f>+'SEMANA DEL 2 AL 7-3-26'!#REF!+'SEMANA DEL 7 AL 14'!Z40+'SEMANA DEL 14 AL 21 '!Z40+'SEMANA DEL 21AL 28-3'!Z45+#REF!</f>
        <v>#REF!</v>
      </c>
      <c r="AA28" s="203" t="e">
        <f>+'SEMANA DEL 2 AL 7-3-26'!#REF!+'SEMANA DEL 7 AL 14'!AA40+'SEMANA DEL 14 AL 21 '!AA40+'SEMANA DEL 21AL 28-3'!AA45+#REF!</f>
        <v>#REF!</v>
      </c>
      <c r="AB28" s="203" t="e">
        <f>+'SEMANA DEL 2 AL 7-3-26'!#REF!+'SEMANA DEL 7 AL 14'!AB40+'SEMANA DEL 14 AL 21 '!AB40+'SEMANA DEL 21AL 28-3'!AB45+#REF!</f>
        <v>#REF!</v>
      </c>
      <c r="AC28" s="203" t="e">
        <f>+'SEMANA DEL 2 AL 7-3-26'!#REF!+'SEMANA DEL 7 AL 14'!AC40+'SEMANA DEL 14 AL 21 '!AC40+'SEMANA DEL 21AL 28-3'!AC45+#REF!</f>
        <v>#REF!</v>
      </c>
      <c r="AD28" s="203" t="e">
        <f>+'SEMANA DEL 2 AL 7-3-26'!#REF!+'SEMANA DEL 7 AL 14'!AD40+'SEMANA DEL 14 AL 21 '!AD40+'SEMANA DEL 21AL 28-3'!AD45+#REF!</f>
        <v>#REF!</v>
      </c>
      <c r="AE28" s="203" t="e">
        <f>+'SEMANA DEL 2 AL 7-3-26'!#REF!+'SEMANA DEL 7 AL 14'!AE40+'SEMANA DEL 14 AL 21 '!AE40+'SEMANA DEL 21AL 28-3'!AE45+#REF!</f>
        <v>#REF!</v>
      </c>
      <c r="AF28" s="203" t="e">
        <f>+'SEMANA DEL 2 AL 7-3-26'!#REF!+'SEMANA DEL 7 AL 14'!AF40+'SEMANA DEL 14 AL 21 '!AF40+'SEMANA DEL 21AL 28-3'!AF45+#REF!</f>
        <v>#REF!</v>
      </c>
      <c r="AG28" s="203" t="e">
        <f>+'SEMANA DEL 2 AL 7-3-26'!#REF!+'SEMANA DEL 7 AL 14'!AG40+'SEMANA DEL 14 AL 21 '!AG40+'SEMANA DEL 21AL 28-3'!AG45+#REF!</f>
        <v>#REF!</v>
      </c>
      <c r="AH28" s="203" t="e">
        <f>+'SEMANA DEL 2 AL 7-3-26'!#REF!+'SEMANA DEL 7 AL 14'!AH40+'SEMANA DEL 14 AL 21 '!AH40+'SEMANA DEL 21AL 28-3'!AH45+#REF!</f>
        <v>#REF!</v>
      </c>
      <c r="AI28" s="203" t="e">
        <f>+'SEMANA DEL 2 AL 7-3-26'!#REF!+'SEMANA DEL 7 AL 14'!AI40+'SEMANA DEL 14 AL 21 '!AI40+'SEMANA DEL 21AL 28-3'!AI45+#REF!</f>
        <v>#REF!</v>
      </c>
      <c r="AJ28" s="203" t="e">
        <f>+'SEMANA DEL 2 AL 7-3-26'!#REF!+'SEMANA DEL 7 AL 14'!AJ40+'SEMANA DEL 14 AL 21 '!AJ40+'SEMANA DEL 21AL 28-3'!AJ45+#REF!</f>
        <v>#REF!</v>
      </c>
      <c r="AK28" s="203" t="e">
        <f>+'SEMANA DEL 2 AL 7-3-26'!#REF!+'SEMANA DEL 7 AL 14'!AK40+'SEMANA DEL 14 AL 21 '!AK40+'SEMANA DEL 21AL 28-3'!AK45+#REF!</f>
        <v>#REF!</v>
      </c>
      <c r="AL28" s="203" t="e">
        <f>+'SEMANA DEL 2 AL 7-3-26'!#REF!+'SEMANA DEL 7 AL 14'!AL40+'SEMANA DEL 14 AL 21 '!AL40+'SEMANA DEL 21AL 28-3'!AL45+#REF!</f>
        <v>#REF!</v>
      </c>
      <c r="AM28" s="203" t="e">
        <f>+'SEMANA DEL 2 AL 7-3-26'!#REF!+'SEMANA DEL 7 AL 14'!AM40+'SEMANA DEL 14 AL 21 '!AM40+'SEMANA DEL 21AL 28-3'!AM45+#REF!</f>
        <v>#REF!</v>
      </c>
      <c r="AN28" s="203" t="e">
        <f>+'SEMANA DEL 2 AL 7-3-26'!#REF!+'SEMANA DEL 7 AL 14'!AN40+'SEMANA DEL 14 AL 21 '!AN40+'SEMANA DEL 21AL 28-3'!AN45+#REF!</f>
        <v>#REF!</v>
      </c>
      <c r="AO28" s="203" t="e">
        <f>+'SEMANA DEL 2 AL 7-3-26'!#REF!+'SEMANA DEL 7 AL 14'!AO40+'SEMANA DEL 14 AL 21 '!AO40+'SEMANA DEL 21AL 28-3'!AO45+#REF!</f>
        <v>#REF!</v>
      </c>
      <c r="AP28" s="203" t="e">
        <f>+'SEMANA DEL 2 AL 7-3-26'!#REF!+'SEMANA DEL 7 AL 14'!AP40+'SEMANA DEL 14 AL 21 '!AP40+'SEMANA DEL 21AL 28-3'!AP45+#REF!</f>
        <v>#REF!</v>
      </c>
      <c r="AQ28" s="203" t="e">
        <f>+'SEMANA DEL 2 AL 7-3-26'!#REF!+'SEMANA DEL 7 AL 14'!AQ40+'SEMANA DEL 14 AL 21 '!AQ40+'SEMANA DEL 21AL 28-3'!AQ45+#REF!</f>
        <v>#REF!</v>
      </c>
      <c r="AR28" s="203" t="e">
        <f>+'SEMANA DEL 2 AL 7-3-26'!#REF!+'SEMANA DEL 7 AL 14'!AR40+'SEMANA DEL 14 AL 21 '!AR40+'SEMANA DEL 21AL 28-3'!AR45+#REF!</f>
        <v>#REF!</v>
      </c>
      <c r="AS28" s="203" t="e">
        <f>+'SEMANA DEL 2 AL 7-3-26'!#REF!+'SEMANA DEL 7 AL 14'!AS40+'SEMANA DEL 14 AL 21 '!AS40+'SEMANA DEL 21AL 28-3'!AS45+#REF!</f>
        <v>#REF!</v>
      </c>
      <c r="AT28" s="203" t="e">
        <f>+'SEMANA DEL 2 AL 7-3-26'!#REF!+'SEMANA DEL 7 AL 14'!AT40+'SEMANA DEL 14 AL 21 '!AT40+'SEMANA DEL 21AL 28-3'!AT45+#REF!</f>
        <v>#REF!</v>
      </c>
      <c r="AU28" s="203" t="e">
        <f>+'SEMANA DEL 2 AL 7-3-26'!#REF!+'SEMANA DEL 7 AL 14'!AU40+'SEMANA DEL 14 AL 21 '!AU40+'SEMANA DEL 21AL 28-3'!AU45+#REF!</f>
        <v>#REF!</v>
      </c>
      <c r="AV28" s="203" t="e">
        <f>+'SEMANA DEL 2 AL 7-3-26'!#REF!+'SEMANA DEL 7 AL 14'!AV40+'SEMANA DEL 14 AL 21 '!AV40+'SEMANA DEL 21AL 28-3'!AV45+#REF!</f>
        <v>#REF!</v>
      </c>
      <c r="AW28" s="203" t="e">
        <f>+'SEMANA DEL 2 AL 7-3-26'!#REF!+'SEMANA DEL 7 AL 14'!AW40+'SEMANA DEL 14 AL 21 '!AW40+'SEMANA DEL 21AL 28-3'!AW45+#REF!</f>
        <v>#REF!</v>
      </c>
      <c r="AX28" s="203" t="e">
        <f t="shared" si="1"/>
        <v>#REF!</v>
      </c>
      <c r="AY28" s="203" t="e">
        <f t="shared" si="2"/>
        <v>#REF!</v>
      </c>
      <c r="AZ28" s="203" t="e">
        <f t="shared" si="3"/>
        <v>#REF!</v>
      </c>
      <c r="BA28" s="203" t="e">
        <f t="shared" si="4"/>
        <v>#REF!</v>
      </c>
      <c r="BB28" s="203" t="e">
        <f t="shared" si="5"/>
        <v>#REF!</v>
      </c>
      <c r="BC28" s="203" t="e">
        <f t="shared" si="6"/>
        <v>#REF!</v>
      </c>
      <c r="BD28" s="203" t="e">
        <f t="shared" si="7"/>
        <v>#REF!</v>
      </c>
      <c r="BE28" s="203" t="e">
        <f t="shared" si="8"/>
        <v>#REF!</v>
      </c>
      <c r="BF28" s="203" t="e">
        <f t="shared" si="9"/>
        <v>#REF!</v>
      </c>
      <c r="BG28" s="203" t="e">
        <f t="shared" si="10"/>
        <v>#REF!</v>
      </c>
      <c r="BH28" s="203" t="e">
        <f t="shared" si="11"/>
        <v>#REF!</v>
      </c>
      <c r="BI28" s="203" t="e">
        <f t="shared" si="12"/>
        <v>#REF!</v>
      </c>
      <c r="BJ28" s="203" t="e">
        <f t="shared" si="13"/>
        <v>#REF!</v>
      </c>
      <c r="BK28" s="203" t="e">
        <f t="shared" si="14"/>
        <v>#REF!</v>
      </c>
      <c r="BL28" s="203" t="e">
        <f t="shared" si="15"/>
        <v>#REF!</v>
      </c>
      <c r="BM28" s="203" t="e">
        <f t="shared" si="16"/>
        <v>#REF!</v>
      </c>
      <c r="BN28" s="203" t="e">
        <f>+'SEMANA DEL 2 AL 7-3-26'!#REF!+'SEMANA DEL 7 AL 14'!BN40+'SEMANA DEL 14 AL 21 '!BN40+'SEMANA DEL 21AL 28-3'!BN45+#REF!</f>
        <v>#REF!</v>
      </c>
      <c r="BO28" s="203" t="e">
        <f>+'SEMANA DEL 2 AL 7-3-26'!#REF!+'SEMANA DEL 7 AL 14'!BO40+'SEMANA DEL 14 AL 21 '!BO40+'SEMANA DEL 21AL 28-3'!BO45+#REF!</f>
        <v>#REF!</v>
      </c>
      <c r="BP28" s="203" t="e">
        <f>+'SEMANA DEL 2 AL 7-3-26'!#REF!+'SEMANA DEL 7 AL 14'!BP40+'SEMANA DEL 14 AL 21 '!BP40+'SEMANA DEL 21AL 28-3'!BP45+#REF!</f>
        <v>#REF!</v>
      </c>
      <c r="BQ28" s="203" t="e">
        <f>+'SEMANA DEL 2 AL 7-3-26'!#REF!+'SEMANA DEL 7 AL 14'!BQ40+'SEMANA DEL 14 AL 21 '!BQ40+'SEMANA DEL 21AL 28-3'!BQ45+#REF!</f>
        <v>#REF!</v>
      </c>
      <c r="BR28" s="203" t="e">
        <f>+'SEMANA DEL 2 AL 7-3-26'!#REF!+'SEMANA DEL 7 AL 14'!BR40+'SEMANA DEL 14 AL 21 '!BR40+'SEMANA DEL 21AL 28-3'!BR45+#REF!</f>
        <v>#REF!</v>
      </c>
      <c r="BS28" s="203" t="e">
        <f>+'SEMANA DEL 2 AL 7-3-26'!#REF!+'SEMANA DEL 7 AL 14'!BS40+'SEMANA DEL 14 AL 21 '!BS40+'SEMANA DEL 21AL 28-3'!BS45+#REF!</f>
        <v>#REF!</v>
      </c>
      <c r="BT28" s="203" t="e">
        <f>+'SEMANA DEL 2 AL 7-3-26'!#REF!+'SEMANA DEL 7 AL 14'!BT40+'SEMANA DEL 14 AL 21 '!BT40+'SEMANA DEL 21AL 28-3'!BT45+#REF!</f>
        <v>#REF!</v>
      </c>
      <c r="BU28" s="203" t="e">
        <f>+'SEMANA DEL 2 AL 7-3-26'!#REF!+'SEMANA DEL 7 AL 14'!BU40+'SEMANA DEL 14 AL 21 '!BU40+'SEMANA DEL 21AL 28-3'!BU45+#REF!</f>
        <v>#REF!</v>
      </c>
      <c r="BV28" s="203" t="e">
        <f>+'SEMANA DEL 2 AL 7-3-26'!#REF!+'SEMANA DEL 7 AL 14'!BV40+'SEMANA DEL 14 AL 21 '!BV40+'SEMANA DEL 21AL 28-3'!BV45+#REF!</f>
        <v>#REF!</v>
      </c>
      <c r="BW28" s="203" t="e">
        <f>+'SEMANA DEL 2 AL 7-3-26'!#REF!+'SEMANA DEL 7 AL 14'!BW40+'SEMANA DEL 14 AL 21 '!BW40+'SEMANA DEL 21AL 28-3'!BW45+#REF!</f>
        <v>#REF!</v>
      </c>
      <c r="BX28" s="203" t="e">
        <f>+'SEMANA DEL 2 AL 7-3-26'!#REF!+'SEMANA DEL 7 AL 14'!BX40+'SEMANA DEL 14 AL 21 '!BX40+'SEMANA DEL 21AL 28-3'!BX45+#REF!</f>
        <v>#REF!</v>
      </c>
      <c r="BY28" s="203" t="e">
        <f>+'SEMANA DEL 2 AL 7-3-26'!#REF!+'SEMANA DEL 7 AL 14'!BY40+'SEMANA DEL 14 AL 21 '!BY40+'SEMANA DEL 21AL 28-3'!BY45+#REF!</f>
        <v>#REF!</v>
      </c>
      <c r="BZ28" s="203" t="e">
        <f>+'SEMANA DEL 2 AL 7-3-26'!#REF!+'SEMANA DEL 7 AL 14'!BZ40+'SEMANA DEL 14 AL 21 '!BZ40+'SEMANA DEL 21AL 28-3'!BZ45+#REF!</f>
        <v>#REF!</v>
      </c>
      <c r="CA28" s="203" t="e">
        <f>+'SEMANA DEL 2 AL 7-3-26'!#REF!+'SEMANA DEL 7 AL 14'!CA40+'SEMANA DEL 14 AL 21 '!CA40+'SEMANA DEL 21AL 28-3'!CA45+#REF!</f>
        <v>#REF!</v>
      </c>
      <c r="CB28" s="203" t="e">
        <f>+'SEMANA DEL 2 AL 7-3-26'!#REF!+'SEMANA DEL 7 AL 14'!CB40+'SEMANA DEL 14 AL 21 '!CB40+'SEMANA DEL 21AL 28-3'!CB45+#REF!</f>
        <v>#REF!</v>
      </c>
      <c r="CC28" s="203" t="e">
        <f>+'SEMANA DEL 2 AL 7-3-26'!#REF!+'SEMANA DEL 7 AL 14'!CC40+'SEMANA DEL 14 AL 21 '!CC40+'SEMANA DEL 21AL 28-3'!CC45+#REF!</f>
        <v>#REF!</v>
      </c>
      <c r="CD28" s="203" t="e">
        <f>+'SEMANA DEL 2 AL 7-3-26'!#REF!+'SEMANA DEL 7 AL 14'!CD40+'SEMANA DEL 14 AL 21 '!CD40+'SEMANA DEL 21AL 28-3'!CD45+#REF!</f>
        <v>#REF!</v>
      </c>
      <c r="CE28" s="203" t="e">
        <f>+'SEMANA DEL 2 AL 7-3-26'!#REF!+'SEMANA DEL 7 AL 14'!CE40+'SEMANA DEL 14 AL 21 '!CE40+'SEMANA DEL 21AL 28-3'!CE45+#REF!</f>
        <v>#REF!</v>
      </c>
      <c r="CF28" s="203" t="e">
        <f>+'SEMANA DEL 2 AL 7-3-26'!#REF!+'SEMANA DEL 7 AL 14'!CF40+'SEMANA DEL 14 AL 21 '!CF40+'SEMANA DEL 21AL 28-3'!CF45+#REF!</f>
        <v>#REF!</v>
      </c>
      <c r="CG28" s="203" t="e">
        <f>+'SEMANA DEL 2 AL 7-3-26'!#REF!+'SEMANA DEL 7 AL 14'!CG40+'SEMANA DEL 14 AL 21 '!CG40+'SEMANA DEL 21AL 28-3'!CG45+#REF!</f>
        <v>#REF!</v>
      </c>
      <c r="CH28" s="203" t="e">
        <f>+'SEMANA DEL 2 AL 7-3-26'!#REF!+'SEMANA DEL 7 AL 14'!CH40+'SEMANA DEL 14 AL 21 '!CH40+'SEMANA DEL 21AL 28-3'!CH45+#REF!</f>
        <v>#REF!</v>
      </c>
      <c r="CI28" s="203" t="e">
        <f>+'SEMANA DEL 2 AL 7-3-26'!#REF!+'SEMANA DEL 7 AL 14'!CI40+'SEMANA DEL 14 AL 21 '!CI40+'SEMANA DEL 21AL 28-3'!CI45+#REF!</f>
        <v>#REF!</v>
      </c>
    </row>
    <row r="29" spans="1:93" x14ac:dyDescent="0.2">
      <c r="A29" s="34" t="e">
        <f>+'SEMANA DEL 2 AL 7-3-26'!#REF!</f>
        <v>#REF!</v>
      </c>
      <c r="B29" s="203" t="e">
        <f>+'SEMANA DEL 2 AL 7-3-26'!#REF!</f>
        <v>#REF!</v>
      </c>
      <c r="C29" s="203" t="e">
        <f>+'SEMANA DEL 2 AL 7-3-26'!#REF!</f>
        <v>#REF!</v>
      </c>
      <c r="D29" s="203" t="e">
        <f>+'SEMANA DEL 2 AL 7-3-26'!#REF!</f>
        <v>#REF!</v>
      </c>
      <c r="E29" s="203" t="e">
        <f>+'SEMANA DEL 2 AL 7-3-26'!#REF!</f>
        <v>#REF!</v>
      </c>
      <c r="F29" s="203" t="e">
        <f>+'SEMANA DEL 2 AL 7-3-26'!#REF!</f>
        <v>#REF!</v>
      </c>
      <c r="G29" s="203" t="e">
        <f>+'SEMANA DEL 2 AL 7-3-26'!#REF!</f>
        <v>#REF!</v>
      </c>
      <c r="H29" s="203" t="e">
        <f>+'SEMANA DEL 2 AL 7-3-26'!#REF!</f>
        <v>#REF!</v>
      </c>
      <c r="I29" s="203" t="e">
        <f>+'SEMANA DEL 2 AL 7-3-26'!#REF!</f>
        <v>#REF!</v>
      </c>
      <c r="J29" s="203" t="e">
        <f>+'SEMANA DEL 2 AL 7-3-26'!#REF!</f>
        <v>#REF!</v>
      </c>
      <c r="K29" s="203" t="e">
        <f>+'SEMANA DEL 2 AL 7-3-26'!#REF!</f>
        <v>#REF!</v>
      </c>
      <c r="L29" s="203" t="e">
        <f>+'SEMANA DEL 2 AL 7-3-26'!#REF!</f>
        <v>#REF!</v>
      </c>
      <c r="M29" s="203" t="e">
        <f>+'SEMANA DEL 2 AL 7-3-26'!#REF!</f>
        <v>#REF!</v>
      </c>
      <c r="N29" s="203" t="e">
        <f>+'SEMANA DEL 2 AL 7-3-26'!#REF!</f>
        <v>#REF!</v>
      </c>
      <c r="O29" s="203" t="e">
        <f>+'SEMANA DEL 2 AL 7-3-26'!#REF!</f>
        <v>#REF!</v>
      </c>
      <c r="P29" s="203" t="e">
        <f>+'SEMANA DEL 2 AL 7-3-26'!#REF!</f>
        <v>#REF!</v>
      </c>
      <c r="Q29" s="203" t="e">
        <f>+'SEMANA DEL 2 AL 7-3-26'!#REF!</f>
        <v>#REF!</v>
      </c>
      <c r="R29" s="203" t="e">
        <f>+'SEMANA DEL 2 AL 7-3-26'!R36+'SEMANA DEL 7 AL 14'!R41+'SEMANA DEL 14 AL 21 '!R41+'SEMANA DEL 21AL 28-3'!#REF!+#REF!</f>
        <v>#REF!</v>
      </c>
      <c r="S29" s="203" t="e">
        <f>+'SEMANA DEL 2 AL 7-3-26'!S36+'SEMANA DEL 7 AL 14'!S41+'SEMANA DEL 14 AL 21 '!S41+'SEMANA DEL 21AL 28-3'!#REF!+#REF!</f>
        <v>#REF!</v>
      </c>
      <c r="T29" s="203" t="e">
        <f>+'SEMANA DEL 2 AL 7-3-26'!T36+'SEMANA DEL 7 AL 14'!T41+'SEMANA DEL 14 AL 21 '!T41+'SEMANA DEL 21AL 28-3'!#REF!+#REF!</f>
        <v>#REF!</v>
      </c>
      <c r="U29" s="203" t="e">
        <f>+'SEMANA DEL 2 AL 7-3-26'!U36+'SEMANA DEL 7 AL 14'!U41+'SEMANA DEL 14 AL 21 '!U41+'SEMANA DEL 21AL 28-3'!#REF!+#REF!</f>
        <v>#REF!</v>
      </c>
      <c r="V29" s="203" t="e">
        <f>+'SEMANA DEL 2 AL 7-3-26'!V36+'SEMANA DEL 7 AL 14'!V41+'SEMANA DEL 14 AL 21 '!V41+'SEMANA DEL 21AL 28-3'!#REF!+#REF!</f>
        <v>#REF!</v>
      </c>
      <c r="W29" s="203" t="e">
        <f>+'SEMANA DEL 2 AL 7-3-26'!W36+'SEMANA DEL 7 AL 14'!W41+'SEMANA DEL 14 AL 21 '!W41+'SEMANA DEL 21AL 28-3'!#REF!+#REF!</f>
        <v>#REF!</v>
      </c>
      <c r="X29" s="203" t="e">
        <f>+'SEMANA DEL 2 AL 7-3-26'!X36+'SEMANA DEL 7 AL 14'!X41+'SEMANA DEL 14 AL 21 '!X41+'SEMANA DEL 21AL 28-3'!#REF!+#REF!</f>
        <v>#REF!</v>
      </c>
      <c r="Y29" s="203" t="e">
        <f>+'SEMANA DEL 2 AL 7-3-26'!Y36+'SEMANA DEL 7 AL 14'!Y41+'SEMANA DEL 14 AL 21 '!Y41+'SEMANA DEL 21AL 28-3'!#REF!+#REF!</f>
        <v>#REF!</v>
      </c>
      <c r="Z29" s="203" t="e">
        <f>+'SEMANA DEL 2 AL 7-3-26'!Z36+'SEMANA DEL 7 AL 14'!Z41+'SEMANA DEL 14 AL 21 '!Z41+'SEMANA DEL 21AL 28-3'!#REF!+#REF!</f>
        <v>#REF!</v>
      </c>
      <c r="AA29" s="203" t="e">
        <f>+'SEMANA DEL 2 AL 7-3-26'!AA36+'SEMANA DEL 7 AL 14'!AA41+'SEMANA DEL 14 AL 21 '!AA41+'SEMANA DEL 21AL 28-3'!#REF!+#REF!</f>
        <v>#REF!</v>
      </c>
      <c r="AB29" s="203" t="e">
        <f>+'SEMANA DEL 2 AL 7-3-26'!AB36+'SEMANA DEL 7 AL 14'!AB41+'SEMANA DEL 14 AL 21 '!AB41+'SEMANA DEL 21AL 28-3'!#REF!+#REF!</f>
        <v>#REF!</v>
      </c>
      <c r="AC29" s="203" t="e">
        <f>+'SEMANA DEL 2 AL 7-3-26'!AC36+'SEMANA DEL 7 AL 14'!AC41+'SEMANA DEL 14 AL 21 '!AC41+'SEMANA DEL 21AL 28-3'!#REF!+#REF!</f>
        <v>#REF!</v>
      </c>
      <c r="AD29" s="203" t="e">
        <f>+'SEMANA DEL 2 AL 7-3-26'!AD36+'SEMANA DEL 7 AL 14'!AD41+'SEMANA DEL 14 AL 21 '!AD41+'SEMANA DEL 21AL 28-3'!#REF!+#REF!</f>
        <v>#REF!</v>
      </c>
      <c r="AE29" s="203" t="e">
        <f>+'SEMANA DEL 2 AL 7-3-26'!AE36+'SEMANA DEL 7 AL 14'!AE41+'SEMANA DEL 14 AL 21 '!AE41+'SEMANA DEL 21AL 28-3'!#REF!+#REF!</f>
        <v>#REF!</v>
      </c>
      <c r="AF29" s="203" t="e">
        <f>+'SEMANA DEL 2 AL 7-3-26'!AF36+'SEMANA DEL 7 AL 14'!AF41+'SEMANA DEL 14 AL 21 '!AF41+'SEMANA DEL 21AL 28-3'!#REF!+#REF!</f>
        <v>#REF!</v>
      </c>
      <c r="AG29" s="203" t="e">
        <f>+'SEMANA DEL 2 AL 7-3-26'!AG36+'SEMANA DEL 7 AL 14'!AG41+'SEMANA DEL 14 AL 21 '!AG41+'SEMANA DEL 21AL 28-3'!#REF!+#REF!</f>
        <v>#REF!</v>
      </c>
      <c r="AH29" s="203" t="e">
        <f>+'SEMANA DEL 2 AL 7-3-26'!AH36+'SEMANA DEL 7 AL 14'!AH41+'SEMANA DEL 14 AL 21 '!AH41+'SEMANA DEL 21AL 28-3'!#REF!+#REF!</f>
        <v>#REF!</v>
      </c>
      <c r="AI29" s="203" t="e">
        <f>+'SEMANA DEL 2 AL 7-3-26'!AI36+'SEMANA DEL 7 AL 14'!AI41+'SEMANA DEL 14 AL 21 '!AI41+'SEMANA DEL 21AL 28-3'!#REF!+#REF!</f>
        <v>#REF!</v>
      </c>
      <c r="AJ29" s="203" t="e">
        <f>+'SEMANA DEL 2 AL 7-3-26'!AJ36+'SEMANA DEL 7 AL 14'!AJ41+'SEMANA DEL 14 AL 21 '!AJ41+'SEMANA DEL 21AL 28-3'!#REF!+#REF!</f>
        <v>#REF!</v>
      </c>
      <c r="AK29" s="203" t="e">
        <f>+'SEMANA DEL 2 AL 7-3-26'!AK36+'SEMANA DEL 7 AL 14'!AK41+'SEMANA DEL 14 AL 21 '!AK41+'SEMANA DEL 21AL 28-3'!#REF!+#REF!</f>
        <v>#REF!</v>
      </c>
      <c r="AL29" s="203" t="e">
        <f>+'SEMANA DEL 2 AL 7-3-26'!AL36+'SEMANA DEL 7 AL 14'!AL41+'SEMANA DEL 14 AL 21 '!AL41+'SEMANA DEL 21AL 28-3'!#REF!+#REF!</f>
        <v>#REF!</v>
      </c>
      <c r="AM29" s="203" t="e">
        <f>+'SEMANA DEL 2 AL 7-3-26'!AM36+'SEMANA DEL 7 AL 14'!AM41+'SEMANA DEL 14 AL 21 '!AM41+'SEMANA DEL 21AL 28-3'!#REF!+#REF!</f>
        <v>#REF!</v>
      </c>
      <c r="AN29" s="203" t="e">
        <f>+'SEMANA DEL 2 AL 7-3-26'!AN36+'SEMANA DEL 7 AL 14'!AN41+'SEMANA DEL 14 AL 21 '!AN41+'SEMANA DEL 21AL 28-3'!#REF!+#REF!</f>
        <v>#REF!</v>
      </c>
      <c r="AO29" s="203" t="e">
        <f>+'SEMANA DEL 2 AL 7-3-26'!AO36+'SEMANA DEL 7 AL 14'!AO41+'SEMANA DEL 14 AL 21 '!AO41+'SEMANA DEL 21AL 28-3'!#REF!+#REF!</f>
        <v>#REF!</v>
      </c>
      <c r="AP29" s="203" t="e">
        <f>+'SEMANA DEL 2 AL 7-3-26'!AP36+'SEMANA DEL 7 AL 14'!AP41+'SEMANA DEL 14 AL 21 '!AP41+'SEMANA DEL 21AL 28-3'!#REF!+#REF!</f>
        <v>#REF!</v>
      </c>
      <c r="AQ29" s="203" t="e">
        <f>+'SEMANA DEL 2 AL 7-3-26'!AQ36+'SEMANA DEL 7 AL 14'!AQ41+'SEMANA DEL 14 AL 21 '!AQ41+'SEMANA DEL 21AL 28-3'!#REF!+#REF!</f>
        <v>#REF!</v>
      </c>
      <c r="AR29" s="203" t="e">
        <f>+'SEMANA DEL 2 AL 7-3-26'!AR36+'SEMANA DEL 7 AL 14'!AR41+'SEMANA DEL 14 AL 21 '!AR41+'SEMANA DEL 21AL 28-3'!#REF!+#REF!</f>
        <v>#REF!</v>
      </c>
      <c r="AS29" s="203" t="e">
        <f>+'SEMANA DEL 2 AL 7-3-26'!AS36+'SEMANA DEL 7 AL 14'!AS41+'SEMANA DEL 14 AL 21 '!AS41+'SEMANA DEL 21AL 28-3'!#REF!+#REF!</f>
        <v>#REF!</v>
      </c>
      <c r="AT29" s="203" t="e">
        <f>+'SEMANA DEL 2 AL 7-3-26'!AT36+'SEMANA DEL 7 AL 14'!AT41+'SEMANA DEL 14 AL 21 '!AT41+'SEMANA DEL 21AL 28-3'!#REF!+#REF!</f>
        <v>#REF!</v>
      </c>
      <c r="AU29" s="203" t="e">
        <f>+'SEMANA DEL 2 AL 7-3-26'!AU36+'SEMANA DEL 7 AL 14'!AU41+'SEMANA DEL 14 AL 21 '!AU41+'SEMANA DEL 21AL 28-3'!#REF!+#REF!</f>
        <v>#REF!</v>
      </c>
      <c r="AV29" s="203" t="e">
        <f>+'SEMANA DEL 2 AL 7-3-26'!AV36+'SEMANA DEL 7 AL 14'!AV41+'SEMANA DEL 14 AL 21 '!AV41+'SEMANA DEL 21AL 28-3'!#REF!+#REF!</f>
        <v>#REF!</v>
      </c>
      <c r="AW29" s="203" t="e">
        <f>+'SEMANA DEL 2 AL 7-3-26'!AW36+'SEMANA DEL 7 AL 14'!AW41+'SEMANA DEL 14 AL 21 '!AW41+'SEMANA DEL 21AL 28-3'!#REF!+#REF!</f>
        <v>#REF!</v>
      </c>
      <c r="AX29" s="203" t="e">
        <f t="shared" si="1"/>
        <v>#REF!</v>
      </c>
      <c r="AY29" s="203" t="e">
        <f t="shared" si="2"/>
        <v>#REF!</v>
      </c>
      <c r="AZ29" s="203" t="e">
        <f t="shared" si="3"/>
        <v>#REF!</v>
      </c>
      <c r="BA29" s="203" t="e">
        <f t="shared" si="4"/>
        <v>#REF!</v>
      </c>
      <c r="BB29" s="203" t="e">
        <f t="shared" si="5"/>
        <v>#REF!</v>
      </c>
      <c r="BC29" s="203" t="e">
        <f t="shared" si="6"/>
        <v>#REF!</v>
      </c>
      <c r="BD29" s="203" t="e">
        <f t="shared" si="7"/>
        <v>#REF!</v>
      </c>
      <c r="BE29" s="203" t="e">
        <f t="shared" si="8"/>
        <v>#REF!</v>
      </c>
      <c r="BF29" s="203" t="e">
        <f t="shared" si="9"/>
        <v>#REF!</v>
      </c>
      <c r="BG29" s="203" t="e">
        <f t="shared" si="10"/>
        <v>#REF!</v>
      </c>
      <c r="BH29" s="203" t="e">
        <f t="shared" si="11"/>
        <v>#REF!</v>
      </c>
      <c r="BI29" s="203" t="e">
        <f t="shared" si="12"/>
        <v>#REF!</v>
      </c>
      <c r="BJ29" s="203" t="e">
        <f t="shared" si="13"/>
        <v>#REF!</v>
      </c>
      <c r="BK29" s="203" t="e">
        <f t="shared" si="14"/>
        <v>#REF!</v>
      </c>
      <c r="BL29" s="203" t="e">
        <f t="shared" si="15"/>
        <v>#REF!</v>
      </c>
      <c r="BM29" s="203" t="e">
        <f t="shared" si="16"/>
        <v>#REF!</v>
      </c>
      <c r="BN29" s="203" t="e">
        <f>+'SEMANA DEL 2 AL 7-3-26'!BN36+'SEMANA DEL 7 AL 14'!BN41+'SEMANA DEL 14 AL 21 '!BN41+'SEMANA DEL 21AL 28-3'!#REF!+#REF!</f>
        <v>#REF!</v>
      </c>
      <c r="BO29" s="203" t="e">
        <f>+'SEMANA DEL 2 AL 7-3-26'!BO36+'SEMANA DEL 7 AL 14'!BO41+'SEMANA DEL 14 AL 21 '!BO41+'SEMANA DEL 21AL 28-3'!#REF!+#REF!</f>
        <v>#REF!</v>
      </c>
      <c r="BP29" s="203" t="e">
        <f>+'SEMANA DEL 2 AL 7-3-26'!BP36+'SEMANA DEL 7 AL 14'!BP41+'SEMANA DEL 14 AL 21 '!BP41+'SEMANA DEL 21AL 28-3'!#REF!+#REF!</f>
        <v>#REF!</v>
      </c>
      <c r="BQ29" s="203" t="e">
        <f>+'SEMANA DEL 2 AL 7-3-26'!BQ36+'SEMANA DEL 7 AL 14'!BQ41+'SEMANA DEL 14 AL 21 '!BQ41+'SEMANA DEL 21AL 28-3'!#REF!+#REF!</f>
        <v>#REF!</v>
      </c>
      <c r="BR29" s="203" t="e">
        <f>+'SEMANA DEL 2 AL 7-3-26'!BR36+'SEMANA DEL 7 AL 14'!BR41+'SEMANA DEL 14 AL 21 '!BR41+'SEMANA DEL 21AL 28-3'!#REF!+#REF!</f>
        <v>#REF!</v>
      </c>
      <c r="BS29" s="203" t="e">
        <f>+'SEMANA DEL 2 AL 7-3-26'!BS36+'SEMANA DEL 7 AL 14'!BS41+'SEMANA DEL 14 AL 21 '!BS41+'SEMANA DEL 21AL 28-3'!#REF!+#REF!</f>
        <v>#REF!</v>
      </c>
      <c r="BT29" s="203" t="e">
        <f>+'SEMANA DEL 2 AL 7-3-26'!BT36+'SEMANA DEL 7 AL 14'!BT41+'SEMANA DEL 14 AL 21 '!BT41+'SEMANA DEL 21AL 28-3'!#REF!+#REF!</f>
        <v>#REF!</v>
      </c>
      <c r="BU29" s="203" t="e">
        <f>+'SEMANA DEL 2 AL 7-3-26'!BU36+'SEMANA DEL 7 AL 14'!BU41+'SEMANA DEL 14 AL 21 '!BU41+'SEMANA DEL 21AL 28-3'!#REF!+#REF!</f>
        <v>#REF!</v>
      </c>
      <c r="BV29" s="203" t="e">
        <f>+'SEMANA DEL 2 AL 7-3-26'!BV36+'SEMANA DEL 7 AL 14'!BV41+'SEMANA DEL 14 AL 21 '!BV41+'SEMANA DEL 21AL 28-3'!#REF!+#REF!</f>
        <v>#REF!</v>
      </c>
      <c r="BW29" s="203" t="e">
        <f>+'SEMANA DEL 2 AL 7-3-26'!BW36+'SEMANA DEL 7 AL 14'!BW41+'SEMANA DEL 14 AL 21 '!BW41+'SEMANA DEL 21AL 28-3'!#REF!+#REF!</f>
        <v>#REF!</v>
      </c>
      <c r="BX29" s="203" t="e">
        <f>+'SEMANA DEL 2 AL 7-3-26'!BX36+'SEMANA DEL 7 AL 14'!BX41+'SEMANA DEL 14 AL 21 '!BX41+'SEMANA DEL 21AL 28-3'!#REF!+#REF!</f>
        <v>#REF!</v>
      </c>
      <c r="BY29" s="203" t="e">
        <f>+'SEMANA DEL 2 AL 7-3-26'!BY36+'SEMANA DEL 7 AL 14'!BY41+'SEMANA DEL 14 AL 21 '!BY41+'SEMANA DEL 21AL 28-3'!#REF!+#REF!</f>
        <v>#REF!</v>
      </c>
      <c r="BZ29" s="203" t="e">
        <f>+'SEMANA DEL 2 AL 7-3-26'!BZ36+'SEMANA DEL 7 AL 14'!BZ41+'SEMANA DEL 14 AL 21 '!BZ41+'SEMANA DEL 21AL 28-3'!#REF!+#REF!</f>
        <v>#REF!</v>
      </c>
      <c r="CA29" s="203" t="e">
        <f>+'SEMANA DEL 2 AL 7-3-26'!CA36+'SEMANA DEL 7 AL 14'!CA41+'SEMANA DEL 14 AL 21 '!CA41+'SEMANA DEL 21AL 28-3'!#REF!+#REF!</f>
        <v>#REF!</v>
      </c>
      <c r="CB29" s="203" t="e">
        <f>+'SEMANA DEL 2 AL 7-3-26'!CB36+'SEMANA DEL 7 AL 14'!CB41+'SEMANA DEL 14 AL 21 '!CB41+'SEMANA DEL 21AL 28-3'!#REF!+#REF!</f>
        <v>#REF!</v>
      </c>
      <c r="CC29" s="203" t="e">
        <f>+'SEMANA DEL 2 AL 7-3-26'!CC36+'SEMANA DEL 7 AL 14'!CC41+'SEMANA DEL 14 AL 21 '!CC41+'SEMANA DEL 21AL 28-3'!#REF!+#REF!</f>
        <v>#REF!</v>
      </c>
      <c r="CD29" s="203" t="e">
        <f>+'SEMANA DEL 2 AL 7-3-26'!CD36+'SEMANA DEL 7 AL 14'!CD41+'SEMANA DEL 14 AL 21 '!CD41+'SEMANA DEL 21AL 28-3'!#REF!+#REF!</f>
        <v>#REF!</v>
      </c>
      <c r="CE29" s="203" t="e">
        <f>+'SEMANA DEL 2 AL 7-3-26'!CE36+'SEMANA DEL 7 AL 14'!CE41+'SEMANA DEL 14 AL 21 '!CE41+'SEMANA DEL 21AL 28-3'!#REF!+#REF!</f>
        <v>#REF!</v>
      </c>
      <c r="CF29" s="203" t="e">
        <f>+'SEMANA DEL 2 AL 7-3-26'!CF36+'SEMANA DEL 7 AL 14'!CF41+'SEMANA DEL 14 AL 21 '!CF41+'SEMANA DEL 21AL 28-3'!#REF!+#REF!</f>
        <v>#REF!</v>
      </c>
      <c r="CG29" s="203" t="e">
        <f>+'SEMANA DEL 2 AL 7-3-26'!CG36+'SEMANA DEL 7 AL 14'!CG41+'SEMANA DEL 14 AL 21 '!CG41+'SEMANA DEL 21AL 28-3'!#REF!+#REF!</f>
        <v>#REF!</v>
      </c>
      <c r="CH29" s="203" t="e">
        <f>+'SEMANA DEL 2 AL 7-3-26'!CH36+'SEMANA DEL 7 AL 14'!CH41+'SEMANA DEL 14 AL 21 '!CH41+'SEMANA DEL 21AL 28-3'!#REF!+#REF!</f>
        <v>#REF!</v>
      </c>
      <c r="CI29" s="203" t="e">
        <f>+'SEMANA DEL 2 AL 7-3-26'!CI36+'SEMANA DEL 7 AL 14'!CI41+'SEMANA DEL 14 AL 21 '!CI41+'SEMANA DEL 21AL 28-3'!#REF!+#REF!</f>
        <v>#REF!</v>
      </c>
    </row>
    <row r="30" spans="1:93" x14ac:dyDescent="0.2">
      <c r="A30" s="34" t="e">
        <f>+'SEMANA DEL 2 AL 7-3-26'!#REF!</f>
        <v>#REF!</v>
      </c>
      <c r="B30" s="203" t="e">
        <f>+'SEMANA DEL 2 AL 7-3-26'!#REF!</f>
        <v>#REF!</v>
      </c>
      <c r="C30" s="203" t="e">
        <f>+'SEMANA DEL 2 AL 7-3-26'!#REF!</f>
        <v>#REF!</v>
      </c>
      <c r="D30" s="203" t="e">
        <f>+'SEMANA DEL 2 AL 7-3-26'!#REF!</f>
        <v>#REF!</v>
      </c>
      <c r="E30" s="203" t="e">
        <f>+'SEMANA DEL 2 AL 7-3-26'!#REF!</f>
        <v>#REF!</v>
      </c>
      <c r="F30" s="203" t="e">
        <f>+'SEMANA DEL 2 AL 7-3-26'!#REF!</f>
        <v>#REF!</v>
      </c>
      <c r="G30" s="203" t="e">
        <f>+'SEMANA DEL 2 AL 7-3-26'!#REF!</f>
        <v>#REF!</v>
      </c>
      <c r="H30" s="203" t="e">
        <f>+'SEMANA DEL 2 AL 7-3-26'!#REF!</f>
        <v>#REF!</v>
      </c>
      <c r="I30" s="203" t="e">
        <f>+'SEMANA DEL 2 AL 7-3-26'!#REF!</f>
        <v>#REF!</v>
      </c>
      <c r="J30" s="203" t="e">
        <f>+'SEMANA DEL 2 AL 7-3-26'!#REF!</f>
        <v>#REF!</v>
      </c>
      <c r="K30" s="203" t="e">
        <f>+'SEMANA DEL 2 AL 7-3-26'!#REF!</f>
        <v>#REF!</v>
      </c>
      <c r="L30" s="203" t="e">
        <f>+'SEMANA DEL 2 AL 7-3-26'!#REF!</f>
        <v>#REF!</v>
      </c>
      <c r="M30" s="203" t="e">
        <f>+'SEMANA DEL 2 AL 7-3-26'!#REF!</f>
        <v>#REF!</v>
      </c>
      <c r="N30" s="203" t="e">
        <f>+'SEMANA DEL 2 AL 7-3-26'!#REF!</f>
        <v>#REF!</v>
      </c>
      <c r="O30" s="203" t="e">
        <f>+'SEMANA DEL 2 AL 7-3-26'!#REF!</f>
        <v>#REF!</v>
      </c>
      <c r="P30" s="203" t="e">
        <f>+'SEMANA DEL 2 AL 7-3-26'!#REF!</f>
        <v>#REF!</v>
      </c>
      <c r="Q30" s="203" t="e">
        <f>+'SEMANA DEL 2 AL 7-3-26'!#REF!</f>
        <v>#REF!</v>
      </c>
      <c r="R30" s="203" t="e">
        <f>+'SEMANA DEL 2 AL 7-3-26'!#REF!+'SEMANA DEL 7 AL 14'!R45+'SEMANA DEL 14 AL 21 '!R45+'SEMANA DEL 21AL 28-3'!#REF!+#REF!</f>
        <v>#REF!</v>
      </c>
      <c r="S30" s="203" t="e">
        <f>+'SEMANA DEL 2 AL 7-3-26'!#REF!+'SEMANA DEL 7 AL 14'!S45+'SEMANA DEL 14 AL 21 '!S45+'SEMANA DEL 21AL 28-3'!#REF!+#REF!</f>
        <v>#REF!</v>
      </c>
      <c r="T30" s="203" t="e">
        <f>+'SEMANA DEL 2 AL 7-3-26'!#REF!+'SEMANA DEL 7 AL 14'!T45+'SEMANA DEL 14 AL 21 '!T45+'SEMANA DEL 21AL 28-3'!#REF!+#REF!</f>
        <v>#REF!</v>
      </c>
      <c r="U30" s="203" t="e">
        <f>+'SEMANA DEL 2 AL 7-3-26'!#REF!+'SEMANA DEL 7 AL 14'!U45+'SEMANA DEL 14 AL 21 '!U45+'SEMANA DEL 21AL 28-3'!#REF!+#REF!</f>
        <v>#REF!</v>
      </c>
      <c r="V30" s="203" t="e">
        <f>+'SEMANA DEL 2 AL 7-3-26'!#REF!+'SEMANA DEL 7 AL 14'!V45+'SEMANA DEL 14 AL 21 '!V45+'SEMANA DEL 21AL 28-3'!#REF!+#REF!</f>
        <v>#REF!</v>
      </c>
      <c r="W30" s="203" t="e">
        <f>+'SEMANA DEL 2 AL 7-3-26'!#REF!+'SEMANA DEL 7 AL 14'!W45+'SEMANA DEL 14 AL 21 '!W45+'SEMANA DEL 21AL 28-3'!#REF!+#REF!</f>
        <v>#REF!</v>
      </c>
      <c r="X30" s="203" t="e">
        <f>+'SEMANA DEL 2 AL 7-3-26'!#REF!+'SEMANA DEL 7 AL 14'!X45+'SEMANA DEL 14 AL 21 '!X45+'SEMANA DEL 21AL 28-3'!#REF!+#REF!</f>
        <v>#REF!</v>
      </c>
      <c r="Y30" s="203" t="e">
        <f>+'SEMANA DEL 2 AL 7-3-26'!#REF!+'SEMANA DEL 7 AL 14'!Y45+'SEMANA DEL 14 AL 21 '!Y45+'SEMANA DEL 21AL 28-3'!#REF!+#REF!</f>
        <v>#REF!</v>
      </c>
      <c r="Z30" s="203" t="e">
        <f>+'SEMANA DEL 2 AL 7-3-26'!#REF!+'SEMANA DEL 7 AL 14'!Z45+'SEMANA DEL 14 AL 21 '!Z45+'SEMANA DEL 21AL 28-3'!#REF!+#REF!</f>
        <v>#REF!</v>
      </c>
      <c r="AA30" s="203" t="e">
        <f>+'SEMANA DEL 2 AL 7-3-26'!#REF!+'SEMANA DEL 7 AL 14'!AA45+'SEMANA DEL 14 AL 21 '!AA45+'SEMANA DEL 21AL 28-3'!#REF!+#REF!</f>
        <v>#REF!</v>
      </c>
      <c r="AB30" s="203" t="e">
        <f>+'SEMANA DEL 2 AL 7-3-26'!#REF!+'SEMANA DEL 7 AL 14'!AB45+'SEMANA DEL 14 AL 21 '!AB45+'SEMANA DEL 21AL 28-3'!#REF!+#REF!</f>
        <v>#REF!</v>
      </c>
      <c r="AC30" s="203" t="e">
        <f>+'SEMANA DEL 2 AL 7-3-26'!#REF!+'SEMANA DEL 7 AL 14'!AC45+'SEMANA DEL 14 AL 21 '!AC45+'SEMANA DEL 21AL 28-3'!#REF!+#REF!</f>
        <v>#REF!</v>
      </c>
      <c r="AD30" s="203" t="e">
        <f>+'SEMANA DEL 2 AL 7-3-26'!#REF!+'SEMANA DEL 7 AL 14'!AD45+'SEMANA DEL 14 AL 21 '!AD45+'SEMANA DEL 21AL 28-3'!#REF!+#REF!</f>
        <v>#REF!</v>
      </c>
      <c r="AE30" s="203" t="e">
        <f>+'SEMANA DEL 2 AL 7-3-26'!#REF!+'SEMANA DEL 7 AL 14'!AE45+'SEMANA DEL 14 AL 21 '!AE45+'SEMANA DEL 21AL 28-3'!#REF!+#REF!</f>
        <v>#REF!</v>
      </c>
      <c r="AF30" s="203" t="e">
        <f>+'SEMANA DEL 2 AL 7-3-26'!#REF!+'SEMANA DEL 7 AL 14'!AF45+'SEMANA DEL 14 AL 21 '!AF45+'SEMANA DEL 21AL 28-3'!#REF!+#REF!</f>
        <v>#REF!</v>
      </c>
      <c r="AG30" s="203" t="e">
        <f>+'SEMANA DEL 2 AL 7-3-26'!#REF!+'SEMANA DEL 7 AL 14'!AG45+'SEMANA DEL 14 AL 21 '!AG45+'SEMANA DEL 21AL 28-3'!#REF!+#REF!</f>
        <v>#REF!</v>
      </c>
      <c r="AH30" s="203" t="e">
        <f>+'SEMANA DEL 2 AL 7-3-26'!#REF!+'SEMANA DEL 7 AL 14'!AH45+'SEMANA DEL 14 AL 21 '!AH45+'SEMANA DEL 21AL 28-3'!#REF!+#REF!</f>
        <v>#REF!</v>
      </c>
      <c r="AI30" s="203" t="e">
        <f>+'SEMANA DEL 2 AL 7-3-26'!#REF!+'SEMANA DEL 7 AL 14'!AI45+'SEMANA DEL 14 AL 21 '!AI45+'SEMANA DEL 21AL 28-3'!#REF!+#REF!</f>
        <v>#REF!</v>
      </c>
      <c r="AJ30" s="203" t="e">
        <f>+'SEMANA DEL 2 AL 7-3-26'!#REF!+'SEMANA DEL 7 AL 14'!AJ45+'SEMANA DEL 14 AL 21 '!AJ45+'SEMANA DEL 21AL 28-3'!#REF!+#REF!</f>
        <v>#REF!</v>
      </c>
      <c r="AK30" s="203" t="e">
        <f>+'SEMANA DEL 2 AL 7-3-26'!#REF!+'SEMANA DEL 7 AL 14'!AK45+'SEMANA DEL 14 AL 21 '!AK45+'SEMANA DEL 21AL 28-3'!#REF!+#REF!</f>
        <v>#REF!</v>
      </c>
      <c r="AL30" s="203" t="e">
        <f>+'SEMANA DEL 2 AL 7-3-26'!#REF!+'SEMANA DEL 7 AL 14'!AL45+'SEMANA DEL 14 AL 21 '!AL45+'SEMANA DEL 21AL 28-3'!#REF!+#REF!</f>
        <v>#REF!</v>
      </c>
      <c r="AM30" s="203" t="e">
        <f>+'SEMANA DEL 2 AL 7-3-26'!#REF!+'SEMANA DEL 7 AL 14'!AM45+'SEMANA DEL 14 AL 21 '!AM45+'SEMANA DEL 21AL 28-3'!#REF!+#REF!</f>
        <v>#REF!</v>
      </c>
      <c r="AN30" s="203" t="e">
        <f>+'SEMANA DEL 2 AL 7-3-26'!#REF!+'SEMANA DEL 7 AL 14'!AN45+'SEMANA DEL 14 AL 21 '!AN45+'SEMANA DEL 21AL 28-3'!#REF!+#REF!</f>
        <v>#REF!</v>
      </c>
      <c r="AO30" s="203" t="e">
        <f>+'SEMANA DEL 2 AL 7-3-26'!#REF!+'SEMANA DEL 7 AL 14'!AO45+'SEMANA DEL 14 AL 21 '!AO45+'SEMANA DEL 21AL 28-3'!#REF!+#REF!</f>
        <v>#REF!</v>
      </c>
      <c r="AP30" s="203" t="e">
        <f>+'SEMANA DEL 2 AL 7-3-26'!#REF!+'SEMANA DEL 7 AL 14'!AP45+'SEMANA DEL 14 AL 21 '!AP45+'SEMANA DEL 21AL 28-3'!#REF!+#REF!</f>
        <v>#REF!</v>
      </c>
      <c r="AQ30" s="203" t="e">
        <f>+'SEMANA DEL 2 AL 7-3-26'!#REF!+'SEMANA DEL 7 AL 14'!AQ45+'SEMANA DEL 14 AL 21 '!AQ45+'SEMANA DEL 21AL 28-3'!#REF!+#REF!</f>
        <v>#REF!</v>
      </c>
      <c r="AR30" s="203" t="e">
        <f>+'SEMANA DEL 2 AL 7-3-26'!#REF!+'SEMANA DEL 7 AL 14'!AR45+'SEMANA DEL 14 AL 21 '!AR45+'SEMANA DEL 21AL 28-3'!#REF!+#REF!</f>
        <v>#REF!</v>
      </c>
      <c r="AS30" s="203" t="e">
        <f>+'SEMANA DEL 2 AL 7-3-26'!#REF!+'SEMANA DEL 7 AL 14'!AS45+'SEMANA DEL 14 AL 21 '!AS45+'SEMANA DEL 21AL 28-3'!#REF!+#REF!</f>
        <v>#REF!</v>
      </c>
      <c r="AT30" s="203" t="e">
        <f>+'SEMANA DEL 2 AL 7-3-26'!#REF!+'SEMANA DEL 7 AL 14'!AT45+'SEMANA DEL 14 AL 21 '!AT45+'SEMANA DEL 21AL 28-3'!#REF!+#REF!</f>
        <v>#REF!</v>
      </c>
      <c r="AU30" s="203" t="e">
        <f>+'SEMANA DEL 2 AL 7-3-26'!#REF!+'SEMANA DEL 7 AL 14'!AU45+'SEMANA DEL 14 AL 21 '!AU45+'SEMANA DEL 21AL 28-3'!#REF!+#REF!</f>
        <v>#REF!</v>
      </c>
      <c r="AV30" s="203" t="e">
        <f>+'SEMANA DEL 2 AL 7-3-26'!#REF!+'SEMANA DEL 7 AL 14'!AV45+'SEMANA DEL 14 AL 21 '!AV45+'SEMANA DEL 21AL 28-3'!#REF!+#REF!</f>
        <v>#REF!</v>
      </c>
      <c r="AW30" s="203" t="e">
        <f>+'SEMANA DEL 2 AL 7-3-26'!#REF!+'SEMANA DEL 7 AL 14'!AW45+'SEMANA DEL 14 AL 21 '!AW45+'SEMANA DEL 21AL 28-3'!#REF!+#REF!</f>
        <v>#REF!</v>
      </c>
      <c r="AX30" s="203" t="e">
        <f t="shared" si="1"/>
        <v>#REF!</v>
      </c>
      <c r="AY30" s="203" t="e">
        <f t="shared" si="2"/>
        <v>#REF!</v>
      </c>
      <c r="AZ30" s="203" t="e">
        <f t="shared" si="3"/>
        <v>#REF!</v>
      </c>
      <c r="BA30" s="203" t="e">
        <f t="shared" si="4"/>
        <v>#REF!</v>
      </c>
      <c r="BB30" s="203" t="e">
        <f t="shared" si="5"/>
        <v>#REF!</v>
      </c>
      <c r="BC30" s="203" t="e">
        <f t="shared" si="6"/>
        <v>#REF!</v>
      </c>
      <c r="BD30" s="203" t="e">
        <f t="shared" si="7"/>
        <v>#REF!</v>
      </c>
      <c r="BE30" s="203" t="e">
        <f t="shared" si="8"/>
        <v>#REF!</v>
      </c>
      <c r="BF30" s="203" t="e">
        <f t="shared" si="9"/>
        <v>#REF!</v>
      </c>
      <c r="BG30" s="203" t="e">
        <f t="shared" si="10"/>
        <v>#REF!</v>
      </c>
      <c r="BH30" s="203" t="e">
        <f t="shared" si="11"/>
        <v>#REF!</v>
      </c>
      <c r="BI30" s="203" t="e">
        <f t="shared" si="12"/>
        <v>#REF!</v>
      </c>
      <c r="BJ30" s="203" t="e">
        <f t="shared" si="13"/>
        <v>#REF!</v>
      </c>
      <c r="BK30" s="203" t="e">
        <f t="shared" si="14"/>
        <v>#REF!</v>
      </c>
      <c r="BL30" s="203" t="e">
        <f t="shared" si="15"/>
        <v>#REF!</v>
      </c>
      <c r="BM30" s="203" t="e">
        <f t="shared" si="16"/>
        <v>#REF!</v>
      </c>
      <c r="BN30" s="203" t="e">
        <f>+'SEMANA DEL 2 AL 7-3-26'!#REF!+'SEMANA DEL 7 AL 14'!BN45+'SEMANA DEL 14 AL 21 '!BN45+'SEMANA DEL 21AL 28-3'!#REF!+#REF!</f>
        <v>#REF!</v>
      </c>
      <c r="BO30" s="203" t="e">
        <f>+'SEMANA DEL 2 AL 7-3-26'!#REF!+'SEMANA DEL 7 AL 14'!BO45+'SEMANA DEL 14 AL 21 '!BO45+'SEMANA DEL 21AL 28-3'!#REF!+#REF!</f>
        <v>#REF!</v>
      </c>
      <c r="BP30" s="203" t="e">
        <f>+'SEMANA DEL 2 AL 7-3-26'!#REF!+'SEMANA DEL 7 AL 14'!BP45+'SEMANA DEL 14 AL 21 '!BP45+'SEMANA DEL 21AL 28-3'!#REF!+#REF!</f>
        <v>#REF!</v>
      </c>
      <c r="BQ30" s="203" t="e">
        <f>+'SEMANA DEL 2 AL 7-3-26'!#REF!+'SEMANA DEL 7 AL 14'!BQ45+'SEMANA DEL 14 AL 21 '!BQ45+'SEMANA DEL 21AL 28-3'!#REF!+#REF!</f>
        <v>#REF!</v>
      </c>
      <c r="BR30" s="203" t="e">
        <f>+'SEMANA DEL 2 AL 7-3-26'!#REF!+'SEMANA DEL 7 AL 14'!BR45+'SEMANA DEL 14 AL 21 '!BR45+'SEMANA DEL 21AL 28-3'!#REF!+#REF!</f>
        <v>#REF!</v>
      </c>
      <c r="BS30" s="203" t="e">
        <f>+'SEMANA DEL 2 AL 7-3-26'!#REF!+'SEMANA DEL 7 AL 14'!BS45+'SEMANA DEL 14 AL 21 '!BS45+'SEMANA DEL 21AL 28-3'!#REF!+#REF!</f>
        <v>#REF!</v>
      </c>
      <c r="BT30" s="203" t="e">
        <f>+'SEMANA DEL 2 AL 7-3-26'!#REF!+'SEMANA DEL 7 AL 14'!BT45+'SEMANA DEL 14 AL 21 '!BT45+'SEMANA DEL 21AL 28-3'!#REF!+#REF!</f>
        <v>#REF!</v>
      </c>
      <c r="BU30" s="203" t="e">
        <f>+'SEMANA DEL 2 AL 7-3-26'!#REF!+'SEMANA DEL 7 AL 14'!BU45+'SEMANA DEL 14 AL 21 '!BU45+'SEMANA DEL 21AL 28-3'!#REF!+#REF!</f>
        <v>#REF!</v>
      </c>
      <c r="BV30" s="203" t="e">
        <f>+'SEMANA DEL 2 AL 7-3-26'!#REF!+'SEMANA DEL 7 AL 14'!BV45+'SEMANA DEL 14 AL 21 '!BV45+'SEMANA DEL 21AL 28-3'!#REF!+#REF!</f>
        <v>#REF!</v>
      </c>
      <c r="BW30" s="203" t="e">
        <f>+'SEMANA DEL 2 AL 7-3-26'!#REF!+'SEMANA DEL 7 AL 14'!BW45+'SEMANA DEL 14 AL 21 '!BW45+'SEMANA DEL 21AL 28-3'!#REF!+#REF!</f>
        <v>#REF!</v>
      </c>
      <c r="BX30" s="203" t="e">
        <f>+'SEMANA DEL 2 AL 7-3-26'!#REF!+'SEMANA DEL 7 AL 14'!BX45+'SEMANA DEL 14 AL 21 '!BX45+'SEMANA DEL 21AL 28-3'!#REF!+#REF!</f>
        <v>#REF!</v>
      </c>
      <c r="BY30" s="203" t="e">
        <f>+'SEMANA DEL 2 AL 7-3-26'!#REF!+'SEMANA DEL 7 AL 14'!BY45+'SEMANA DEL 14 AL 21 '!BY45+'SEMANA DEL 21AL 28-3'!#REF!+#REF!</f>
        <v>#REF!</v>
      </c>
      <c r="BZ30" s="203" t="e">
        <f>+'SEMANA DEL 2 AL 7-3-26'!#REF!+'SEMANA DEL 7 AL 14'!BZ45+'SEMANA DEL 14 AL 21 '!BZ45+'SEMANA DEL 21AL 28-3'!#REF!+#REF!</f>
        <v>#REF!</v>
      </c>
      <c r="CA30" s="203" t="e">
        <f>+'SEMANA DEL 2 AL 7-3-26'!#REF!+'SEMANA DEL 7 AL 14'!CA45+'SEMANA DEL 14 AL 21 '!CA45+'SEMANA DEL 21AL 28-3'!#REF!+#REF!</f>
        <v>#REF!</v>
      </c>
      <c r="CB30" s="203" t="e">
        <f>+'SEMANA DEL 2 AL 7-3-26'!#REF!+'SEMANA DEL 7 AL 14'!CB45+'SEMANA DEL 14 AL 21 '!CB45+'SEMANA DEL 21AL 28-3'!#REF!+#REF!</f>
        <v>#REF!</v>
      </c>
      <c r="CC30" s="203" t="e">
        <f>+'SEMANA DEL 2 AL 7-3-26'!#REF!+'SEMANA DEL 7 AL 14'!CC45+'SEMANA DEL 14 AL 21 '!CC45+'SEMANA DEL 21AL 28-3'!#REF!+#REF!</f>
        <v>#REF!</v>
      </c>
      <c r="CD30" s="203" t="e">
        <f>+'SEMANA DEL 2 AL 7-3-26'!#REF!+'SEMANA DEL 7 AL 14'!CD45+'SEMANA DEL 14 AL 21 '!CD45+'SEMANA DEL 21AL 28-3'!#REF!+#REF!</f>
        <v>#REF!</v>
      </c>
      <c r="CE30" s="203" t="e">
        <f>+'SEMANA DEL 2 AL 7-3-26'!#REF!+'SEMANA DEL 7 AL 14'!CE45+'SEMANA DEL 14 AL 21 '!CE45+'SEMANA DEL 21AL 28-3'!#REF!+#REF!</f>
        <v>#REF!</v>
      </c>
      <c r="CF30" s="203" t="e">
        <f>+'SEMANA DEL 2 AL 7-3-26'!#REF!+'SEMANA DEL 7 AL 14'!CF45+'SEMANA DEL 14 AL 21 '!CF45+'SEMANA DEL 21AL 28-3'!#REF!+#REF!</f>
        <v>#REF!</v>
      </c>
      <c r="CG30" s="203" t="e">
        <f>+'SEMANA DEL 2 AL 7-3-26'!#REF!+'SEMANA DEL 7 AL 14'!CG45+'SEMANA DEL 14 AL 21 '!CG45+'SEMANA DEL 21AL 28-3'!#REF!+#REF!</f>
        <v>#REF!</v>
      </c>
      <c r="CH30" s="203" t="e">
        <f>+'SEMANA DEL 2 AL 7-3-26'!#REF!+'SEMANA DEL 7 AL 14'!CH45+'SEMANA DEL 14 AL 21 '!CH45+'SEMANA DEL 21AL 28-3'!#REF!+#REF!</f>
        <v>#REF!</v>
      </c>
      <c r="CI30" s="203" t="e">
        <f>+'SEMANA DEL 2 AL 7-3-26'!#REF!+'SEMANA DEL 7 AL 14'!CI45+'SEMANA DEL 14 AL 21 '!CI45+'SEMANA DEL 21AL 28-3'!#REF!+#REF!</f>
        <v>#REF!</v>
      </c>
    </row>
    <row r="31" spans="1:93" x14ac:dyDescent="0.2">
      <c r="A31" s="34" t="str">
        <f>+'SEMANA DEL 2 AL 7-3-26'!A31</f>
        <v xml:space="preserve">RAMON PARRA </v>
      </c>
      <c r="B31" s="203">
        <f>+'SEMANA DEL 2 AL 7-3-26'!B31</f>
        <v>0</v>
      </c>
      <c r="C31" s="203">
        <f>+'SEMANA DEL 2 AL 7-3-26'!C31</f>
        <v>0</v>
      </c>
      <c r="D31" s="203">
        <f>+'SEMANA DEL 2 AL 7-3-26'!D31</f>
        <v>0</v>
      </c>
      <c r="E31" s="203">
        <f>+'SEMANA DEL 2 AL 7-3-26'!E31</f>
        <v>0</v>
      </c>
      <c r="F31" s="203">
        <f>+'SEMANA DEL 2 AL 7-3-26'!F31</f>
        <v>0</v>
      </c>
      <c r="G31" s="203">
        <f>+'SEMANA DEL 2 AL 7-3-26'!G31</f>
        <v>0</v>
      </c>
      <c r="H31" s="203">
        <f>+'SEMANA DEL 2 AL 7-3-26'!H31</f>
        <v>0</v>
      </c>
      <c r="I31" s="203">
        <f>+'SEMANA DEL 2 AL 7-3-26'!I31</f>
        <v>0</v>
      </c>
      <c r="J31" s="203">
        <f>+'SEMANA DEL 2 AL 7-3-26'!J31</f>
        <v>0</v>
      </c>
      <c r="K31" s="203">
        <f>+'SEMANA DEL 2 AL 7-3-26'!K31</f>
        <v>0</v>
      </c>
      <c r="L31" s="203">
        <f>+'SEMANA DEL 2 AL 7-3-26'!L31</f>
        <v>0</v>
      </c>
      <c r="M31" s="203">
        <f>+'SEMANA DEL 2 AL 7-3-26'!M31</f>
        <v>0</v>
      </c>
      <c r="N31" s="203">
        <f>+'SEMANA DEL 2 AL 7-3-26'!N31</f>
        <v>0</v>
      </c>
      <c r="O31" s="203">
        <f>+'SEMANA DEL 2 AL 7-3-26'!O31</f>
        <v>0</v>
      </c>
      <c r="P31" s="203">
        <f>+'SEMANA DEL 2 AL 7-3-26'!P31</f>
        <v>0</v>
      </c>
      <c r="Q31" s="203">
        <f>+'SEMANA DEL 2 AL 7-3-26'!Q31</f>
        <v>0</v>
      </c>
      <c r="R31" s="203" t="e">
        <f>+'SEMANA DEL 2 AL 7-3-26'!R37+'SEMANA DEL 7 AL 14'!#REF!+'SEMANA DEL 14 AL 21 '!#REF!+'SEMANA DEL 21AL 28-3'!#REF!+#REF!</f>
        <v>#REF!</v>
      </c>
      <c r="S31" s="203" t="e">
        <f>+'SEMANA DEL 2 AL 7-3-26'!S37+'SEMANA DEL 7 AL 14'!#REF!+'SEMANA DEL 14 AL 21 '!#REF!+'SEMANA DEL 21AL 28-3'!#REF!+#REF!</f>
        <v>#REF!</v>
      </c>
      <c r="T31" s="203" t="e">
        <f>+'SEMANA DEL 2 AL 7-3-26'!T37+'SEMANA DEL 7 AL 14'!#REF!+'SEMANA DEL 14 AL 21 '!#REF!+'SEMANA DEL 21AL 28-3'!#REF!+#REF!</f>
        <v>#REF!</v>
      </c>
      <c r="U31" s="203" t="e">
        <f>+'SEMANA DEL 2 AL 7-3-26'!U37+'SEMANA DEL 7 AL 14'!#REF!+'SEMANA DEL 14 AL 21 '!#REF!+'SEMANA DEL 21AL 28-3'!#REF!+#REF!</f>
        <v>#REF!</v>
      </c>
      <c r="V31" s="203" t="e">
        <f>+'SEMANA DEL 2 AL 7-3-26'!V37+'SEMANA DEL 7 AL 14'!#REF!+'SEMANA DEL 14 AL 21 '!#REF!+'SEMANA DEL 21AL 28-3'!#REF!+#REF!</f>
        <v>#REF!</v>
      </c>
      <c r="W31" s="203" t="e">
        <f>+'SEMANA DEL 2 AL 7-3-26'!W37+'SEMANA DEL 7 AL 14'!#REF!+'SEMANA DEL 14 AL 21 '!#REF!+'SEMANA DEL 21AL 28-3'!#REF!+#REF!</f>
        <v>#REF!</v>
      </c>
      <c r="X31" s="203" t="e">
        <f>+'SEMANA DEL 2 AL 7-3-26'!X37+'SEMANA DEL 7 AL 14'!#REF!+'SEMANA DEL 14 AL 21 '!#REF!+'SEMANA DEL 21AL 28-3'!#REF!+#REF!</f>
        <v>#REF!</v>
      </c>
      <c r="Y31" s="203" t="e">
        <f>+'SEMANA DEL 2 AL 7-3-26'!Y37+'SEMANA DEL 7 AL 14'!#REF!+'SEMANA DEL 14 AL 21 '!#REF!+'SEMANA DEL 21AL 28-3'!#REF!+#REF!</f>
        <v>#REF!</v>
      </c>
      <c r="Z31" s="203" t="e">
        <f>+'SEMANA DEL 2 AL 7-3-26'!Z37+'SEMANA DEL 7 AL 14'!#REF!+'SEMANA DEL 14 AL 21 '!#REF!+'SEMANA DEL 21AL 28-3'!#REF!+#REF!</f>
        <v>#REF!</v>
      </c>
      <c r="AA31" s="203" t="e">
        <f>+'SEMANA DEL 2 AL 7-3-26'!AA37+'SEMANA DEL 7 AL 14'!#REF!+'SEMANA DEL 14 AL 21 '!#REF!+'SEMANA DEL 21AL 28-3'!#REF!+#REF!</f>
        <v>#REF!</v>
      </c>
      <c r="AB31" s="203" t="e">
        <f>+'SEMANA DEL 2 AL 7-3-26'!AB37+'SEMANA DEL 7 AL 14'!#REF!+'SEMANA DEL 14 AL 21 '!#REF!+'SEMANA DEL 21AL 28-3'!#REF!+#REF!</f>
        <v>#REF!</v>
      </c>
      <c r="AC31" s="203" t="e">
        <f>+'SEMANA DEL 2 AL 7-3-26'!AC37+'SEMANA DEL 7 AL 14'!#REF!+'SEMANA DEL 14 AL 21 '!#REF!+'SEMANA DEL 21AL 28-3'!#REF!+#REF!</f>
        <v>#REF!</v>
      </c>
      <c r="AD31" s="203" t="e">
        <f>+'SEMANA DEL 2 AL 7-3-26'!AD37+'SEMANA DEL 7 AL 14'!#REF!+'SEMANA DEL 14 AL 21 '!#REF!+'SEMANA DEL 21AL 28-3'!#REF!+#REF!</f>
        <v>#REF!</v>
      </c>
      <c r="AE31" s="203" t="e">
        <f>+'SEMANA DEL 2 AL 7-3-26'!AE37+'SEMANA DEL 7 AL 14'!#REF!+'SEMANA DEL 14 AL 21 '!#REF!+'SEMANA DEL 21AL 28-3'!#REF!+#REF!</f>
        <v>#REF!</v>
      </c>
      <c r="AF31" s="203" t="e">
        <f>+'SEMANA DEL 2 AL 7-3-26'!AF37+'SEMANA DEL 7 AL 14'!#REF!+'SEMANA DEL 14 AL 21 '!#REF!+'SEMANA DEL 21AL 28-3'!#REF!+#REF!</f>
        <v>#REF!</v>
      </c>
      <c r="AG31" s="203" t="e">
        <f>+'SEMANA DEL 2 AL 7-3-26'!AG37+'SEMANA DEL 7 AL 14'!#REF!+'SEMANA DEL 14 AL 21 '!#REF!+'SEMANA DEL 21AL 28-3'!#REF!+#REF!</f>
        <v>#REF!</v>
      </c>
      <c r="AH31" s="203" t="e">
        <f>+'SEMANA DEL 2 AL 7-3-26'!AH37+'SEMANA DEL 7 AL 14'!#REF!+'SEMANA DEL 14 AL 21 '!#REF!+'SEMANA DEL 21AL 28-3'!#REF!+#REF!</f>
        <v>#REF!</v>
      </c>
      <c r="AI31" s="203" t="e">
        <f>+'SEMANA DEL 2 AL 7-3-26'!AI37+'SEMANA DEL 7 AL 14'!#REF!+'SEMANA DEL 14 AL 21 '!#REF!+'SEMANA DEL 21AL 28-3'!#REF!+#REF!</f>
        <v>#REF!</v>
      </c>
      <c r="AJ31" s="203" t="e">
        <f>+'SEMANA DEL 2 AL 7-3-26'!AJ37+'SEMANA DEL 7 AL 14'!#REF!+'SEMANA DEL 14 AL 21 '!#REF!+'SEMANA DEL 21AL 28-3'!#REF!+#REF!</f>
        <v>#REF!</v>
      </c>
      <c r="AK31" s="203" t="e">
        <f>+'SEMANA DEL 2 AL 7-3-26'!AK37+'SEMANA DEL 7 AL 14'!#REF!+'SEMANA DEL 14 AL 21 '!#REF!+'SEMANA DEL 21AL 28-3'!#REF!+#REF!</f>
        <v>#REF!</v>
      </c>
      <c r="AL31" s="203" t="e">
        <f>+'SEMANA DEL 2 AL 7-3-26'!AL37+'SEMANA DEL 7 AL 14'!#REF!+'SEMANA DEL 14 AL 21 '!#REF!+'SEMANA DEL 21AL 28-3'!#REF!+#REF!</f>
        <v>#REF!</v>
      </c>
      <c r="AM31" s="203" t="e">
        <f>+'SEMANA DEL 2 AL 7-3-26'!AM37+'SEMANA DEL 7 AL 14'!#REF!+'SEMANA DEL 14 AL 21 '!#REF!+'SEMANA DEL 21AL 28-3'!#REF!+#REF!</f>
        <v>#REF!</v>
      </c>
      <c r="AN31" s="203" t="e">
        <f>+'SEMANA DEL 2 AL 7-3-26'!AN37+'SEMANA DEL 7 AL 14'!#REF!+'SEMANA DEL 14 AL 21 '!#REF!+'SEMANA DEL 21AL 28-3'!#REF!+#REF!</f>
        <v>#REF!</v>
      </c>
      <c r="AO31" s="203" t="e">
        <f>+'SEMANA DEL 2 AL 7-3-26'!AO37+'SEMANA DEL 7 AL 14'!#REF!+'SEMANA DEL 14 AL 21 '!#REF!+'SEMANA DEL 21AL 28-3'!#REF!+#REF!</f>
        <v>#REF!</v>
      </c>
      <c r="AP31" s="203" t="e">
        <f>+'SEMANA DEL 2 AL 7-3-26'!AP37+'SEMANA DEL 7 AL 14'!#REF!+'SEMANA DEL 14 AL 21 '!#REF!+'SEMANA DEL 21AL 28-3'!#REF!+#REF!</f>
        <v>#REF!</v>
      </c>
      <c r="AQ31" s="203" t="e">
        <f>+'SEMANA DEL 2 AL 7-3-26'!AQ37+'SEMANA DEL 7 AL 14'!#REF!+'SEMANA DEL 14 AL 21 '!#REF!+'SEMANA DEL 21AL 28-3'!#REF!+#REF!</f>
        <v>#REF!</v>
      </c>
      <c r="AR31" s="203" t="e">
        <f>+'SEMANA DEL 2 AL 7-3-26'!AR37+'SEMANA DEL 7 AL 14'!#REF!+'SEMANA DEL 14 AL 21 '!#REF!+'SEMANA DEL 21AL 28-3'!#REF!+#REF!</f>
        <v>#REF!</v>
      </c>
      <c r="AS31" s="203" t="e">
        <f>+'SEMANA DEL 2 AL 7-3-26'!AS37+'SEMANA DEL 7 AL 14'!#REF!+'SEMANA DEL 14 AL 21 '!#REF!+'SEMANA DEL 21AL 28-3'!#REF!+#REF!</f>
        <v>#REF!</v>
      </c>
      <c r="AT31" s="203" t="e">
        <f>+'SEMANA DEL 2 AL 7-3-26'!AT37+'SEMANA DEL 7 AL 14'!#REF!+'SEMANA DEL 14 AL 21 '!#REF!+'SEMANA DEL 21AL 28-3'!#REF!+#REF!</f>
        <v>#REF!</v>
      </c>
      <c r="AU31" s="203" t="e">
        <f>+'SEMANA DEL 2 AL 7-3-26'!AU37+'SEMANA DEL 7 AL 14'!#REF!+'SEMANA DEL 14 AL 21 '!#REF!+'SEMANA DEL 21AL 28-3'!#REF!+#REF!</f>
        <v>#REF!</v>
      </c>
      <c r="AV31" s="203" t="e">
        <f>+'SEMANA DEL 2 AL 7-3-26'!AV37+'SEMANA DEL 7 AL 14'!#REF!+'SEMANA DEL 14 AL 21 '!#REF!+'SEMANA DEL 21AL 28-3'!#REF!+#REF!</f>
        <v>#REF!</v>
      </c>
      <c r="AW31" s="203" t="e">
        <f>+'SEMANA DEL 2 AL 7-3-26'!AW37+'SEMANA DEL 7 AL 14'!#REF!+'SEMANA DEL 14 AL 21 '!#REF!+'SEMANA DEL 21AL 28-3'!#REF!+#REF!</f>
        <v>#REF!</v>
      </c>
      <c r="AX31" s="203" t="e">
        <f t="shared" si="1"/>
        <v>#REF!</v>
      </c>
      <c r="AY31" s="203" t="e">
        <f t="shared" si="2"/>
        <v>#REF!</v>
      </c>
      <c r="AZ31" s="203" t="e">
        <f t="shared" si="3"/>
        <v>#REF!</v>
      </c>
      <c r="BA31" s="203" t="e">
        <f t="shared" si="4"/>
        <v>#REF!</v>
      </c>
      <c r="BB31" s="203" t="e">
        <f t="shared" si="5"/>
        <v>#REF!</v>
      </c>
      <c r="BC31" s="203" t="e">
        <f t="shared" si="6"/>
        <v>#REF!</v>
      </c>
      <c r="BD31" s="203" t="e">
        <f t="shared" si="7"/>
        <v>#REF!</v>
      </c>
      <c r="BE31" s="203" t="e">
        <f t="shared" si="8"/>
        <v>#REF!</v>
      </c>
      <c r="BF31" s="203" t="e">
        <f t="shared" si="9"/>
        <v>#REF!</v>
      </c>
      <c r="BG31" s="203" t="e">
        <f t="shared" si="10"/>
        <v>#REF!</v>
      </c>
      <c r="BH31" s="203" t="e">
        <f t="shared" si="11"/>
        <v>#REF!</v>
      </c>
      <c r="BI31" s="203" t="e">
        <f t="shared" si="12"/>
        <v>#REF!</v>
      </c>
      <c r="BJ31" s="203" t="e">
        <f t="shared" si="13"/>
        <v>#REF!</v>
      </c>
      <c r="BK31" s="203" t="e">
        <f t="shared" si="14"/>
        <v>#REF!</v>
      </c>
      <c r="BL31" s="203" t="e">
        <f t="shared" si="15"/>
        <v>#REF!</v>
      </c>
      <c r="BM31" s="203" t="e">
        <f t="shared" si="16"/>
        <v>#REF!</v>
      </c>
      <c r="BN31" s="203" t="e">
        <f>+'SEMANA DEL 2 AL 7-3-26'!BN37+'SEMANA DEL 7 AL 14'!#REF!+'SEMANA DEL 14 AL 21 '!#REF!+'SEMANA DEL 21AL 28-3'!#REF!+#REF!</f>
        <v>#REF!</v>
      </c>
      <c r="BO31" s="203" t="e">
        <f>+'SEMANA DEL 2 AL 7-3-26'!BO37+'SEMANA DEL 7 AL 14'!#REF!+'SEMANA DEL 14 AL 21 '!#REF!+'SEMANA DEL 21AL 28-3'!#REF!+#REF!</f>
        <v>#REF!</v>
      </c>
      <c r="BP31" s="203" t="e">
        <f>+'SEMANA DEL 2 AL 7-3-26'!BP37+'SEMANA DEL 7 AL 14'!#REF!+'SEMANA DEL 14 AL 21 '!#REF!+'SEMANA DEL 21AL 28-3'!#REF!+#REF!</f>
        <v>#REF!</v>
      </c>
      <c r="BQ31" s="203" t="e">
        <f>+'SEMANA DEL 2 AL 7-3-26'!BQ37+'SEMANA DEL 7 AL 14'!#REF!+'SEMANA DEL 14 AL 21 '!#REF!+'SEMANA DEL 21AL 28-3'!#REF!+#REF!</f>
        <v>#REF!</v>
      </c>
      <c r="BR31" s="203" t="e">
        <f>+'SEMANA DEL 2 AL 7-3-26'!BR37+'SEMANA DEL 7 AL 14'!#REF!+'SEMANA DEL 14 AL 21 '!#REF!+'SEMANA DEL 21AL 28-3'!#REF!+#REF!</f>
        <v>#REF!</v>
      </c>
      <c r="BS31" s="203" t="e">
        <f>+'SEMANA DEL 2 AL 7-3-26'!BS37+'SEMANA DEL 7 AL 14'!#REF!+'SEMANA DEL 14 AL 21 '!#REF!+'SEMANA DEL 21AL 28-3'!#REF!+#REF!</f>
        <v>#REF!</v>
      </c>
      <c r="BT31" s="203" t="e">
        <f>+'SEMANA DEL 2 AL 7-3-26'!BT37+'SEMANA DEL 7 AL 14'!#REF!+'SEMANA DEL 14 AL 21 '!#REF!+'SEMANA DEL 21AL 28-3'!#REF!+#REF!</f>
        <v>#REF!</v>
      </c>
      <c r="BU31" s="203" t="e">
        <f>+'SEMANA DEL 2 AL 7-3-26'!BU37+'SEMANA DEL 7 AL 14'!#REF!+'SEMANA DEL 14 AL 21 '!#REF!+'SEMANA DEL 21AL 28-3'!#REF!+#REF!</f>
        <v>#REF!</v>
      </c>
      <c r="BV31" s="203" t="e">
        <f>+'SEMANA DEL 2 AL 7-3-26'!BV37+'SEMANA DEL 7 AL 14'!#REF!+'SEMANA DEL 14 AL 21 '!#REF!+'SEMANA DEL 21AL 28-3'!#REF!+#REF!</f>
        <v>#REF!</v>
      </c>
      <c r="BW31" s="203" t="e">
        <f>+'SEMANA DEL 2 AL 7-3-26'!BW37+'SEMANA DEL 7 AL 14'!#REF!+'SEMANA DEL 14 AL 21 '!#REF!+'SEMANA DEL 21AL 28-3'!#REF!+#REF!</f>
        <v>#REF!</v>
      </c>
      <c r="BX31" s="203" t="e">
        <f>+'SEMANA DEL 2 AL 7-3-26'!BX37+'SEMANA DEL 7 AL 14'!#REF!+'SEMANA DEL 14 AL 21 '!#REF!+'SEMANA DEL 21AL 28-3'!#REF!+#REF!</f>
        <v>#REF!</v>
      </c>
      <c r="BY31" s="203" t="e">
        <f>+'SEMANA DEL 2 AL 7-3-26'!BY37+'SEMANA DEL 7 AL 14'!#REF!+'SEMANA DEL 14 AL 21 '!#REF!+'SEMANA DEL 21AL 28-3'!#REF!+#REF!</f>
        <v>#REF!</v>
      </c>
      <c r="BZ31" s="203" t="e">
        <f>+'SEMANA DEL 2 AL 7-3-26'!BZ37+'SEMANA DEL 7 AL 14'!#REF!+'SEMANA DEL 14 AL 21 '!#REF!+'SEMANA DEL 21AL 28-3'!#REF!+#REF!</f>
        <v>#REF!</v>
      </c>
      <c r="CA31" s="203" t="e">
        <f>+'SEMANA DEL 2 AL 7-3-26'!CA37+'SEMANA DEL 7 AL 14'!#REF!+'SEMANA DEL 14 AL 21 '!#REF!+'SEMANA DEL 21AL 28-3'!#REF!+#REF!</f>
        <v>#REF!</v>
      </c>
      <c r="CB31" s="203" t="e">
        <f>+'SEMANA DEL 2 AL 7-3-26'!CB37+'SEMANA DEL 7 AL 14'!#REF!+'SEMANA DEL 14 AL 21 '!#REF!+'SEMANA DEL 21AL 28-3'!#REF!+#REF!</f>
        <v>#REF!</v>
      </c>
      <c r="CC31" s="203" t="e">
        <f>+'SEMANA DEL 2 AL 7-3-26'!CC37+'SEMANA DEL 7 AL 14'!#REF!+'SEMANA DEL 14 AL 21 '!#REF!+'SEMANA DEL 21AL 28-3'!#REF!+#REF!</f>
        <v>#REF!</v>
      </c>
      <c r="CD31" s="203" t="e">
        <f>+'SEMANA DEL 2 AL 7-3-26'!CD37+'SEMANA DEL 7 AL 14'!#REF!+'SEMANA DEL 14 AL 21 '!#REF!+'SEMANA DEL 21AL 28-3'!#REF!+#REF!</f>
        <v>#REF!</v>
      </c>
      <c r="CE31" s="203" t="e">
        <f>+'SEMANA DEL 2 AL 7-3-26'!CE37+'SEMANA DEL 7 AL 14'!#REF!+'SEMANA DEL 14 AL 21 '!#REF!+'SEMANA DEL 21AL 28-3'!#REF!+#REF!</f>
        <v>#REF!</v>
      </c>
      <c r="CF31" s="203" t="e">
        <f>+'SEMANA DEL 2 AL 7-3-26'!CF37+'SEMANA DEL 7 AL 14'!#REF!+'SEMANA DEL 14 AL 21 '!#REF!+'SEMANA DEL 21AL 28-3'!#REF!+#REF!</f>
        <v>#REF!</v>
      </c>
      <c r="CG31" s="203" t="e">
        <f>+'SEMANA DEL 2 AL 7-3-26'!CG37+'SEMANA DEL 7 AL 14'!#REF!+'SEMANA DEL 14 AL 21 '!#REF!+'SEMANA DEL 21AL 28-3'!#REF!+#REF!</f>
        <v>#REF!</v>
      </c>
      <c r="CH31" s="203" t="e">
        <f>+'SEMANA DEL 2 AL 7-3-26'!CH37+'SEMANA DEL 7 AL 14'!#REF!+'SEMANA DEL 14 AL 21 '!#REF!+'SEMANA DEL 21AL 28-3'!#REF!+#REF!</f>
        <v>#REF!</v>
      </c>
      <c r="CI31" s="203" t="e">
        <f>+'SEMANA DEL 2 AL 7-3-26'!CI37+'SEMANA DEL 7 AL 14'!#REF!+'SEMANA DEL 14 AL 21 '!#REF!+'SEMANA DEL 21AL 28-3'!#REF!+#REF!</f>
        <v>#REF!</v>
      </c>
      <c r="CO31" s="204"/>
    </row>
    <row r="32" spans="1:93" x14ac:dyDescent="0.2">
      <c r="A32" s="34" t="str">
        <f>+'SEMANA DEL 2 AL 7-3-26'!A32</f>
        <v>SULAY ALMEIDA</v>
      </c>
      <c r="B32" s="203">
        <f>+'SEMANA DEL 2 AL 7-3-26'!B32</f>
        <v>1</v>
      </c>
      <c r="C32" s="203">
        <f>+'SEMANA DEL 2 AL 7-3-26'!C32</f>
        <v>1.8099999999999996</v>
      </c>
      <c r="D32" s="203">
        <f>+'SEMANA DEL 2 AL 7-3-26'!D32</f>
        <v>6.9500000000000028</v>
      </c>
      <c r="E32" s="203">
        <f>+'SEMANA DEL 2 AL 7-3-26'!E32</f>
        <v>0</v>
      </c>
      <c r="F32" s="203">
        <f>+'SEMANA DEL 2 AL 7-3-26'!F32</f>
        <v>0</v>
      </c>
      <c r="G32" s="203">
        <f>+'SEMANA DEL 2 AL 7-3-26'!G32</f>
        <v>0</v>
      </c>
      <c r="H32" s="203">
        <f>+'SEMANA DEL 2 AL 7-3-26'!H32</f>
        <v>0</v>
      </c>
      <c r="I32" s="203">
        <f>+'SEMANA DEL 2 AL 7-3-26'!I32</f>
        <v>0</v>
      </c>
      <c r="J32" s="203">
        <f>+'SEMANA DEL 2 AL 7-3-26'!J32</f>
        <v>0</v>
      </c>
      <c r="K32" s="203">
        <f>+'SEMANA DEL 2 AL 7-3-26'!K32</f>
        <v>0</v>
      </c>
      <c r="L32" s="203">
        <f>+'SEMANA DEL 2 AL 7-3-26'!L32</f>
        <v>0</v>
      </c>
      <c r="M32" s="203">
        <f>+'SEMANA DEL 2 AL 7-3-26'!M32</f>
        <v>0</v>
      </c>
      <c r="N32" s="203">
        <f>+'SEMANA DEL 2 AL 7-3-26'!N32</f>
        <v>0</v>
      </c>
      <c r="O32" s="203">
        <f>+'SEMANA DEL 2 AL 7-3-26'!O32</f>
        <v>0</v>
      </c>
      <c r="P32" s="203">
        <f>+'SEMANA DEL 2 AL 7-3-26'!P32</f>
        <v>0</v>
      </c>
      <c r="Q32" s="203">
        <f>+'SEMANA DEL 2 AL 7-3-26'!Q32</f>
        <v>0</v>
      </c>
      <c r="R32" s="203" t="e">
        <f>+'SEMANA DEL 2 AL 7-3-26'!#REF!+'SEMANA DEL 7 AL 14'!#REF!+'SEMANA DEL 14 AL 21 '!#REF!+'SEMANA DEL 21AL 28-3'!#REF!+#REF!</f>
        <v>#REF!</v>
      </c>
      <c r="S32" s="203" t="e">
        <f>+'SEMANA DEL 2 AL 7-3-26'!#REF!+'SEMANA DEL 7 AL 14'!#REF!+'SEMANA DEL 14 AL 21 '!#REF!+'SEMANA DEL 21AL 28-3'!#REF!+#REF!</f>
        <v>#REF!</v>
      </c>
      <c r="T32" s="203" t="e">
        <f>+'SEMANA DEL 2 AL 7-3-26'!#REF!+'SEMANA DEL 7 AL 14'!#REF!+'SEMANA DEL 14 AL 21 '!#REF!+'SEMANA DEL 21AL 28-3'!#REF!+#REF!</f>
        <v>#REF!</v>
      </c>
      <c r="U32" s="203" t="e">
        <f>+'SEMANA DEL 2 AL 7-3-26'!#REF!+'SEMANA DEL 7 AL 14'!#REF!+'SEMANA DEL 14 AL 21 '!#REF!+'SEMANA DEL 21AL 28-3'!#REF!+#REF!</f>
        <v>#REF!</v>
      </c>
      <c r="V32" s="203" t="e">
        <f>+'SEMANA DEL 2 AL 7-3-26'!#REF!+'SEMANA DEL 7 AL 14'!#REF!+'SEMANA DEL 14 AL 21 '!#REF!+'SEMANA DEL 21AL 28-3'!#REF!+#REF!</f>
        <v>#REF!</v>
      </c>
      <c r="W32" s="203" t="e">
        <f>+'SEMANA DEL 2 AL 7-3-26'!#REF!+'SEMANA DEL 7 AL 14'!#REF!+'SEMANA DEL 14 AL 21 '!#REF!+'SEMANA DEL 21AL 28-3'!#REF!+#REF!</f>
        <v>#REF!</v>
      </c>
      <c r="X32" s="203" t="e">
        <f>+'SEMANA DEL 2 AL 7-3-26'!#REF!+'SEMANA DEL 7 AL 14'!#REF!+'SEMANA DEL 14 AL 21 '!#REF!+'SEMANA DEL 21AL 28-3'!#REF!+#REF!</f>
        <v>#REF!</v>
      </c>
      <c r="Y32" s="203" t="e">
        <f>+'SEMANA DEL 2 AL 7-3-26'!#REF!+'SEMANA DEL 7 AL 14'!#REF!+'SEMANA DEL 14 AL 21 '!#REF!+'SEMANA DEL 21AL 28-3'!#REF!+#REF!</f>
        <v>#REF!</v>
      </c>
      <c r="Z32" s="203" t="e">
        <f>+'SEMANA DEL 2 AL 7-3-26'!#REF!+'SEMANA DEL 7 AL 14'!#REF!+'SEMANA DEL 14 AL 21 '!#REF!+'SEMANA DEL 21AL 28-3'!#REF!+#REF!</f>
        <v>#REF!</v>
      </c>
      <c r="AA32" s="203" t="e">
        <f>+'SEMANA DEL 2 AL 7-3-26'!#REF!+'SEMANA DEL 7 AL 14'!#REF!+'SEMANA DEL 14 AL 21 '!#REF!+'SEMANA DEL 21AL 28-3'!#REF!+#REF!</f>
        <v>#REF!</v>
      </c>
      <c r="AB32" s="203" t="e">
        <f>+'SEMANA DEL 2 AL 7-3-26'!#REF!+'SEMANA DEL 7 AL 14'!#REF!+'SEMANA DEL 14 AL 21 '!#REF!+'SEMANA DEL 21AL 28-3'!#REF!+#REF!</f>
        <v>#REF!</v>
      </c>
      <c r="AC32" s="203" t="e">
        <f>+'SEMANA DEL 2 AL 7-3-26'!#REF!+'SEMANA DEL 7 AL 14'!#REF!+'SEMANA DEL 14 AL 21 '!#REF!+'SEMANA DEL 21AL 28-3'!#REF!+#REF!</f>
        <v>#REF!</v>
      </c>
      <c r="AD32" s="203" t="e">
        <f>+'SEMANA DEL 2 AL 7-3-26'!#REF!+'SEMANA DEL 7 AL 14'!#REF!+'SEMANA DEL 14 AL 21 '!#REF!+'SEMANA DEL 21AL 28-3'!#REF!+#REF!</f>
        <v>#REF!</v>
      </c>
      <c r="AE32" s="203" t="e">
        <f>+'SEMANA DEL 2 AL 7-3-26'!#REF!+'SEMANA DEL 7 AL 14'!#REF!+'SEMANA DEL 14 AL 21 '!#REF!+'SEMANA DEL 21AL 28-3'!#REF!+#REF!</f>
        <v>#REF!</v>
      </c>
      <c r="AF32" s="203" t="e">
        <f>+'SEMANA DEL 2 AL 7-3-26'!#REF!+'SEMANA DEL 7 AL 14'!#REF!+'SEMANA DEL 14 AL 21 '!#REF!+'SEMANA DEL 21AL 28-3'!#REF!+#REF!</f>
        <v>#REF!</v>
      </c>
      <c r="AG32" s="203" t="e">
        <f>+'SEMANA DEL 2 AL 7-3-26'!#REF!+'SEMANA DEL 7 AL 14'!#REF!+'SEMANA DEL 14 AL 21 '!#REF!+'SEMANA DEL 21AL 28-3'!#REF!+#REF!</f>
        <v>#REF!</v>
      </c>
      <c r="AH32" s="203" t="e">
        <f>+'SEMANA DEL 2 AL 7-3-26'!#REF!+'SEMANA DEL 7 AL 14'!#REF!+'SEMANA DEL 14 AL 21 '!#REF!+'SEMANA DEL 21AL 28-3'!#REF!+#REF!</f>
        <v>#REF!</v>
      </c>
      <c r="AI32" s="203" t="e">
        <f>+'SEMANA DEL 2 AL 7-3-26'!#REF!+'SEMANA DEL 7 AL 14'!#REF!+'SEMANA DEL 14 AL 21 '!#REF!+'SEMANA DEL 21AL 28-3'!#REF!+#REF!</f>
        <v>#REF!</v>
      </c>
      <c r="AJ32" s="203" t="e">
        <f>+'SEMANA DEL 2 AL 7-3-26'!#REF!+'SEMANA DEL 7 AL 14'!#REF!+'SEMANA DEL 14 AL 21 '!#REF!+'SEMANA DEL 21AL 28-3'!#REF!+#REF!</f>
        <v>#REF!</v>
      </c>
      <c r="AK32" s="203" t="e">
        <f>+'SEMANA DEL 2 AL 7-3-26'!#REF!+'SEMANA DEL 7 AL 14'!#REF!+'SEMANA DEL 14 AL 21 '!#REF!+'SEMANA DEL 21AL 28-3'!#REF!+#REF!</f>
        <v>#REF!</v>
      </c>
      <c r="AL32" s="203" t="e">
        <f>+'SEMANA DEL 2 AL 7-3-26'!#REF!+'SEMANA DEL 7 AL 14'!#REF!+'SEMANA DEL 14 AL 21 '!#REF!+'SEMANA DEL 21AL 28-3'!#REF!+#REF!</f>
        <v>#REF!</v>
      </c>
      <c r="AM32" s="203" t="e">
        <f>+'SEMANA DEL 2 AL 7-3-26'!#REF!+'SEMANA DEL 7 AL 14'!#REF!+'SEMANA DEL 14 AL 21 '!#REF!+'SEMANA DEL 21AL 28-3'!#REF!+#REF!</f>
        <v>#REF!</v>
      </c>
      <c r="AN32" s="203" t="e">
        <f>+'SEMANA DEL 2 AL 7-3-26'!#REF!+'SEMANA DEL 7 AL 14'!#REF!+'SEMANA DEL 14 AL 21 '!#REF!+'SEMANA DEL 21AL 28-3'!#REF!+#REF!</f>
        <v>#REF!</v>
      </c>
      <c r="AO32" s="203" t="e">
        <f>+'SEMANA DEL 2 AL 7-3-26'!#REF!+'SEMANA DEL 7 AL 14'!#REF!+'SEMANA DEL 14 AL 21 '!#REF!+'SEMANA DEL 21AL 28-3'!#REF!+#REF!</f>
        <v>#REF!</v>
      </c>
      <c r="AP32" s="203" t="e">
        <f>+'SEMANA DEL 2 AL 7-3-26'!#REF!+'SEMANA DEL 7 AL 14'!#REF!+'SEMANA DEL 14 AL 21 '!#REF!+'SEMANA DEL 21AL 28-3'!#REF!+#REF!</f>
        <v>#REF!</v>
      </c>
      <c r="AQ32" s="203" t="e">
        <f>+'SEMANA DEL 2 AL 7-3-26'!#REF!+'SEMANA DEL 7 AL 14'!#REF!+'SEMANA DEL 14 AL 21 '!#REF!+'SEMANA DEL 21AL 28-3'!#REF!+#REF!</f>
        <v>#REF!</v>
      </c>
      <c r="AR32" s="203" t="e">
        <f>+'SEMANA DEL 2 AL 7-3-26'!#REF!+'SEMANA DEL 7 AL 14'!#REF!+'SEMANA DEL 14 AL 21 '!#REF!+'SEMANA DEL 21AL 28-3'!#REF!+#REF!</f>
        <v>#REF!</v>
      </c>
      <c r="AS32" s="203" t="e">
        <f>+'SEMANA DEL 2 AL 7-3-26'!#REF!+'SEMANA DEL 7 AL 14'!#REF!+'SEMANA DEL 14 AL 21 '!#REF!+'SEMANA DEL 21AL 28-3'!#REF!+#REF!</f>
        <v>#REF!</v>
      </c>
      <c r="AT32" s="203" t="e">
        <f>+'SEMANA DEL 2 AL 7-3-26'!#REF!+'SEMANA DEL 7 AL 14'!#REF!+'SEMANA DEL 14 AL 21 '!#REF!+'SEMANA DEL 21AL 28-3'!#REF!+#REF!</f>
        <v>#REF!</v>
      </c>
      <c r="AU32" s="203" t="e">
        <f>+'SEMANA DEL 2 AL 7-3-26'!#REF!+'SEMANA DEL 7 AL 14'!#REF!+'SEMANA DEL 14 AL 21 '!#REF!+'SEMANA DEL 21AL 28-3'!#REF!+#REF!</f>
        <v>#REF!</v>
      </c>
      <c r="AV32" s="203" t="e">
        <f>+'SEMANA DEL 2 AL 7-3-26'!#REF!+'SEMANA DEL 7 AL 14'!#REF!+'SEMANA DEL 14 AL 21 '!#REF!+'SEMANA DEL 21AL 28-3'!#REF!+#REF!</f>
        <v>#REF!</v>
      </c>
      <c r="AW32" s="203" t="e">
        <f>+'SEMANA DEL 2 AL 7-3-26'!#REF!+'SEMANA DEL 7 AL 14'!#REF!+'SEMANA DEL 14 AL 21 '!#REF!+'SEMANA DEL 21AL 28-3'!#REF!+#REF!</f>
        <v>#REF!</v>
      </c>
      <c r="AX32" s="203" t="e">
        <f t="shared" si="1"/>
        <v>#REF!</v>
      </c>
      <c r="AY32" s="203" t="e">
        <f t="shared" si="2"/>
        <v>#REF!</v>
      </c>
      <c r="AZ32" s="203" t="e">
        <f t="shared" si="3"/>
        <v>#REF!</v>
      </c>
      <c r="BA32" s="203" t="e">
        <f t="shared" si="4"/>
        <v>#REF!</v>
      </c>
      <c r="BB32" s="203" t="e">
        <f t="shared" si="5"/>
        <v>#REF!</v>
      </c>
      <c r="BC32" s="203" t="e">
        <f t="shared" si="6"/>
        <v>#REF!</v>
      </c>
      <c r="BD32" s="203" t="e">
        <f t="shared" si="7"/>
        <v>#REF!</v>
      </c>
      <c r="BE32" s="203" t="e">
        <f t="shared" si="8"/>
        <v>#REF!</v>
      </c>
      <c r="BF32" s="203" t="e">
        <f t="shared" si="9"/>
        <v>#REF!</v>
      </c>
      <c r="BG32" s="203" t="e">
        <f t="shared" si="10"/>
        <v>#REF!</v>
      </c>
      <c r="BH32" s="203" t="e">
        <f t="shared" si="11"/>
        <v>#REF!</v>
      </c>
      <c r="BI32" s="203" t="e">
        <f t="shared" si="12"/>
        <v>#REF!</v>
      </c>
      <c r="BJ32" s="203" t="e">
        <f t="shared" si="13"/>
        <v>#REF!</v>
      </c>
      <c r="BK32" s="203" t="e">
        <f t="shared" si="14"/>
        <v>#REF!</v>
      </c>
      <c r="BL32" s="203" t="e">
        <f t="shared" si="15"/>
        <v>#REF!</v>
      </c>
      <c r="BM32" s="203" t="e">
        <f t="shared" si="16"/>
        <v>#REF!</v>
      </c>
      <c r="BN32" s="203" t="e">
        <f>+'SEMANA DEL 2 AL 7-3-26'!#REF!+'SEMANA DEL 7 AL 14'!#REF!+'SEMANA DEL 14 AL 21 '!#REF!+'SEMANA DEL 21AL 28-3'!#REF!+#REF!</f>
        <v>#REF!</v>
      </c>
      <c r="BO32" s="203" t="e">
        <f>+'SEMANA DEL 2 AL 7-3-26'!#REF!+'SEMANA DEL 7 AL 14'!#REF!+'SEMANA DEL 14 AL 21 '!#REF!+'SEMANA DEL 21AL 28-3'!#REF!+#REF!</f>
        <v>#REF!</v>
      </c>
      <c r="BP32" s="203" t="e">
        <f>+'SEMANA DEL 2 AL 7-3-26'!#REF!+'SEMANA DEL 7 AL 14'!#REF!+'SEMANA DEL 14 AL 21 '!#REF!+'SEMANA DEL 21AL 28-3'!#REF!+#REF!</f>
        <v>#REF!</v>
      </c>
      <c r="BQ32" s="203" t="e">
        <f>+'SEMANA DEL 2 AL 7-3-26'!#REF!+'SEMANA DEL 7 AL 14'!#REF!+'SEMANA DEL 14 AL 21 '!#REF!+'SEMANA DEL 21AL 28-3'!#REF!+#REF!</f>
        <v>#REF!</v>
      </c>
      <c r="BR32" s="203" t="e">
        <f>+'SEMANA DEL 2 AL 7-3-26'!#REF!+'SEMANA DEL 7 AL 14'!#REF!+'SEMANA DEL 14 AL 21 '!#REF!+'SEMANA DEL 21AL 28-3'!#REF!+#REF!</f>
        <v>#REF!</v>
      </c>
      <c r="BS32" s="203" t="e">
        <f>+'SEMANA DEL 2 AL 7-3-26'!#REF!+'SEMANA DEL 7 AL 14'!#REF!+'SEMANA DEL 14 AL 21 '!#REF!+'SEMANA DEL 21AL 28-3'!#REF!+#REF!</f>
        <v>#REF!</v>
      </c>
      <c r="BT32" s="203" t="e">
        <f>+'SEMANA DEL 2 AL 7-3-26'!#REF!+'SEMANA DEL 7 AL 14'!#REF!+'SEMANA DEL 14 AL 21 '!#REF!+'SEMANA DEL 21AL 28-3'!#REF!+#REF!</f>
        <v>#REF!</v>
      </c>
      <c r="BU32" s="203" t="e">
        <f>+'SEMANA DEL 2 AL 7-3-26'!#REF!+'SEMANA DEL 7 AL 14'!#REF!+'SEMANA DEL 14 AL 21 '!#REF!+'SEMANA DEL 21AL 28-3'!#REF!+#REF!</f>
        <v>#REF!</v>
      </c>
      <c r="BV32" s="203" t="e">
        <f>+'SEMANA DEL 2 AL 7-3-26'!#REF!+'SEMANA DEL 7 AL 14'!#REF!+'SEMANA DEL 14 AL 21 '!#REF!+'SEMANA DEL 21AL 28-3'!#REF!+#REF!</f>
        <v>#REF!</v>
      </c>
      <c r="BW32" s="203" t="e">
        <f>+'SEMANA DEL 2 AL 7-3-26'!#REF!+'SEMANA DEL 7 AL 14'!#REF!+'SEMANA DEL 14 AL 21 '!#REF!+'SEMANA DEL 21AL 28-3'!#REF!+#REF!</f>
        <v>#REF!</v>
      </c>
      <c r="BX32" s="203" t="e">
        <f>+'SEMANA DEL 2 AL 7-3-26'!#REF!+'SEMANA DEL 7 AL 14'!#REF!+'SEMANA DEL 14 AL 21 '!#REF!+'SEMANA DEL 21AL 28-3'!#REF!+#REF!</f>
        <v>#REF!</v>
      </c>
      <c r="BY32" s="203" t="e">
        <f>+'SEMANA DEL 2 AL 7-3-26'!#REF!+'SEMANA DEL 7 AL 14'!#REF!+'SEMANA DEL 14 AL 21 '!#REF!+'SEMANA DEL 21AL 28-3'!#REF!+#REF!</f>
        <v>#REF!</v>
      </c>
      <c r="BZ32" s="203" t="e">
        <f>+'SEMANA DEL 2 AL 7-3-26'!#REF!+'SEMANA DEL 7 AL 14'!#REF!+'SEMANA DEL 14 AL 21 '!#REF!+'SEMANA DEL 21AL 28-3'!#REF!+#REF!</f>
        <v>#REF!</v>
      </c>
      <c r="CA32" s="203" t="e">
        <f>+'SEMANA DEL 2 AL 7-3-26'!#REF!+'SEMANA DEL 7 AL 14'!#REF!+'SEMANA DEL 14 AL 21 '!#REF!+'SEMANA DEL 21AL 28-3'!#REF!+#REF!</f>
        <v>#REF!</v>
      </c>
      <c r="CB32" s="203" t="e">
        <f>+'SEMANA DEL 2 AL 7-3-26'!#REF!+'SEMANA DEL 7 AL 14'!#REF!+'SEMANA DEL 14 AL 21 '!#REF!+'SEMANA DEL 21AL 28-3'!#REF!+#REF!</f>
        <v>#REF!</v>
      </c>
      <c r="CC32" s="203" t="e">
        <f>+'SEMANA DEL 2 AL 7-3-26'!#REF!+'SEMANA DEL 7 AL 14'!#REF!+'SEMANA DEL 14 AL 21 '!#REF!+'SEMANA DEL 21AL 28-3'!#REF!+#REF!</f>
        <v>#REF!</v>
      </c>
      <c r="CD32" s="203" t="e">
        <f>+'SEMANA DEL 2 AL 7-3-26'!#REF!+'SEMANA DEL 7 AL 14'!#REF!+'SEMANA DEL 14 AL 21 '!#REF!+'SEMANA DEL 21AL 28-3'!#REF!+#REF!</f>
        <v>#REF!</v>
      </c>
      <c r="CE32" s="203" t="e">
        <f>+'SEMANA DEL 2 AL 7-3-26'!#REF!+'SEMANA DEL 7 AL 14'!#REF!+'SEMANA DEL 14 AL 21 '!#REF!+'SEMANA DEL 21AL 28-3'!#REF!+#REF!</f>
        <v>#REF!</v>
      </c>
      <c r="CF32" s="203" t="e">
        <f>+'SEMANA DEL 2 AL 7-3-26'!#REF!+'SEMANA DEL 7 AL 14'!#REF!+'SEMANA DEL 14 AL 21 '!#REF!+'SEMANA DEL 21AL 28-3'!#REF!+#REF!</f>
        <v>#REF!</v>
      </c>
      <c r="CG32" s="203" t="e">
        <f>+'SEMANA DEL 2 AL 7-3-26'!#REF!+'SEMANA DEL 7 AL 14'!#REF!+'SEMANA DEL 14 AL 21 '!#REF!+'SEMANA DEL 21AL 28-3'!#REF!+#REF!</f>
        <v>#REF!</v>
      </c>
      <c r="CH32" s="203" t="e">
        <f>+'SEMANA DEL 2 AL 7-3-26'!#REF!+'SEMANA DEL 7 AL 14'!#REF!+'SEMANA DEL 14 AL 21 '!#REF!+'SEMANA DEL 21AL 28-3'!#REF!+#REF!</f>
        <v>#REF!</v>
      </c>
      <c r="CI32" s="203" t="e">
        <f>+'SEMANA DEL 2 AL 7-3-26'!#REF!+'SEMANA DEL 7 AL 14'!#REF!+'SEMANA DEL 14 AL 21 '!#REF!+'SEMANA DEL 21AL 28-3'!#REF!+#REF!</f>
        <v>#REF!</v>
      </c>
      <c r="CO32" s="204"/>
    </row>
    <row r="33" spans="1:93" x14ac:dyDescent="0.2">
      <c r="A33" s="34" t="str">
        <f>+'SEMANA DEL 2 AL 7-3-26'!A33</f>
        <v xml:space="preserve">RENE ALMEIDA </v>
      </c>
      <c r="B33" s="203">
        <f>+'SEMANA DEL 2 AL 7-3-26'!B33</f>
        <v>1.3499999999999996</v>
      </c>
      <c r="C33" s="203">
        <f>+'SEMANA DEL 2 AL 7-3-26'!C33</f>
        <v>1.4300000000000006</v>
      </c>
      <c r="D33" s="203">
        <f>+'SEMANA DEL 2 AL 7-3-26'!D33</f>
        <v>12.75</v>
      </c>
      <c r="E33" s="203">
        <f>+'SEMANA DEL 2 AL 7-3-26'!E33</f>
        <v>0</v>
      </c>
      <c r="F33" s="203">
        <f>+'SEMANA DEL 2 AL 7-3-26'!F33</f>
        <v>0</v>
      </c>
      <c r="G33" s="203">
        <f>+'SEMANA DEL 2 AL 7-3-26'!G33</f>
        <v>0</v>
      </c>
      <c r="H33" s="203">
        <f>+'SEMANA DEL 2 AL 7-3-26'!H33</f>
        <v>0</v>
      </c>
      <c r="I33" s="203">
        <f>+'SEMANA DEL 2 AL 7-3-26'!I33</f>
        <v>0</v>
      </c>
      <c r="J33" s="203">
        <f>+'SEMANA DEL 2 AL 7-3-26'!J33</f>
        <v>0</v>
      </c>
      <c r="K33" s="203">
        <f>+'SEMANA DEL 2 AL 7-3-26'!K33</f>
        <v>0</v>
      </c>
      <c r="L33" s="203">
        <f>+'SEMANA DEL 2 AL 7-3-26'!L33</f>
        <v>0</v>
      </c>
      <c r="M33" s="203">
        <f>+'SEMANA DEL 2 AL 7-3-26'!M33</f>
        <v>0</v>
      </c>
      <c r="N33" s="203">
        <f>+'SEMANA DEL 2 AL 7-3-26'!N33</f>
        <v>0</v>
      </c>
      <c r="O33" s="203">
        <f>+'SEMANA DEL 2 AL 7-3-26'!O33</f>
        <v>0</v>
      </c>
      <c r="P33" s="203">
        <f>+'SEMANA DEL 2 AL 7-3-26'!P33</f>
        <v>0</v>
      </c>
      <c r="Q33" s="203">
        <f>+'SEMANA DEL 2 AL 7-3-26'!Q33</f>
        <v>0</v>
      </c>
      <c r="R33" s="203" t="e">
        <f>+'SEMANA DEL 2 AL 7-3-26'!#REF!+'SEMANA DEL 7 AL 14'!#REF!+'SEMANA DEL 14 AL 21 '!#REF!+'SEMANA DEL 21AL 28-3'!#REF!+#REF!</f>
        <v>#REF!</v>
      </c>
      <c r="S33" s="203" t="e">
        <f>+'SEMANA DEL 2 AL 7-3-26'!#REF!+'SEMANA DEL 7 AL 14'!#REF!+'SEMANA DEL 14 AL 21 '!#REF!+'SEMANA DEL 21AL 28-3'!#REF!+#REF!</f>
        <v>#REF!</v>
      </c>
      <c r="T33" s="203" t="e">
        <f>+'SEMANA DEL 2 AL 7-3-26'!#REF!+'SEMANA DEL 7 AL 14'!#REF!+'SEMANA DEL 14 AL 21 '!#REF!+'SEMANA DEL 21AL 28-3'!#REF!+#REF!</f>
        <v>#REF!</v>
      </c>
      <c r="U33" s="203" t="e">
        <f>+'SEMANA DEL 2 AL 7-3-26'!#REF!+'SEMANA DEL 7 AL 14'!#REF!+'SEMANA DEL 14 AL 21 '!#REF!+'SEMANA DEL 21AL 28-3'!#REF!+#REF!</f>
        <v>#REF!</v>
      </c>
      <c r="V33" s="203" t="e">
        <f>+'SEMANA DEL 2 AL 7-3-26'!#REF!+'SEMANA DEL 7 AL 14'!#REF!+'SEMANA DEL 14 AL 21 '!#REF!+'SEMANA DEL 21AL 28-3'!#REF!+#REF!</f>
        <v>#REF!</v>
      </c>
      <c r="W33" s="203" t="e">
        <f>+'SEMANA DEL 2 AL 7-3-26'!#REF!+'SEMANA DEL 7 AL 14'!#REF!+'SEMANA DEL 14 AL 21 '!#REF!+'SEMANA DEL 21AL 28-3'!#REF!+#REF!</f>
        <v>#REF!</v>
      </c>
      <c r="X33" s="203" t="e">
        <f>+'SEMANA DEL 2 AL 7-3-26'!#REF!+'SEMANA DEL 7 AL 14'!#REF!+'SEMANA DEL 14 AL 21 '!#REF!+'SEMANA DEL 21AL 28-3'!#REF!+#REF!</f>
        <v>#REF!</v>
      </c>
      <c r="Y33" s="203" t="e">
        <f>+'SEMANA DEL 2 AL 7-3-26'!#REF!+'SEMANA DEL 7 AL 14'!#REF!+'SEMANA DEL 14 AL 21 '!#REF!+'SEMANA DEL 21AL 28-3'!#REF!+#REF!</f>
        <v>#REF!</v>
      </c>
      <c r="Z33" s="203" t="e">
        <f>+'SEMANA DEL 2 AL 7-3-26'!#REF!+'SEMANA DEL 7 AL 14'!#REF!+'SEMANA DEL 14 AL 21 '!#REF!+'SEMANA DEL 21AL 28-3'!#REF!+#REF!</f>
        <v>#REF!</v>
      </c>
      <c r="AA33" s="203" t="e">
        <f>+'SEMANA DEL 2 AL 7-3-26'!#REF!+'SEMANA DEL 7 AL 14'!#REF!+'SEMANA DEL 14 AL 21 '!#REF!+'SEMANA DEL 21AL 28-3'!#REF!+#REF!</f>
        <v>#REF!</v>
      </c>
      <c r="AB33" s="203" t="e">
        <f>+'SEMANA DEL 2 AL 7-3-26'!#REF!+'SEMANA DEL 7 AL 14'!#REF!+'SEMANA DEL 14 AL 21 '!#REF!+'SEMANA DEL 21AL 28-3'!#REF!+#REF!</f>
        <v>#REF!</v>
      </c>
      <c r="AC33" s="203" t="e">
        <f>+'SEMANA DEL 2 AL 7-3-26'!#REF!+'SEMANA DEL 7 AL 14'!#REF!+'SEMANA DEL 14 AL 21 '!#REF!+'SEMANA DEL 21AL 28-3'!#REF!+#REF!</f>
        <v>#REF!</v>
      </c>
      <c r="AD33" s="203" t="e">
        <f>+'SEMANA DEL 2 AL 7-3-26'!#REF!+'SEMANA DEL 7 AL 14'!#REF!+'SEMANA DEL 14 AL 21 '!#REF!+'SEMANA DEL 21AL 28-3'!#REF!+#REF!</f>
        <v>#REF!</v>
      </c>
      <c r="AE33" s="203" t="e">
        <f>+'SEMANA DEL 2 AL 7-3-26'!#REF!+'SEMANA DEL 7 AL 14'!#REF!+'SEMANA DEL 14 AL 21 '!#REF!+'SEMANA DEL 21AL 28-3'!#REF!+#REF!</f>
        <v>#REF!</v>
      </c>
      <c r="AF33" s="203" t="e">
        <f>+'SEMANA DEL 2 AL 7-3-26'!#REF!+'SEMANA DEL 7 AL 14'!#REF!+'SEMANA DEL 14 AL 21 '!#REF!+'SEMANA DEL 21AL 28-3'!#REF!+#REF!</f>
        <v>#REF!</v>
      </c>
      <c r="AG33" s="203" t="e">
        <f>+'SEMANA DEL 2 AL 7-3-26'!#REF!+'SEMANA DEL 7 AL 14'!#REF!+'SEMANA DEL 14 AL 21 '!#REF!+'SEMANA DEL 21AL 28-3'!#REF!+#REF!</f>
        <v>#REF!</v>
      </c>
      <c r="AH33" s="203" t="e">
        <f>+'SEMANA DEL 2 AL 7-3-26'!#REF!+'SEMANA DEL 7 AL 14'!#REF!+'SEMANA DEL 14 AL 21 '!#REF!+'SEMANA DEL 21AL 28-3'!#REF!+#REF!</f>
        <v>#REF!</v>
      </c>
      <c r="AI33" s="203" t="e">
        <f>+'SEMANA DEL 2 AL 7-3-26'!#REF!+'SEMANA DEL 7 AL 14'!#REF!+'SEMANA DEL 14 AL 21 '!#REF!+'SEMANA DEL 21AL 28-3'!#REF!+#REF!</f>
        <v>#REF!</v>
      </c>
      <c r="AJ33" s="203" t="e">
        <f>+'SEMANA DEL 2 AL 7-3-26'!#REF!+'SEMANA DEL 7 AL 14'!#REF!+'SEMANA DEL 14 AL 21 '!#REF!+'SEMANA DEL 21AL 28-3'!#REF!+#REF!</f>
        <v>#REF!</v>
      </c>
      <c r="AK33" s="203" t="e">
        <f>+'SEMANA DEL 2 AL 7-3-26'!#REF!+'SEMANA DEL 7 AL 14'!#REF!+'SEMANA DEL 14 AL 21 '!#REF!+'SEMANA DEL 21AL 28-3'!#REF!+#REF!</f>
        <v>#REF!</v>
      </c>
      <c r="AL33" s="203" t="e">
        <f>+'SEMANA DEL 2 AL 7-3-26'!#REF!+'SEMANA DEL 7 AL 14'!#REF!+'SEMANA DEL 14 AL 21 '!#REF!+'SEMANA DEL 21AL 28-3'!#REF!+#REF!</f>
        <v>#REF!</v>
      </c>
      <c r="AM33" s="203" t="e">
        <f>+'SEMANA DEL 2 AL 7-3-26'!#REF!+'SEMANA DEL 7 AL 14'!#REF!+'SEMANA DEL 14 AL 21 '!#REF!+'SEMANA DEL 21AL 28-3'!#REF!+#REF!</f>
        <v>#REF!</v>
      </c>
      <c r="AN33" s="203" t="e">
        <f>+'SEMANA DEL 2 AL 7-3-26'!#REF!+'SEMANA DEL 7 AL 14'!#REF!+'SEMANA DEL 14 AL 21 '!#REF!+'SEMANA DEL 21AL 28-3'!#REF!+#REF!</f>
        <v>#REF!</v>
      </c>
      <c r="AO33" s="203" t="e">
        <f>+'SEMANA DEL 2 AL 7-3-26'!#REF!+'SEMANA DEL 7 AL 14'!#REF!+'SEMANA DEL 14 AL 21 '!#REF!+'SEMANA DEL 21AL 28-3'!#REF!+#REF!</f>
        <v>#REF!</v>
      </c>
      <c r="AP33" s="203" t="e">
        <f>+'SEMANA DEL 2 AL 7-3-26'!#REF!+'SEMANA DEL 7 AL 14'!#REF!+'SEMANA DEL 14 AL 21 '!#REF!+'SEMANA DEL 21AL 28-3'!#REF!+#REF!</f>
        <v>#REF!</v>
      </c>
      <c r="AQ33" s="203" t="e">
        <f>+'SEMANA DEL 2 AL 7-3-26'!#REF!+'SEMANA DEL 7 AL 14'!#REF!+'SEMANA DEL 14 AL 21 '!#REF!+'SEMANA DEL 21AL 28-3'!#REF!+#REF!</f>
        <v>#REF!</v>
      </c>
      <c r="AR33" s="203" t="e">
        <f>+'SEMANA DEL 2 AL 7-3-26'!#REF!+'SEMANA DEL 7 AL 14'!#REF!+'SEMANA DEL 14 AL 21 '!#REF!+'SEMANA DEL 21AL 28-3'!#REF!+#REF!</f>
        <v>#REF!</v>
      </c>
      <c r="AS33" s="203" t="e">
        <f>+'SEMANA DEL 2 AL 7-3-26'!#REF!+'SEMANA DEL 7 AL 14'!#REF!+'SEMANA DEL 14 AL 21 '!#REF!+'SEMANA DEL 21AL 28-3'!#REF!+#REF!</f>
        <v>#REF!</v>
      </c>
      <c r="AT33" s="203" t="e">
        <f>+'SEMANA DEL 2 AL 7-3-26'!#REF!+'SEMANA DEL 7 AL 14'!#REF!+'SEMANA DEL 14 AL 21 '!#REF!+'SEMANA DEL 21AL 28-3'!#REF!+#REF!</f>
        <v>#REF!</v>
      </c>
      <c r="AU33" s="203" t="e">
        <f>+'SEMANA DEL 2 AL 7-3-26'!#REF!+'SEMANA DEL 7 AL 14'!#REF!+'SEMANA DEL 14 AL 21 '!#REF!+'SEMANA DEL 21AL 28-3'!#REF!+#REF!</f>
        <v>#REF!</v>
      </c>
      <c r="AV33" s="203" t="e">
        <f>+'SEMANA DEL 2 AL 7-3-26'!#REF!+'SEMANA DEL 7 AL 14'!#REF!+'SEMANA DEL 14 AL 21 '!#REF!+'SEMANA DEL 21AL 28-3'!#REF!+#REF!</f>
        <v>#REF!</v>
      </c>
      <c r="AW33" s="203" t="e">
        <f>+'SEMANA DEL 2 AL 7-3-26'!#REF!+'SEMANA DEL 7 AL 14'!#REF!+'SEMANA DEL 14 AL 21 '!#REF!+'SEMANA DEL 21AL 28-3'!#REF!+#REF!</f>
        <v>#REF!</v>
      </c>
      <c r="AX33" s="203" t="e">
        <f t="shared" si="1"/>
        <v>#REF!</v>
      </c>
      <c r="AY33" s="203" t="e">
        <f t="shared" si="2"/>
        <v>#REF!</v>
      </c>
      <c r="AZ33" s="203" t="e">
        <f t="shared" si="3"/>
        <v>#REF!</v>
      </c>
      <c r="BA33" s="203" t="e">
        <f t="shared" si="4"/>
        <v>#REF!</v>
      </c>
      <c r="BB33" s="203" t="e">
        <f t="shared" si="5"/>
        <v>#REF!</v>
      </c>
      <c r="BC33" s="203" t="e">
        <f t="shared" si="6"/>
        <v>#REF!</v>
      </c>
      <c r="BD33" s="203" t="e">
        <f t="shared" si="7"/>
        <v>#REF!</v>
      </c>
      <c r="BE33" s="203" t="e">
        <f t="shared" si="8"/>
        <v>#REF!</v>
      </c>
      <c r="BF33" s="203" t="e">
        <f t="shared" si="9"/>
        <v>#REF!</v>
      </c>
      <c r="BG33" s="203" t="e">
        <f t="shared" si="10"/>
        <v>#REF!</v>
      </c>
      <c r="BH33" s="203" t="e">
        <f t="shared" si="11"/>
        <v>#REF!</v>
      </c>
      <c r="BI33" s="203" t="e">
        <f t="shared" si="12"/>
        <v>#REF!</v>
      </c>
      <c r="BJ33" s="203" t="e">
        <f t="shared" si="13"/>
        <v>#REF!</v>
      </c>
      <c r="BK33" s="203" t="e">
        <f t="shared" si="14"/>
        <v>#REF!</v>
      </c>
      <c r="BL33" s="203" t="e">
        <f t="shared" si="15"/>
        <v>#REF!</v>
      </c>
      <c r="BM33" s="203" t="e">
        <f t="shared" si="16"/>
        <v>#REF!</v>
      </c>
      <c r="BN33" s="203" t="e">
        <f>+'SEMANA DEL 2 AL 7-3-26'!#REF!+'SEMANA DEL 7 AL 14'!#REF!+'SEMANA DEL 14 AL 21 '!#REF!+'SEMANA DEL 21AL 28-3'!#REF!+#REF!</f>
        <v>#REF!</v>
      </c>
      <c r="BO33" s="203" t="e">
        <f>+'SEMANA DEL 2 AL 7-3-26'!#REF!+'SEMANA DEL 7 AL 14'!#REF!+'SEMANA DEL 14 AL 21 '!#REF!+'SEMANA DEL 21AL 28-3'!#REF!+#REF!</f>
        <v>#REF!</v>
      </c>
      <c r="BP33" s="203" t="e">
        <f>+'SEMANA DEL 2 AL 7-3-26'!#REF!+'SEMANA DEL 7 AL 14'!#REF!+'SEMANA DEL 14 AL 21 '!#REF!+'SEMANA DEL 21AL 28-3'!#REF!+#REF!</f>
        <v>#REF!</v>
      </c>
      <c r="BQ33" s="203" t="e">
        <f>+'SEMANA DEL 2 AL 7-3-26'!#REF!+'SEMANA DEL 7 AL 14'!#REF!+'SEMANA DEL 14 AL 21 '!#REF!+'SEMANA DEL 21AL 28-3'!#REF!+#REF!</f>
        <v>#REF!</v>
      </c>
      <c r="BR33" s="203" t="e">
        <f>+'SEMANA DEL 2 AL 7-3-26'!#REF!+'SEMANA DEL 7 AL 14'!#REF!+'SEMANA DEL 14 AL 21 '!#REF!+'SEMANA DEL 21AL 28-3'!#REF!+#REF!</f>
        <v>#REF!</v>
      </c>
      <c r="BS33" s="203" t="e">
        <f>+'SEMANA DEL 2 AL 7-3-26'!#REF!+'SEMANA DEL 7 AL 14'!#REF!+'SEMANA DEL 14 AL 21 '!#REF!+'SEMANA DEL 21AL 28-3'!#REF!+#REF!</f>
        <v>#REF!</v>
      </c>
      <c r="BT33" s="203" t="e">
        <f>+'SEMANA DEL 2 AL 7-3-26'!#REF!+'SEMANA DEL 7 AL 14'!#REF!+'SEMANA DEL 14 AL 21 '!#REF!+'SEMANA DEL 21AL 28-3'!#REF!+#REF!</f>
        <v>#REF!</v>
      </c>
      <c r="BU33" s="203" t="e">
        <f>+'SEMANA DEL 2 AL 7-3-26'!#REF!+'SEMANA DEL 7 AL 14'!#REF!+'SEMANA DEL 14 AL 21 '!#REF!+'SEMANA DEL 21AL 28-3'!#REF!+#REF!</f>
        <v>#REF!</v>
      </c>
      <c r="BV33" s="203" t="e">
        <f>+'SEMANA DEL 2 AL 7-3-26'!#REF!+'SEMANA DEL 7 AL 14'!#REF!+'SEMANA DEL 14 AL 21 '!#REF!+'SEMANA DEL 21AL 28-3'!#REF!+#REF!</f>
        <v>#REF!</v>
      </c>
      <c r="BW33" s="203" t="e">
        <f>+'SEMANA DEL 2 AL 7-3-26'!#REF!+'SEMANA DEL 7 AL 14'!#REF!+'SEMANA DEL 14 AL 21 '!#REF!+'SEMANA DEL 21AL 28-3'!#REF!+#REF!</f>
        <v>#REF!</v>
      </c>
      <c r="BX33" s="203" t="e">
        <f>+'SEMANA DEL 2 AL 7-3-26'!#REF!+'SEMANA DEL 7 AL 14'!#REF!+'SEMANA DEL 14 AL 21 '!#REF!+'SEMANA DEL 21AL 28-3'!#REF!+#REF!</f>
        <v>#REF!</v>
      </c>
      <c r="BY33" s="203" t="e">
        <f>+'SEMANA DEL 2 AL 7-3-26'!#REF!+'SEMANA DEL 7 AL 14'!#REF!+'SEMANA DEL 14 AL 21 '!#REF!+'SEMANA DEL 21AL 28-3'!#REF!+#REF!</f>
        <v>#REF!</v>
      </c>
      <c r="BZ33" s="203" t="e">
        <f>+'SEMANA DEL 2 AL 7-3-26'!#REF!+'SEMANA DEL 7 AL 14'!#REF!+'SEMANA DEL 14 AL 21 '!#REF!+'SEMANA DEL 21AL 28-3'!#REF!+#REF!</f>
        <v>#REF!</v>
      </c>
      <c r="CA33" s="203" t="e">
        <f>+'SEMANA DEL 2 AL 7-3-26'!#REF!+'SEMANA DEL 7 AL 14'!#REF!+'SEMANA DEL 14 AL 21 '!#REF!+'SEMANA DEL 21AL 28-3'!#REF!+#REF!</f>
        <v>#REF!</v>
      </c>
      <c r="CB33" s="203" t="e">
        <f>+'SEMANA DEL 2 AL 7-3-26'!#REF!+'SEMANA DEL 7 AL 14'!#REF!+'SEMANA DEL 14 AL 21 '!#REF!+'SEMANA DEL 21AL 28-3'!#REF!+#REF!</f>
        <v>#REF!</v>
      </c>
      <c r="CC33" s="203" t="e">
        <f>+'SEMANA DEL 2 AL 7-3-26'!#REF!+'SEMANA DEL 7 AL 14'!#REF!+'SEMANA DEL 14 AL 21 '!#REF!+'SEMANA DEL 21AL 28-3'!#REF!+#REF!</f>
        <v>#REF!</v>
      </c>
      <c r="CD33" s="203" t="e">
        <f>+'SEMANA DEL 2 AL 7-3-26'!#REF!+'SEMANA DEL 7 AL 14'!#REF!+'SEMANA DEL 14 AL 21 '!#REF!+'SEMANA DEL 21AL 28-3'!#REF!+#REF!</f>
        <v>#REF!</v>
      </c>
      <c r="CE33" s="203" t="e">
        <f>+'SEMANA DEL 2 AL 7-3-26'!#REF!+'SEMANA DEL 7 AL 14'!#REF!+'SEMANA DEL 14 AL 21 '!#REF!+'SEMANA DEL 21AL 28-3'!#REF!+#REF!</f>
        <v>#REF!</v>
      </c>
      <c r="CF33" s="203" t="e">
        <f>+'SEMANA DEL 2 AL 7-3-26'!#REF!+'SEMANA DEL 7 AL 14'!#REF!+'SEMANA DEL 14 AL 21 '!#REF!+'SEMANA DEL 21AL 28-3'!#REF!+#REF!</f>
        <v>#REF!</v>
      </c>
      <c r="CG33" s="203" t="e">
        <f>+'SEMANA DEL 2 AL 7-3-26'!#REF!+'SEMANA DEL 7 AL 14'!#REF!+'SEMANA DEL 14 AL 21 '!#REF!+'SEMANA DEL 21AL 28-3'!#REF!+#REF!</f>
        <v>#REF!</v>
      </c>
      <c r="CH33" s="203" t="e">
        <f>+'SEMANA DEL 2 AL 7-3-26'!#REF!+'SEMANA DEL 7 AL 14'!#REF!+'SEMANA DEL 14 AL 21 '!#REF!+'SEMANA DEL 21AL 28-3'!#REF!+#REF!</f>
        <v>#REF!</v>
      </c>
      <c r="CI33" s="203" t="e">
        <f>+'SEMANA DEL 2 AL 7-3-26'!#REF!+'SEMANA DEL 7 AL 14'!#REF!+'SEMANA DEL 14 AL 21 '!#REF!+'SEMANA DEL 21AL 28-3'!#REF!+#REF!</f>
        <v>#REF!</v>
      </c>
      <c r="CO33" s="204"/>
    </row>
    <row r="34" spans="1:93" x14ac:dyDescent="0.2">
      <c r="A34" s="34" t="str">
        <f>+'SEMANA DEL 2 AL 7-3-26'!A34</f>
        <v>RUBIELA MARTINEZ</v>
      </c>
      <c r="B34" s="203">
        <f>+'SEMANA DEL 2 AL 7-3-26'!B34</f>
        <v>0</v>
      </c>
      <c r="C34" s="203">
        <f>+'SEMANA DEL 2 AL 7-3-26'!C34</f>
        <v>1.5599999999999987</v>
      </c>
      <c r="D34" s="203">
        <f>+'SEMANA DEL 2 AL 7-3-26'!D34</f>
        <v>-2.0000000000095497E-3</v>
      </c>
      <c r="E34" s="203">
        <f>+'SEMANA DEL 2 AL 7-3-26'!E34</f>
        <v>0</v>
      </c>
      <c r="F34" s="203">
        <f>+'SEMANA DEL 2 AL 7-3-26'!F34</f>
        <v>0</v>
      </c>
      <c r="G34" s="203">
        <f>+'SEMANA DEL 2 AL 7-3-26'!G34</f>
        <v>0</v>
      </c>
      <c r="H34" s="203">
        <f>+'SEMANA DEL 2 AL 7-3-26'!H34</f>
        <v>0</v>
      </c>
      <c r="I34" s="203">
        <f>+'SEMANA DEL 2 AL 7-3-26'!I34</f>
        <v>0</v>
      </c>
      <c r="J34" s="203">
        <f>+'SEMANA DEL 2 AL 7-3-26'!J34</f>
        <v>0</v>
      </c>
      <c r="K34" s="203">
        <f>+'SEMANA DEL 2 AL 7-3-26'!K34</f>
        <v>0</v>
      </c>
      <c r="L34" s="203">
        <f>+'SEMANA DEL 2 AL 7-3-26'!L34</f>
        <v>0</v>
      </c>
      <c r="M34" s="203">
        <f>+'SEMANA DEL 2 AL 7-3-26'!M34</f>
        <v>0</v>
      </c>
      <c r="N34" s="203">
        <f>+'SEMANA DEL 2 AL 7-3-26'!N34</f>
        <v>0</v>
      </c>
      <c r="O34" s="203">
        <f>+'SEMANA DEL 2 AL 7-3-26'!O34</f>
        <v>0</v>
      </c>
      <c r="P34" s="203">
        <f>+'SEMANA DEL 2 AL 7-3-26'!P34</f>
        <v>0</v>
      </c>
      <c r="Q34" s="203">
        <f>+'SEMANA DEL 2 AL 7-3-26'!Q34</f>
        <v>0</v>
      </c>
      <c r="R34" s="203" t="e">
        <f>+'SEMANA DEL 2 AL 7-3-26'!R42+'SEMANA DEL 7 AL 14'!#REF!+'SEMANA DEL 14 AL 21 '!#REF!+'SEMANA DEL 21AL 28-3'!#REF!+#REF!</f>
        <v>#REF!</v>
      </c>
      <c r="S34" s="203" t="e">
        <f>+'SEMANA DEL 2 AL 7-3-26'!S42+'SEMANA DEL 7 AL 14'!#REF!+'SEMANA DEL 14 AL 21 '!#REF!+'SEMANA DEL 21AL 28-3'!#REF!+#REF!</f>
        <v>#REF!</v>
      </c>
      <c r="T34" s="203" t="e">
        <f>+'SEMANA DEL 2 AL 7-3-26'!T42+'SEMANA DEL 7 AL 14'!#REF!+'SEMANA DEL 14 AL 21 '!#REF!+'SEMANA DEL 21AL 28-3'!#REF!+#REF!</f>
        <v>#REF!</v>
      </c>
      <c r="U34" s="203" t="e">
        <f>+'SEMANA DEL 2 AL 7-3-26'!U42+'SEMANA DEL 7 AL 14'!#REF!+'SEMANA DEL 14 AL 21 '!#REF!+'SEMANA DEL 21AL 28-3'!#REF!+#REF!</f>
        <v>#REF!</v>
      </c>
      <c r="V34" s="203" t="e">
        <f>+'SEMANA DEL 2 AL 7-3-26'!V42+'SEMANA DEL 7 AL 14'!#REF!+'SEMANA DEL 14 AL 21 '!#REF!+'SEMANA DEL 21AL 28-3'!#REF!+#REF!</f>
        <v>#REF!</v>
      </c>
      <c r="W34" s="203" t="e">
        <f>+'SEMANA DEL 2 AL 7-3-26'!W42+'SEMANA DEL 7 AL 14'!#REF!+'SEMANA DEL 14 AL 21 '!#REF!+'SEMANA DEL 21AL 28-3'!#REF!+#REF!</f>
        <v>#REF!</v>
      </c>
      <c r="X34" s="203" t="e">
        <f>+'SEMANA DEL 2 AL 7-3-26'!X42+'SEMANA DEL 7 AL 14'!#REF!+'SEMANA DEL 14 AL 21 '!#REF!+'SEMANA DEL 21AL 28-3'!#REF!+#REF!</f>
        <v>#REF!</v>
      </c>
      <c r="Y34" s="203" t="e">
        <f>+'SEMANA DEL 2 AL 7-3-26'!Y42+'SEMANA DEL 7 AL 14'!#REF!+'SEMANA DEL 14 AL 21 '!#REF!+'SEMANA DEL 21AL 28-3'!#REF!+#REF!</f>
        <v>#REF!</v>
      </c>
      <c r="Z34" s="203" t="e">
        <f>+'SEMANA DEL 2 AL 7-3-26'!Z42+'SEMANA DEL 7 AL 14'!#REF!+'SEMANA DEL 14 AL 21 '!#REF!+'SEMANA DEL 21AL 28-3'!#REF!+#REF!</f>
        <v>#REF!</v>
      </c>
      <c r="AA34" s="203" t="e">
        <f>+'SEMANA DEL 2 AL 7-3-26'!AA42+'SEMANA DEL 7 AL 14'!#REF!+'SEMANA DEL 14 AL 21 '!#REF!+'SEMANA DEL 21AL 28-3'!#REF!+#REF!</f>
        <v>#REF!</v>
      </c>
      <c r="AB34" s="203" t="e">
        <f>+'SEMANA DEL 2 AL 7-3-26'!AB42+'SEMANA DEL 7 AL 14'!#REF!+'SEMANA DEL 14 AL 21 '!#REF!+'SEMANA DEL 21AL 28-3'!#REF!+#REF!</f>
        <v>#REF!</v>
      </c>
      <c r="AC34" s="203" t="e">
        <f>+'SEMANA DEL 2 AL 7-3-26'!AC42+'SEMANA DEL 7 AL 14'!#REF!+'SEMANA DEL 14 AL 21 '!#REF!+'SEMANA DEL 21AL 28-3'!#REF!+#REF!</f>
        <v>#REF!</v>
      </c>
      <c r="AD34" s="203" t="e">
        <f>+'SEMANA DEL 2 AL 7-3-26'!AD42+'SEMANA DEL 7 AL 14'!#REF!+'SEMANA DEL 14 AL 21 '!#REF!+'SEMANA DEL 21AL 28-3'!#REF!+#REF!</f>
        <v>#REF!</v>
      </c>
      <c r="AE34" s="203" t="e">
        <f>+'SEMANA DEL 2 AL 7-3-26'!AE42+'SEMANA DEL 7 AL 14'!#REF!+'SEMANA DEL 14 AL 21 '!#REF!+'SEMANA DEL 21AL 28-3'!#REF!+#REF!</f>
        <v>#REF!</v>
      </c>
      <c r="AF34" s="203" t="e">
        <f>+'SEMANA DEL 2 AL 7-3-26'!AF42+'SEMANA DEL 7 AL 14'!#REF!+'SEMANA DEL 14 AL 21 '!#REF!+'SEMANA DEL 21AL 28-3'!#REF!+#REF!</f>
        <v>#REF!</v>
      </c>
      <c r="AG34" s="203" t="e">
        <f>+'SEMANA DEL 2 AL 7-3-26'!AG42+'SEMANA DEL 7 AL 14'!#REF!+'SEMANA DEL 14 AL 21 '!#REF!+'SEMANA DEL 21AL 28-3'!#REF!+#REF!</f>
        <v>#REF!</v>
      </c>
      <c r="AH34" s="203" t="e">
        <f>+'SEMANA DEL 2 AL 7-3-26'!AH42+'SEMANA DEL 7 AL 14'!#REF!+'SEMANA DEL 14 AL 21 '!#REF!+'SEMANA DEL 21AL 28-3'!#REF!+#REF!</f>
        <v>#REF!</v>
      </c>
      <c r="AI34" s="203" t="e">
        <f>+'SEMANA DEL 2 AL 7-3-26'!AI42+'SEMANA DEL 7 AL 14'!#REF!+'SEMANA DEL 14 AL 21 '!#REF!+'SEMANA DEL 21AL 28-3'!#REF!+#REF!</f>
        <v>#REF!</v>
      </c>
      <c r="AJ34" s="203" t="e">
        <f>+'SEMANA DEL 2 AL 7-3-26'!AJ42+'SEMANA DEL 7 AL 14'!#REF!+'SEMANA DEL 14 AL 21 '!#REF!+'SEMANA DEL 21AL 28-3'!#REF!+#REF!</f>
        <v>#REF!</v>
      </c>
      <c r="AK34" s="203" t="e">
        <f>+'SEMANA DEL 2 AL 7-3-26'!AK42+'SEMANA DEL 7 AL 14'!#REF!+'SEMANA DEL 14 AL 21 '!#REF!+'SEMANA DEL 21AL 28-3'!#REF!+#REF!</f>
        <v>#REF!</v>
      </c>
      <c r="AL34" s="203" t="e">
        <f>+'SEMANA DEL 2 AL 7-3-26'!AL42+'SEMANA DEL 7 AL 14'!#REF!+'SEMANA DEL 14 AL 21 '!#REF!+'SEMANA DEL 21AL 28-3'!#REF!+#REF!</f>
        <v>#REF!</v>
      </c>
      <c r="AM34" s="203" t="e">
        <f>+'SEMANA DEL 2 AL 7-3-26'!AM42+'SEMANA DEL 7 AL 14'!#REF!+'SEMANA DEL 14 AL 21 '!#REF!+'SEMANA DEL 21AL 28-3'!#REF!+#REF!</f>
        <v>#REF!</v>
      </c>
      <c r="AN34" s="203" t="e">
        <f>+'SEMANA DEL 2 AL 7-3-26'!AN42+'SEMANA DEL 7 AL 14'!#REF!+'SEMANA DEL 14 AL 21 '!#REF!+'SEMANA DEL 21AL 28-3'!#REF!+#REF!</f>
        <v>#REF!</v>
      </c>
      <c r="AO34" s="203" t="e">
        <f>+'SEMANA DEL 2 AL 7-3-26'!AO42+'SEMANA DEL 7 AL 14'!#REF!+'SEMANA DEL 14 AL 21 '!#REF!+'SEMANA DEL 21AL 28-3'!#REF!+#REF!</f>
        <v>#REF!</v>
      </c>
      <c r="AP34" s="203" t="e">
        <f>+'SEMANA DEL 2 AL 7-3-26'!AP42+'SEMANA DEL 7 AL 14'!#REF!+'SEMANA DEL 14 AL 21 '!#REF!+'SEMANA DEL 21AL 28-3'!#REF!+#REF!</f>
        <v>#REF!</v>
      </c>
      <c r="AQ34" s="203" t="e">
        <f>+'SEMANA DEL 2 AL 7-3-26'!AQ42+'SEMANA DEL 7 AL 14'!#REF!+'SEMANA DEL 14 AL 21 '!#REF!+'SEMANA DEL 21AL 28-3'!#REF!+#REF!</f>
        <v>#REF!</v>
      </c>
      <c r="AR34" s="203" t="e">
        <f>+'SEMANA DEL 2 AL 7-3-26'!AR42+'SEMANA DEL 7 AL 14'!#REF!+'SEMANA DEL 14 AL 21 '!#REF!+'SEMANA DEL 21AL 28-3'!#REF!+#REF!</f>
        <v>#REF!</v>
      </c>
      <c r="AS34" s="203" t="e">
        <f>+'SEMANA DEL 2 AL 7-3-26'!AS42+'SEMANA DEL 7 AL 14'!#REF!+'SEMANA DEL 14 AL 21 '!#REF!+'SEMANA DEL 21AL 28-3'!#REF!+#REF!</f>
        <v>#REF!</v>
      </c>
      <c r="AT34" s="203" t="e">
        <f>+'SEMANA DEL 2 AL 7-3-26'!AT42+'SEMANA DEL 7 AL 14'!#REF!+'SEMANA DEL 14 AL 21 '!#REF!+'SEMANA DEL 21AL 28-3'!#REF!+#REF!</f>
        <v>#REF!</v>
      </c>
      <c r="AU34" s="203" t="e">
        <f>+'SEMANA DEL 2 AL 7-3-26'!AU42+'SEMANA DEL 7 AL 14'!#REF!+'SEMANA DEL 14 AL 21 '!#REF!+'SEMANA DEL 21AL 28-3'!#REF!+#REF!</f>
        <v>#REF!</v>
      </c>
      <c r="AV34" s="203" t="e">
        <f>+'SEMANA DEL 2 AL 7-3-26'!AV42+'SEMANA DEL 7 AL 14'!#REF!+'SEMANA DEL 14 AL 21 '!#REF!+'SEMANA DEL 21AL 28-3'!#REF!+#REF!</f>
        <v>#REF!</v>
      </c>
      <c r="AW34" s="203" t="e">
        <f>+'SEMANA DEL 2 AL 7-3-26'!AW42+'SEMANA DEL 7 AL 14'!#REF!+'SEMANA DEL 14 AL 21 '!#REF!+'SEMANA DEL 21AL 28-3'!#REF!+#REF!</f>
        <v>#REF!</v>
      </c>
      <c r="AX34" s="203" t="e">
        <f t="shared" si="1"/>
        <v>#REF!</v>
      </c>
      <c r="AY34" s="203" t="e">
        <f t="shared" si="2"/>
        <v>#REF!</v>
      </c>
      <c r="AZ34" s="203" t="e">
        <f t="shared" si="3"/>
        <v>#REF!</v>
      </c>
      <c r="BA34" s="203" t="e">
        <f t="shared" si="4"/>
        <v>#REF!</v>
      </c>
      <c r="BB34" s="203" t="e">
        <f t="shared" si="5"/>
        <v>#REF!</v>
      </c>
      <c r="BC34" s="203" t="e">
        <f t="shared" si="6"/>
        <v>#REF!</v>
      </c>
      <c r="BD34" s="203" t="e">
        <f t="shared" si="7"/>
        <v>#REF!</v>
      </c>
      <c r="BE34" s="203" t="e">
        <f t="shared" si="8"/>
        <v>#REF!</v>
      </c>
      <c r="BF34" s="203" t="e">
        <f t="shared" si="9"/>
        <v>#REF!</v>
      </c>
      <c r="BG34" s="203" t="e">
        <f t="shared" si="10"/>
        <v>#REF!</v>
      </c>
      <c r="BH34" s="203" t="e">
        <f t="shared" si="11"/>
        <v>#REF!</v>
      </c>
      <c r="BI34" s="203" t="e">
        <f t="shared" si="12"/>
        <v>#REF!</v>
      </c>
      <c r="BJ34" s="203" t="e">
        <f t="shared" si="13"/>
        <v>#REF!</v>
      </c>
      <c r="BK34" s="203" t="e">
        <f t="shared" si="14"/>
        <v>#REF!</v>
      </c>
      <c r="BL34" s="203" t="e">
        <f t="shared" si="15"/>
        <v>#REF!</v>
      </c>
      <c r="BM34" s="203" t="e">
        <f t="shared" si="16"/>
        <v>#REF!</v>
      </c>
      <c r="BN34" s="203" t="e">
        <f>+'SEMANA DEL 2 AL 7-3-26'!BN42+'SEMANA DEL 7 AL 14'!#REF!+'SEMANA DEL 14 AL 21 '!#REF!+'SEMANA DEL 21AL 28-3'!#REF!+#REF!</f>
        <v>#REF!</v>
      </c>
      <c r="BO34" s="203" t="e">
        <f>+'SEMANA DEL 2 AL 7-3-26'!BO42+'SEMANA DEL 7 AL 14'!#REF!+'SEMANA DEL 14 AL 21 '!#REF!+'SEMANA DEL 21AL 28-3'!#REF!+#REF!</f>
        <v>#REF!</v>
      </c>
      <c r="BP34" s="203" t="e">
        <f>+'SEMANA DEL 2 AL 7-3-26'!BP42+'SEMANA DEL 7 AL 14'!#REF!+'SEMANA DEL 14 AL 21 '!#REF!+'SEMANA DEL 21AL 28-3'!#REF!+#REF!</f>
        <v>#REF!</v>
      </c>
      <c r="BQ34" s="203" t="e">
        <f>+'SEMANA DEL 2 AL 7-3-26'!BQ42+'SEMANA DEL 7 AL 14'!#REF!+'SEMANA DEL 14 AL 21 '!#REF!+'SEMANA DEL 21AL 28-3'!#REF!+#REF!</f>
        <v>#REF!</v>
      </c>
      <c r="BR34" s="203" t="e">
        <f>+'SEMANA DEL 2 AL 7-3-26'!BR42+'SEMANA DEL 7 AL 14'!#REF!+'SEMANA DEL 14 AL 21 '!#REF!+'SEMANA DEL 21AL 28-3'!#REF!+#REF!</f>
        <v>#REF!</v>
      </c>
      <c r="BS34" s="203" t="e">
        <f>+'SEMANA DEL 2 AL 7-3-26'!BS42+'SEMANA DEL 7 AL 14'!#REF!+'SEMANA DEL 14 AL 21 '!#REF!+'SEMANA DEL 21AL 28-3'!#REF!+#REF!</f>
        <v>#REF!</v>
      </c>
      <c r="BT34" s="203" t="e">
        <f>+'SEMANA DEL 2 AL 7-3-26'!BT42+'SEMANA DEL 7 AL 14'!#REF!+'SEMANA DEL 14 AL 21 '!#REF!+'SEMANA DEL 21AL 28-3'!#REF!+#REF!</f>
        <v>#REF!</v>
      </c>
      <c r="BU34" s="203" t="e">
        <f>+'SEMANA DEL 2 AL 7-3-26'!BU42+'SEMANA DEL 7 AL 14'!#REF!+'SEMANA DEL 14 AL 21 '!#REF!+'SEMANA DEL 21AL 28-3'!#REF!+#REF!</f>
        <v>#REF!</v>
      </c>
      <c r="BV34" s="203" t="e">
        <f>+'SEMANA DEL 2 AL 7-3-26'!BV42+'SEMANA DEL 7 AL 14'!#REF!+'SEMANA DEL 14 AL 21 '!#REF!+'SEMANA DEL 21AL 28-3'!#REF!+#REF!</f>
        <v>#REF!</v>
      </c>
      <c r="BW34" s="203" t="e">
        <f>+'SEMANA DEL 2 AL 7-3-26'!BW42+'SEMANA DEL 7 AL 14'!#REF!+'SEMANA DEL 14 AL 21 '!#REF!+'SEMANA DEL 21AL 28-3'!#REF!+#REF!</f>
        <v>#REF!</v>
      </c>
      <c r="BX34" s="203" t="e">
        <f>+'SEMANA DEL 2 AL 7-3-26'!BX42+'SEMANA DEL 7 AL 14'!#REF!+'SEMANA DEL 14 AL 21 '!#REF!+'SEMANA DEL 21AL 28-3'!#REF!+#REF!</f>
        <v>#REF!</v>
      </c>
      <c r="BY34" s="203" t="e">
        <f>+'SEMANA DEL 2 AL 7-3-26'!BY42+'SEMANA DEL 7 AL 14'!#REF!+'SEMANA DEL 14 AL 21 '!#REF!+'SEMANA DEL 21AL 28-3'!#REF!+#REF!</f>
        <v>#REF!</v>
      </c>
      <c r="BZ34" s="203" t="e">
        <f>+'SEMANA DEL 2 AL 7-3-26'!BZ42+'SEMANA DEL 7 AL 14'!#REF!+'SEMANA DEL 14 AL 21 '!#REF!+'SEMANA DEL 21AL 28-3'!#REF!+#REF!</f>
        <v>#REF!</v>
      </c>
      <c r="CA34" s="203" t="e">
        <f>+'SEMANA DEL 2 AL 7-3-26'!CA42+'SEMANA DEL 7 AL 14'!#REF!+'SEMANA DEL 14 AL 21 '!#REF!+'SEMANA DEL 21AL 28-3'!#REF!+#REF!</f>
        <v>#REF!</v>
      </c>
      <c r="CB34" s="203" t="e">
        <f>+'SEMANA DEL 2 AL 7-3-26'!CB42+'SEMANA DEL 7 AL 14'!#REF!+'SEMANA DEL 14 AL 21 '!#REF!+'SEMANA DEL 21AL 28-3'!#REF!+#REF!</f>
        <v>#REF!</v>
      </c>
      <c r="CC34" s="203" t="e">
        <f>+'SEMANA DEL 2 AL 7-3-26'!CC42+'SEMANA DEL 7 AL 14'!#REF!+'SEMANA DEL 14 AL 21 '!#REF!+'SEMANA DEL 21AL 28-3'!#REF!+#REF!</f>
        <v>#REF!</v>
      </c>
      <c r="CD34" s="203" t="e">
        <f>+'SEMANA DEL 2 AL 7-3-26'!CD42+'SEMANA DEL 7 AL 14'!#REF!+'SEMANA DEL 14 AL 21 '!#REF!+'SEMANA DEL 21AL 28-3'!#REF!+#REF!</f>
        <v>#REF!</v>
      </c>
      <c r="CE34" s="203" t="e">
        <f>+'SEMANA DEL 2 AL 7-3-26'!CE42+'SEMANA DEL 7 AL 14'!#REF!+'SEMANA DEL 14 AL 21 '!#REF!+'SEMANA DEL 21AL 28-3'!#REF!+#REF!</f>
        <v>#REF!</v>
      </c>
      <c r="CF34" s="203" t="e">
        <f>+'SEMANA DEL 2 AL 7-3-26'!CF42+'SEMANA DEL 7 AL 14'!#REF!+'SEMANA DEL 14 AL 21 '!#REF!+'SEMANA DEL 21AL 28-3'!#REF!+#REF!</f>
        <v>#REF!</v>
      </c>
      <c r="CG34" s="203" t="e">
        <f>+'SEMANA DEL 2 AL 7-3-26'!CG42+'SEMANA DEL 7 AL 14'!#REF!+'SEMANA DEL 14 AL 21 '!#REF!+'SEMANA DEL 21AL 28-3'!#REF!+#REF!</f>
        <v>#REF!</v>
      </c>
      <c r="CH34" s="203" t="e">
        <f>+'SEMANA DEL 2 AL 7-3-26'!CH42+'SEMANA DEL 7 AL 14'!#REF!+'SEMANA DEL 14 AL 21 '!#REF!+'SEMANA DEL 21AL 28-3'!#REF!+#REF!</f>
        <v>#REF!</v>
      </c>
      <c r="CI34" s="203" t="e">
        <f>+'SEMANA DEL 2 AL 7-3-26'!CI42+'SEMANA DEL 7 AL 14'!#REF!+'SEMANA DEL 14 AL 21 '!#REF!+'SEMANA DEL 21AL 28-3'!#REF!+#REF!</f>
        <v>#REF!</v>
      </c>
    </row>
    <row r="35" spans="1:93" x14ac:dyDescent="0.2">
      <c r="A35" s="34" t="str">
        <f>+'SEMANA DEL 2 AL 7-3-26'!A35</f>
        <v xml:space="preserve">ROSMIRA DURAN </v>
      </c>
      <c r="B35" s="203">
        <f>+'SEMANA DEL 2 AL 7-3-26'!B35</f>
        <v>0.99600000000000044</v>
      </c>
      <c r="C35" s="203">
        <f>+'SEMANA DEL 2 AL 7-3-26'!C35</f>
        <v>0.90000000000000036</v>
      </c>
      <c r="D35" s="203">
        <f>+'SEMANA DEL 2 AL 7-3-26'!D35</f>
        <v>3.5</v>
      </c>
      <c r="E35" s="203">
        <f>+'SEMANA DEL 2 AL 7-3-26'!E35</f>
        <v>1</v>
      </c>
      <c r="F35" s="203">
        <f>+'SEMANA DEL 2 AL 7-3-26'!F35</f>
        <v>0</v>
      </c>
      <c r="G35" s="203">
        <f>+'SEMANA DEL 2 AL 7-3-26'!G35</f>
        <v>0</v>
      </c>
      <c r="H35" s="203">
        <f>+'SEMANA DEL 2 AL 7-3-26'!H35</f>
        <v>0</v>
      </c>
      <c r="I35" s="203">
        <f>+'SEMANA DEL 2 AL 7-3-26'!I35</f>
        <v>0</v>
      </c>
      <c r="J35" s="203">
        <f>+'SEMANA DEL 2 AL 7-3-26'!J35</f>
        <v>0</v>
      </c>
      <c r="K35" s="203">
        <f>+'SEMANA DEL 2 AL 7-3-26'!K35</f>
        <v>0</v>
      </c>
      <c r="L35" s="203">
        <f>+'SEMANA DEL 2 AL 7-3-26'!L35</f>
        <v>0</v>
      </c>
      <c r="M35" s="203">
        <f>+'SEMANA DEL 2 AL 7-3-26'!M35</f>
        <v>0</v>
      </c>
      <c r="N35" s="203">
        <f>+'SEMANA DEL 2 AL 7-3-26'!N35</f>
        <v>0</v>
      </c>
      <c r="O35" s="203">
        <f>+'SEMANA DEL 2 AL 7-3-26'!O35</f>
        <v>0</v>
      </c>
      <c r="P35" s="203">
        <f>+'SEMANA DEL 2 AL 7-3-26'!P35</f>
        <v>0</v>
      </c>
      <c r="Q35" s="203">
        <f>+'SEMANA DEL 2 AL 7-3-26'!Q35</f>
        <v>0</v>
      </c>
      <c r="R35" s="203" t="e">
        <f>+'SEMANA DEL 2 AL 7-3-26'!#REF!+'SEMANA DEL 7 AL 14'!#REF!+'SEMANA DEL 14 AL 21 '!#REF!+'SEMANA DEL 21AL 28-3'!#REF!+#REF!</f>
        <v>#REF!</v>
      </c>
      <c r="S35" s="203" t="e">
        <f>+'SEMANA DEL 2 AL 7-3-26'!#REF!+'SEMANA DEL 7 AL 14'!#REF!+'SEMANA DEL 14 AL 21 '!#REF!+'SEMANA DEL 21AL 28-3'!#REF!+#REF!</f>
        <v>#REF!</v>
      </c>
      <c r="T35" s="203" t="e">
        <f>+'SEMANA DEL 2 AL 7-3-26'!#REF!+'SEMANA DEL 7 AL 14'!#REF!+'SEMANA DEL 14 AL 21 '!#REF!+'SEMANA DEL 21AL 28-3'!#REF!+#REF!</f>
        <v>#REF!</v>
      </c>
      <c r="U35" s="203" t="e">
        <f>+'SEMANA DEL 2 AL 7-3-26'!#REF!+'SEMANA DEL 7 AL 14'!#REF!+'SEMANA DEL 14 AL 21 '!#REF!+'SEMANA DEL 21AL 28-3'!#REF!+#REF!</f>
        <v>#REF!</v>
      </c>
      <c r="V35" s="203" t="e">
        <f>+'SEMANA DEL 2 AL 7-3-26'!#REF!+'SEMANA DEL 7 AL 14'!#REF!+'SEMANA DEL 14 AL 21 '!#REF!+'SEMANA DEL 21AL 28-3'!#REF!+#REF!</f>
        <v>#REF!</v>
      </c>
      <c r="W35" s="203" t="e">
        <f>+'SEMANA DEL 2 AL 7-3-26'!#REF!+'SEMANA DEL 7 AL 14'!#REF!+'SEMANA DEL 14 AL 21 '!#REF!+'SEMANA DEL 21AL 28-3'!#REF!+#REF!</f>
        <v>#REF!</v>
      </c>
      <c r="X35" s="203" t="e">
        <f>+'SEMANA DEL 2 AL 7-3-26'!#REF!+'SEMANA DEL 7 AL 14'!#REF!+'SEMANA DEL 14 AL 21 '!#REF!+'SEMANA DEL 21AL 28-3'!#REF!+#REF!</f>
        <v>#REF!</v>
      </c>
      <c r="Y35" s="203" t="e">
        <f>+'SEMANA DEL 2 AL 7-3-26'!#REF!+'SEMANA DEL 7 AL 14'!#REF!+'SEMANA DEL 14 AL 21 '!#REF!+'SEMANA DEL 21AL 28-3'!#REF!+#REF!</f>
        <v>#REF!</v>
      </c>
      <c r="Z35" s="203" t="e">
        <f>+'SEMANA DEL 2 AL 7-3-26'!#REF!+'SEMANA DEL 7 AL 14'!#REF!+'SEMANA DEL 14 AL 21 '!#REF!+'SEMANA DEL 21AL 28-3'!#REF!+#REF!</f>
        <v>#REF!</v>
      </c>
      <c r="AA35" s="203" t="e">
        <f>+'SEMANA DEL 2 AL 7-3-26'!#REF!+'SEMANA DEL 7 AL 14'!#REF!+'SEMANA DEL 14 AL 21 '!#REF!+'SEMANA DEL 21AL 28-3'!#REF!+#REF!</f>
        <v>#REF!</v>
      </c>
      <c r="AB35" s="203" t="e">
        <f>+'SEMANA DEL 2 AL 7-3-26'!#REF!+'SEMANA DEL 7 AL 14'!#REF!+'SEMANA DEL 14 AL 21 '!#REF!+'SEMANA DEL 21AL 28-3'!#REF!+#REF!</f>
        <v>#REF!</v>
      </c>
      <c r="AC35" s="203" t="e">
        <f>+'SEMANA DEL 2 AL 7-3-26'!#REF!+'SEMANA DEL 7 AL 14'!#REF!+'SEMANA DEL 14 AL 21 '!#REF!+'SEMANA DEL 21AL 28-3'!#REF!+#REF!</f>
        <v>#REF!</v>
      </c>
      <c r="AD35" s="203" t="e">
        <f>+'SEMANA DEL 2 AL 7-3-26'!#REF!+'SEMANA DEL 7 AL 14'!#REF!+'SEMANA DEL 14 AL 21 '!#REF!+'SEMANA DEL 21AL 28-3'!#REF!+#REF!</f>
        <v>#REF!</v>
      </c>
      <c r="AE35" s="203" t="e">
        <f>+'SEMANA DEL 2 AL 7-3-26'!#REF!+'SEMANA DEL 7 AL 14'!#REF!+'SEMANA DEL 14 AL 21 '!#REF!+'SEMANA DEL 21AL 28-3'!#REF!+#REF!</f>
        <v>#REF!</v>
      </c>
      <c r="AF35" s="203" t="e">
        <f>+'SEMANA DEL 2 AL 7-3-26'!#REF!+'SEMANA DEL 7 AL 14'!#REF!+'SEMANA DEL 14 AL 21 '!#REF!+'SEMANA DEL 21AL 28-3'!#REF!+#REF!</f>
        <v>#REF!</v>
      </c>
      <c r="AG35" s="203" t="e">
        <f>+'SEMANA DEL 2 AL 7-3-26'!#REF!+'SEMANA DEL 7 AL 14'!#REF!+'SEMANA DEL 14 AL 21 '!#REF!+'SEMANA DEL 21AL 28-3'!#REF!+#REF!</f>
        <v>#REF!</v>
      </c>
      <c r="AH35" s="203" t="e">
        <f>+'SEMANA DEL 2 AL 7-3-26'!#REF!+'SEMANA DEL 7 AL 14'!#REF!+'SEMANA DEL 14 AL 21 '!#REF!+'SEMANA DEL 21AL 28-3'!#REF!+#REF!</f>
        <v>#REF!</v>
      </c>
      <c r="AI35" s="203" t="e">
        <f>+'SEMANA DEL 2 AL 7-3-26'!#REF!+'SEMANA DEL 7 AL 14'!#REF!+'SEMANA DEL 14 AL 21 '!#REF!+'SEMANA DEL 21AL 28-3'!#REF!+#REF!</f>
        <v>#REF!</v>
      </c>
      <c r="AJ35" s="203" t="e">
        <f>+'SEMANA DEL 2 AL 7-3-26'!#REF!+'SEMANA DEL 7 AL 14'!#REF!+'SEMANA DEL 14 AL 21 '!#REF!+'SEMANA DEL 21AL 28-3'!#REF!+#REF!</f>
        <v>#REF!</v>
      </c>
      <c r="AK35" s="203" t="e">
        <f>+'SEMANA DEL 2 AL 7-3-26'!#REF!+'SEMANA DEL 7 AL 14'!#REF!+'SEMANA DEL 14 AL 21 '!#REF!+'SEMANA DEL 21AL 28-3'!#REF!+#REF!</f>
        <v>#REF!</v>
      </c>
      <c r="AL35" s="203" t="e">
        <f>+'SEMANA DEL 2 AL 7-3-26'!#REF!+'SEMANA DEL 7 AL 14'!#REF!+'SEMANA DEL 14 AL 21 '!#REF!+'SEMANA DEL 21AL 28-3'!#REF!+#REF!</f>
        <v>#REF!</v>
      </c>
      <c r="AM35" s="203" t="e">
        <f>+'SEMANA DEL 2 AL 7-3-26'!#REF!+'SEMANA DEL 7 AL 14'!#REF!+'SEMANA DEL 14 AL 21 '!#REF!+'SEMANA DEL 21AL 28-3'!#REF!+#REF!</f>
        <v>#REF!</v>
      </c>
      <c r="AN35" s="203" t="e">
        <f>+'SEMANA DEL 2 AL 7-3-26'!#REF!+'SEMANA DEL 7 AL 14'!#REF!+'SEMANA DEL 14 AL 21 '!#REF!+'SEMANA DEL 21AL 28-3'!#REF!+#REF!</f>
        <v>#REF!</v>
      </c>
      <c r="AO35" s="203" t="e">
        <f>+'SEMANA DEL 2 AL 7-3-26'!#REF!+'SEMANA DEL 7 AL 14'!#REF!+'SEMANA DEL 14 AL 21 '!#REF!+'SEMANA DEL 21AL 28-3'!#REF!+#REF!</f>
        <v>#REF!</v>
      </c>
      <c r="AP35" s="203" t="e">
        <f>+'SEMANA DEL 2 AL 7-3-26'!#REF!+'SEMANA DEL 7 AL 14'!#REF!+'SEMANA DEL 14 AL 21 '!#REF!+'SEMANA DEL 21AL 28-3'!#REF!+#REF!</f>
        <v>#REF!</v>
      </c>
      <c r="AQ35" s="203" t="e">
        <f>+'SEMANA DEL 2 AL 7-3-26'!#REF!+'SEMANA DEL 7 AL 14'!#REF!+'SEMANA DEL 14 AL 21 '!#REF!+'SEMANA DEL 21AL 28-3'!#REF!+#REF!</f>
        <v>#REF!</v>
      </c>
      <c r="AR35" s="203" t="e">
        <f>+'SEMANA DEL 2 AL 7-3-26'!#REF!+'SEMANA DEL 7 AL 14'!#REF!+'SEMANA DEL 14 AL 21 '!#REF!+'SEMANA DEL 21AL 28-3'!#REF!+#REF!</f>
        <v>#REF!</v>
      </c>
      <c r="AS35" s="203" t="e">
        <f>+'SEMANA DEL 2 AL 7-3-26'!#REF!+'SEMANA DEL 7 AL 14'!#REF!+'SEMANA DEL 14 AL 21 '!#REF!+'SEMANA DEL 21AL 28-3'!#REF!+#REF!</f>
        <v>#REF!</v>
      </c>
      <c r="AT35" s="203" t="e">
        <f>+'SEMANA DEL 2 AL 7-3-26'!#REF!+'SEMANA DEL 7 AL 14'!#REF!+'SEMANA DEL 14 AL 21 '!#REF!+'SEMANA DEL 21AL 28-3'!#REF!+#REF!</f>
        <v>#REF!</v>
      </c>
      <c r="AU35" s="203" t="e">
        <f>+'SEMANA DEL 2 AL 7-3-26'!#REF!+'SEMANA DEL 7 AL 14'!#REF!+'SEMANA DEL 14 AL 21 '!#REF!+'SEMANA DEL 21AL 28-3'!#REF!+#REF!</f>
        <v>#REF!</v>
      </c>
      <c r="AV35" s="203" t="e">
        <f>+'SEMANA DEL 2 AL 7-3-26'!#REF!+'SEMANA DEL 7 AL 14'!#REF!+'SEMANA DEL 14 AL 21 '!#REF!+'SEMANA DEL 21AL 28-3'!#REF!+#REF!</f>
        <v>#REF!</v>
      </c>
      <c r="AW35" s="203" t="e">
        <f>+'SEMANA DEL 2 AL 7-3-26'!#REF!+'SEMANA DEL 7 AL 14'!#REF!+'SEMANA DEL 14 AL 21 '!#REF!+'SEMANA DEL 21AL 28-3'!#REF!+#REF!</f>
        <v>#REF!</v>
      </c>
      <c r="AX35" s="203" t="e">
        <f t="shared" si="1"/>
        <v>#REF!</v>
      </c>
      <c r="AY35" s="203" t="e">
        <f t="shared" si="2"/>
        <v>#REF!</v>
      </c>
      <c r="AZ35" s="203" t="e">
        <f t="shared" si="3"/>
        <v>#REF!</v>
      </c>
      <c r="BA35" s="203" t="e">
        <f t="shared" si="4"/>
        <v>#REF!</v>
      </c>
      <c r="BB35" s="203" t="e">
        <f t="shared" si="5"/>
        <v>#REF!</v>
      </c>
      <c r="BC35" s="203" t="e">
        <f t="shared" si="6"/>
        <v>#REF!</v>
      </c>
      <c r="BD35" s="203" t="e">
        <f t="shared" si="7"/>
        <v>#REF!</v>
      </c>
      <c r="BE35" s="203" t="e">
        <f t="shared" si="8"/>
        <v>#REF!</v>
      </c>
      <c r="BF35" s="203" t="e">
        <f t="shared" si="9"/>
        <v>#REF!</v>
      </c>
      <c r="BG35" s="203" t="e">
        <f t="shared" si="10"/>
        <v>#REF!</v>
      </c>
      <c r="BH35" s="203" t="e">
        <f t="shared" si="11"/>
        <v>#REF!</v>
      </c>
      <c r="BI35" s="203" t="e">
        <f t="shared" si="12"/>
        <v>#REF!</v>
      </c>
      <c r="BJ35" s="203" t="e">
        <f t="shared" si="13"/>
        <v>#REF!</v>
      </c>
      <c r="BK35" s="203" t="e">
        <f t="shared" si="14"/>
        <v>#REF!</v>
      </c>
      <c r="BL35" s="203" t="e">
        <f t="shared" si="15"/>
        <v>#REF!</v>
      </c>
      <c r="BM35" s="203" t="e">
        <f t="shared" si="16"/>
        <v>#REF!</v>
      </c>
      <c r="BN35" s="203" t="e">
        <f>+'SEMANA DEL 2 AL 7-3-26'!#REF!+'SEMANA DEL 7 AL 14'!#REF!+'SEMANA DEL 14 AL 21 '!#REF!+'SEMANA DEL 21AL 28-3'!#REF!+#REF!</f>
        <v>#REF!</v>
      </c>
      <c r="BO35" s="203" t="e">
        <f>+'SEMANA DEL 2 AL 7-3-26'!#REF!+'SEMANA DEL 7 AL 14'!#REF!+'SEMANA DEL 14 AL 21 '!#REF!+'SEMANA DEL 21AL 28-3'!#REF!+#REF!</f>
        <v>#REF!</v>
      </c>
      <c r="BP35" s="203" t="e">
        <f>+'SEMANA DEL 2 AL 7-3-26'!#REF!+'SEMANA DEL 7 AL 14'!#REF!+'SEMANA DEL 14 AL 21 '!#REF!+'SEMANA DEL 21AL 28-3'!#REF!+#REF!</f>
        <v>#REF!</v>
      </c>
      <c r="BQ35" s="203" t="e">
        <f>+'SEMANA DEL 2 AL 7-3-26'!#REF!+'SEMANA DEL 7 AL 14'!#REF!+'SEMANA DEL 14 AL 21 '!#REF!+'SEMANA DEL 21AL 28-3'!#REF!+#REF!</f>
        <v>#REF!</v>
      </c>
      <c r="BR35" s="203" t="e">
        <f>+'SEMANA DEL 2 AL 7-3-26'!#REF!+'SEMANA DEL 7 AL 14'!#REF!+'SEMANA DEL 14 AL 21 '!#REF!+'SEMANA DEL 21AL 28-3'!#REF!+#REF!</f>
        <v>#REF!</v>
      </c>
      <c r="BS35" s="203" t="e">
        <f>+'SEMANA DEL 2 AL 7-3-26'!#REF!+'SEMANA DEL 7 AL 14'!#REF!+'SEMANA DEL 14 AL 21 '!#REF!+'SEMANA DEL 21AL 28-3'!#REF!+#REF!</f>
        <v>#REF!</v>
      </c>
      <c r="BT35" s="203" t="e">
        <f>+'SEMANA DEL 2 AL 7-3-26'!#REF!+'SEMANA DEL 7 AL 14'!#REF!+'SEMANA DEL 14 AL 21 '!#REF!+'SEMANA DEL 21AL 28-3'!#REF!+#REF!</f>
        <v>#REF!</v>
      </c>
      <c r="BU35" s="203" t="e">
        <f>+'SEMANA DEL 2 AL 7-3-26'!#REF!+'SEMANA DEL 7 AL 14'!#REF!+'SEMANA DEL 14 AL 21 '!#REF!+'SEMANA DEL 21AL 28-3'!#REF!+#REF!</f>
        <v>#REF!</v>
      </c>
      <c r="BV35" s="203" t="e">
        <f>+'SEMANA DEL 2 AL 7-3-26'!#REF!+'SEMANA DEL 7 AL 14'!#REF!+'SEMANA DEL 14 AL 21 '!#REF!+'SEMANA DEL 21AL 28-3'!#REF!+#REF!</f>
        <v>#REF!</v>
      </c>
      <c r="BW35" s="203" t="e">
        <f>+'SEMANA DEL 2 AL 7-3-26'!#REF!+'SEMANA DEL 7 AL 14'!#REF!+'SEMANA DEL 14 AL 21 '!#REF!+'SEMANA DEL 21AL 28-3'!#REF!+#REF!</f>
        <v>#REF!</v>
      </c>
      <c r="BX35" s="203" t="e">
        <f>+'SEMANA DEL 2 AL 7-3-26'!#REF!+'SEMANA DEL 7 AL 14'!#REF!+'SEMANA DEL 14 AL 21 '!#REF!+'SEMANA DEL 21AL 28-3'!#REF!+#REF!</f>
        <v>#REF!</v>
      </c>
      <c r="BY35" s="203" t="e">
        <f>+'SEMANA DEL 2 AL 7-3-26'!#REF!+'SEMANA DEL 7 AL 14'!#REF!+'SEMANA DEL 14 AL 21 '!#REF!+'SEMANA DEL 21AL 28-3'!#REF!+#REF!</f>
        <v>#REF!</v>
      </c>
      <c r="BZ35" s="203" t="e">
        <f>+'SEMANA DEL 2 AL 7-3-26'!#REF!+'SEMANA DEL 7 AL 14'!#REF!+'SEMANA DEL 14 AL 21 '!#REF!+'SEMANA DEL 21AL 28-3'!#REF!+#REF!</f>
        <v>#REF!</v>
      </c>
      <c r="CA35" s="203" t="e">
        <f>+'SEMANA DEL 2 AL 7-3-26'!#REF!+'SEMANA DEL 7 AL 14'!#REF!+'SEMANA DEL 14 AL 21 '!#REF!+'SEMANA DEL 21AL 28-3'!#REF!+#REF!</f>
        <v>#REF!</v>
      </c>
      <c r="CB35" s="203" t="e">
        <f>+'SEMANA DEL 2 AL 7-3-26'!#REF!+'SEMANA DEL 7 AL 14'!#REF!+'SEMANA DEL 14 AL 21 '!#REF!+'SEMANA DEL 21AL 28-3'!#REF!+#REF!</f>
        <v>#REF!</v>
      </c>
      <c r="CC35" s="203" t="e">
        <f>+'SEMANA DEL 2 AL 7-3-26'!#REF!+'SEMANA DEL 7 AL 14'!#REF!+'SEMANA DEL 14 AL 21 '!#REF!+'SEMANA DEL 21AL 28-3'!#REF!+#REF!</f>
        <v>#REF!</v>
      </c>
      <c r="CD35" s="203" t="e">
        <f>+'SEMANA DEL 2 AL 7-3-26'!#REF!+'SEMANA DEL 7 AL 14'!#REF!+'SEMANA DEL 14 AL 21 '!#REF!+'SEMANA DEL 21AL 28-3'!#REF!+#REF!</f>
        <v>#REF!</v>
      </c>
      <c r="CE35" s="203" t="e">
        <f>+'SEMANA DEL 2 AL 7-3-26'!#REF!+'SEMANA DEL 7 AL 14'!#REF!+'SEMANA DEL 14 AL 21 '!#REF!+'SEMANA DEL 21AL 28-3'!#REF!+#REF!</f>
        <v>#REF!</v>
      </c>
      <c r="CF35" s="203" t="e">
        <f>+'SEMANA DEL 2 AL 7-3-26'!#REF!+'SEMANA DEL 7 AL 14'!#REF!+'SEMANA DEL 14 AL 21 '!#REF!+'SEMANA DEL 21AL 28-3'!#REF!+#REF!</f>
        <v>#REF!</v>
      </c>
      <c r="CG35" s="203" t="e">
        <f>+'SEMANA DEL 2 AL 7-3-26'!#REF!+'SEMANA DEL 7 AL 14'!#REF!+'SEMANA DEL 14 AL 21 '!#REF!+'SEMANA DEL 21AL 28-3'!#REF!+#REF!</f>
        <v>#REF!</v>
      </c>
      <c r="CH35" s="203" t="e">
        <f>+'SEMANA DEL 2 AL 7-3-26'!#REF!+'SEMANA DEL 7 AL 14'!#REF!+'SEMANA DEL 14 AL 21 '!#REF!+'SEMANA DEL 21AL 28-3'!#REF!+#REF!</f>
        <v>#REF!</v>
      </c>
      <c r="CI35" s="203" t="e">
        <f>+'SEMANA DEL 2 AL 7-3-26'!#REF!+'SEMANA DEL 7 AL 14'!#REF!+'SEMANA DEL 14 AL 21 '!#REF!+'SEMANA DEL 21AL 28-3'!#REF!+#REF!</f>
        <v>#REF!</v>
      </c>
    </row>
    <row r="36" spans="1:93" x14ac:dyDescent="0.2">
      <c r="A36" s="34" t="e">
        <f>+'SEMANA DEL 2 AL 7-3-26'!#REF!</f>
        <v>#REF!</v>
      </c>
      <c r="B36" s="203" t="e">
        <f>+'SEMANA DEL 2 AL 7-3-26'!#REF!</f>
        <v>#REF!</v>
      </c>
      <c r="C36" s="203" t="e">
        <f>+'SEMANA DEL 2 AL 7-3-26'!#REF!</f>
        <v>#REF!</v>
      </c>
      <c r="D36" s="203" t="e">
        <f>+'SEMANA DEL 2 AL 7-3-26'!#REF!</f>
        <v>#REF!</v>
      </c>
      <c r="E36" s="203" t="e">
        <f>+'SEMANA DEL 2 AL 7-3-26'!#REF!</f>
        <v>#REF!</v>
      </c>
      <c r="F36" s="203" t="e">
        <f>+'SEMANA DEL 2 AL 7-3-26'!#REF!</f>
        <v>#REF!</v>
      </c>
      <c r="G36" s="203" t="e">
        <f>+'SEMANA DEL 2 AL 7-3-26'!#REF!</f>
        <v>#REF!</v>
      </c>
      <c r="H36" s="203" t="e">
        <f>+'SEMANA DEL 2 AL 7-3-26'!#REF!</f>
        <v>#REF!</v>
      </c>
      <c r="I36" s="203" t="e">
        <f>+'SEMANA DEL 2 AL 7-3-26'!#REF!</f>
        <v>#REF!</v>
      </c>
      <c r="J36" s="203" t="e">
        <f>+'SEMANA DEL 2 AL 7-3-26'!#REF!</f>
        <v>#REF!</v>
      </c>
      <c r="K36" s="203" t="e">
        <f>+'SEMANA DEL 2 AL 7-3-26'!#REF!</f>
        <v>#REF!</v>
      </c>
      <c r="L36" s="203" t="e">
        <f>+'SEMANA DEL 2 AL 7-3-26'!#REF!</f>
        <v>#REF!</v>
      </c>
      <c r="M36" s="203" t="e">
        <f>+'SEMANA DEL 2 AL 7-3-26'!#REF!</f>
        <v>#REF!</v>
      </c>
      <c r="N36" s="203" t="e">
        <f>+'SEMANA DEL 2 AL 7-3-26'!#REF!</f>
        <v>#REF!</v>
      </c>
      <c r="O36" s="203" t="e">
        <f>+'SEMANA DEL 2 AL 7-3-26'!#REF!</f>
        <v>#REF!</v>
      </c>
      <c r="P36" s="203" t="e">
        <f>+'SEMANA DEL 2 AL 7-3-26'!#REF!</f>
        <v>#REF!</v>
      </c>
      <c r="Q36" s="203" t="e">
        <f>+'SEMANA DEL 2 AL 7-3-26'!#REF!</f>
        <v>#REF!</v>
      </c>
      <c r="R36" s="203" t="e">
        <f>+'SEMANA DEL 2 AL 7-3-26'!R43+'SEMANA DEL 7 AL 14'!#REF!+'SEMANA DEL 14 AL 21 '!#REF!+'SEMANA DEL 21AL 28-3'!#REF!+#REF!</f>
        <v>#REF!</v>
      </c>
      <c r="S36" s="203" t="e">
        <f>+'SEMANA DEL 2 AL 7-3-26'!S43+'SEMANA DEL 7 AL 14'!#REF!+'SEMANA DEL 14 AL 21 '!#REF!+'SEMANA DEL 21AL 28-3'!#REF!+#REF!</f>
        <v>#REF!</v>
      </c>
      <c r="T36" s="203" t="e">
        <f>+'SEMANA DEL 2 AL 7-3-26'!T43+'SEMANA DEL 7 AL 14'!#REF!+'SEMANA DEL 14 AL 21 '!#REF!+'SEMANA DEL 21AL 28-3'!#REF!+#REF!</f>
        <v>#REF!</v>
      </c>
      <c r="U36" s="203" t="e">
        <f>+'SEMANA DEL 2 AL 7-3-26'!U43+'SEMANA DEL 7 AL 14'!#REF!+'SEMANA DEL 14 AL 21 '!#REF!+'SEMANA DEL 21AL 28-3'!#REF!+#REF!</f>
        <v>#REF!</v>
      </c>
      <c r="V36" s="203" t="e">
        <f>+'SEMANA DEL 2 AL 7-3-26'!V43+'SEMANA DEL 7 AL 14'!#REF!+'SEMANA DEL 14 AL 21 '!#REF!+'SEMANA DEL 21AL 28-3'!#REF!+#REF!</f>
        <v>#REF!</v>
      </c>
      <c r="W36" s="203" t="e">
        <f>+'SEMANA DEL 2 AL 7-3-26'!W43+'SEMANA DEL 7 AL 14'!#REF!+'SEMANA DEL 14 AL 21 '!#REF!+'SEMANA DEL 21AL 28-3'!#REF!+#REF!</f>
        <v>#REF!</v>
      </c>
      <c r="X36" s="203" t="e">
        <f>+'SEMANA DEL 2 AL 7-3-26'!X43+'SEMANA DEL 7 AL 14'!#REF!+'SEMANA DEL 14 AL 21 '!#REF!+'SEMANA DEL 21AL 28-3'!#REF!+#REF!</f>
        <v>#REF!</v>
      </c>
      <c r="Y36" s="203" t="e">
        <f>+'SEMANA DEL 2 AL 7-3-26'!Y43+'SEMANA DEL 7 AL 14'!#REF!+'SEMANA DEL 14 AL 21 '!#REF!+'SEMANA DEL 21AL 28-3'!#REF!+#REF!</f>
        <v>#REF!</v>
      </c>
      <c r="Z36" s="203" t="e">
        <f>+'SEMANA DEL 2 AL 7-3-26'!Z43+'SEMANA DEL 7 AL 14'!#REF!+'SEMANA DEL 14 AL 21 '!#REF!+'SEMANA DEL 21AL 28-3'!#REF!+#REF!</f>
        <v>#REF!</v>
      </c>
      <c r="AA36" s="203" t="e">
        <f>+'SEMANA DEL 2 AL 7-3-26'!AA43+'SEMANA DEL 7 AL 14'!#REF!+'SEMANA DEL 14 AL 21 '!#REF!+'SEMANA DEL 21AL 28-3'!#REF!+#REF!</f>
        <v>#REF!</v>
      </c>
      <c r="AB36" s="203" t="e">
        <f>+'SEMANA DEL 2 AL 7-3-26'!AB43+'SEMANA DEL 7 AL 14'!#REF!+'SEMANA DEL 14 AL 21 '!#REF!+'SEMANA DEL 21AL 28-3'!#REF!+#REF!</f>
        <v>#REF!</v>
      </c>
      <c r="AC36" s="203" t="e">
        <f>+'SEMANA DEL 2 AL 7-3-26'!AC43+'SEMANA DEL 7 AL 14'!#REF!+'SEMANA DEL 14 AL 21 '!#REF!+'SEMANA DEL 21AL 28-3'!#REF!+#REF!</f>
        <v>#REF!</v>
      </c>
      <c r="AD36" s="203" t="e">
        <f>+'SEMANA DEL 2 AL 7-3-26'!AD43+'SEMANA DEL 7 AL 14'!#REF!+'SEMANA DEL 14 AL 21 '!#REF!+'SEMANA DEL 21AL 28-3'!#REF!+#REF!</f>
        <v>#REF!</v>
      </c>
      <c r="AE36" s="203" t="e">
        <f>+'SEMANA DEL 2 AL 7-3-26'!AE43+'SEMANA DEL 7 AL 14'!#REF!+'SEMANA DEL 14 AL 21 '!#REF!+'SEMANA DEL 21AL 28-3'!#REF!+#REF!</f>
        <v>#REF!</v>
      </c>
      <c r="AF36" s="203" t="e">
        <f>+'SEMANA DEL 2 AL 7-3-26'!AF43+'SEMANA DEL 7 AL 14'!#REF!+'SEMANA DEL 14 AL 21 '!#REF!+'SEMANA DEL 21AL 28-3'!#REF!+#REF!</f>
        <v>#REF!</v>
      </c>
      <c r="AG36" s="203" t="e">
        <f>+'SEMANA DEL 2 AL 7-3-26'!AG43+'SEMANA DEL 7 AL 14'!#REF!+'SEMANA DEL 14 AL 21 '!#REF!+'SEMANA DEL 21AL 28-3'!#REF!+#REF!</f>
        <v>#REF!</v>
      </c>
      <c r="AH36" s="203" t="e">
        <f>+'SEMANA DEL 2 AL 7-3-26'!AH43+'SEMANA DEL 7 AL 14'!#REF!+'SEMANA DEL 14 AL 21 '!#REF!+'SEMANA DEL 21AL 28-3'!#REF!+#REF!</f>
        <v>#REF!</v>
      </c>
      <c r="AI36" s="203" t="e">
        <f>+'SEMANA DEL 2 AL 7-3-26'!AI43+'SEMANA DEL 7 AL 14'!#REF!+'SEMANA DEL 14 AL 21 '!#REF!+'SEMANA DEL 21AL 28-3'!#REF!+#REF!</f>
        <v>#REF!</v>
      </c>
      <c r="AJ36" s="203" t="e">
        <f>+'SEMANA DEL 2 AL 7-3-26'!AJ43+'SEMANA DEL 7 AL 14'!#REF!+'SEMANA DEL 14 AL 21 '!#REF!+'SEMANA DEL 21AL 28-3'!#REF!+#REF!</f>
        <v>#REF!</v>
      </c>
      <c r="AK36" s="203" t="e">
        <f>+'SEMANA DEL 2 AL 7-3-26'!AK43+'SEMANA DEL 7 AL 14'!#REF!+'SEMANA DEL 14 AL 21 '!#REF!+'SEMANA DEL 21AL 28-3'!#REF!+#REF!</f>
        <v>#REF!</v>
      </c>
      <c r="AL36" s="203" t="e">
        <f>+'SEMANA DEL 2 AL 7-3-26'!AL43+'SEMANA DEL 7 AL 14'!#REF!+'SEMANA DEL 14 AL 21 '!#REF!+'SEMANA DEL 21AL 28-3'!#REF!+#REF!</f>
        <v>#REF!</v>
      </c>
      <c r="AM36" s="203" t="e">
        <f>+'SEMANA DEL 2 AL 7-3-26'!AM43+'SEMANA DEL 7 AL 14'!#REF!+'SEMANA DEL 14 AL 21 '!#REF!+'SEMANA DEL 21AL 28-3'!#REF!+#REF!</f>
        <v>#REF!</v>
      </c>
      <c r="AN36" s="203" t="e">
        <f>+'SEMANA DEL 2 AL 7-3-26'!AN43+'SEMANA DEL 7 AL 14'!#REF!+'SEMANA DEL 14 AL 21 '!#REF!+'SEMANA DEL 21AL 28-3'!#REF!+#REF!</f>
        <v>#REF!</v>
      </c>
      <c r="AO36" s="203" t="e">
        <f>+'SEMANA DEL 2 AL 7-3-26'!AO43+'SEMANA DEL 7 AL 14'!#REF!+'SEMANA DEL 14 AL 21 '!#REF!+'SEMANA DEL 21AL 28-3'!#REF!+#REF!</f>
        <v>#REF!</v>
      </c>
      <c r="AP36" s="203" t="e">
        <f>+'SEMANA DEL 2 AL 7-3-26'!AP43+'SEMANA DEL 7 AL 14'!#REF!+'SEMANA DEL 14 AL 21 '!#REF!+'SEMANA DEL 21AL 28-3'!#REF!+#REF!</f>
        <v>#REF!</v>
      </c>
      <c r="AQ36" s="203" t="e">
        <f>+'SEMANA DEL 2 AL 7-3-26'!AQ43+'SEMANA DEL 7 AL 14'!#REF!+'SEMANA DEL 14 AL 21 '!#REF!+'SEMANA DEL 21AL 28-3'!#REF!+#REF!</f>
        <v>#REF!</v>
      </c>
      <c r="AR36" s="203" t="e">
        <f>+'SEMANA DEL 2 AL 7-3-26'!AR43+'SEMANA DEL 7 AL 14'!#REF!+'SEMANA DEL 14 AL 21 '!#REF!+'SEMANA DEL 21AL 28-3'!#REF!+#REF!</f>
        <v>#REF!</v>
      </c>
      <c r="AS36" s="203" t="e">
        <f>+'SEMANA DEL 2 AL 7-3-26'!AS43+'SEMANA DEL 7 AL 14'!#REF!+'SEMANA DEL 14 AL 21 '!#REF!+'SEMANA DEL 21AL 28-3'!#REF!+#REF!</f>
        <v>#REF!</v>
      </c>
      <c r="AT36" s="203" t="e">
        <f>+'SEMANA DEL 2 AL 7-3-26'!AT43+'SEMANA DEL 7 AL 14'!#REF!+'SEMANA DEL 14 AL 21 '!#REF!+'SEMANA DEL 21AL 28-3'!#REF!+#REF!</f>
        <v>#REF!</v>
      </c>
      <c r="AU36" s="203" t="e">
        <f>+'SEMANA DEL 2 AL 7-3-26'!AU43+'SEMANA DEL 7 AL 14'!#REF!+'SEMANA DEL 14 AL 21 '!#REF!+'SEMANA DEL 21AL 28-3'!#REF!+#REF!</f>
        <v>#REF!</v>
      </c>
      <c r="AV36" s="203" t="e">
        <f>+'SEMANA DEL 2 AL 7-3-26'!AV43+'SEMANA DEL 7 AL 14'!#REF!+'SEMANA DEL 14 AL 21 '!#REF!+'SEMANA DEL 21AL 28-3'!#REF!+#REF!</f>
        <v>#REF!</v>
      </c>
      <c r="AW36" s="203" t="e">
        <f>+'SEMANA DEL 2 AL 7-3-26'!AW43+'SEMANA DEL 7 AL 14'!#REF!+'SEMANA DEL 14 AL 21 '!#REF!+'SEMANA DEL 21AL 28-3'!#REF!+#REF!</f>
        <v>#REF!</v>
      </c>
      <c r="AX36" s="203" t="e">
        <f t="shared" si="1"/>
        <v>#REF!</v>
      </c>
      <c r="AY36" s="203" t="e">
        <f t="shared" si="2"/>
        <v>#REF!</v>
      </c>
      <c r="AZ36" s="203" t="e">
        <f t="shared" si="3"/>
        <v>#REF!</v>
      </c>
      <c r="BA36" s="203" t="e">
        <f t="shared" si="4"/>
        <v>#REF!</v>
      </c>
      <c r="BB36" s="203" t="e">
        <f t="shared" si="5"/>
        <v>#REF!</v>
      </c>
      <c r="BC36" s="203" t="e">
        <f t="shared" si="6"/>
        <v>#REF!</v>
      </c>
      <c r="BD36" s="203" t="e">
        <f t="shared" si="7"/>
        <v>#REF!</v>
      </c>
      <c r="BE36" s="203" t="e">
        <f t="shared" si="8"/>
        <v>#REF!</v>
      </c>
      <c r="BF36" s="203" t="e">
        <f t="shared" si="9"/>
        <v>#REF!</v>
      </c>
      <c r="BG36" s="203" t="e">
        <f t="shared" si="10"/>
        <v>#REF!</v>
      </c>
      <c r="BH36" s="203" t="e">
        <f t="shared" si="11"/>
        <v>#REF!</v>
      </c>
      <c r="BI36" s="203" t="e">
        <f t="shared" si="12"/>
        <v>#REF!</v>
      </c>
      <c r="BJ36" s="203" t="e">
        <f t="shared" si="13"/>
        <v>#REF!</v>
      </c>
      <c r="BK36" s="203" t="e">
        <f t="shared" si="14"/>
        <v>#REF!</v>
      </c>
      <c r="BL36" s="203" t="e">
        <f t="shared" si="15"/>
        <v>#REF!</v>
      </c>
      <c r="BM36" s="203" t="e">
        <f t="shared" si="16"/>
        <v>#REF!</v>
      </c>
      <c r="BN36" s="203" t="e">
        <f>+'SEMANA DEL 2 AL 7-3-26'!BN43+'SEMANA DEL 7 AL 14'!#REF!+'SEMANA DEL 14 AL 21 '!#REF!+'SEMANA DEL 21AL 28-3'!#REF!+#REF!</f>
        <v>#REF!</v>
      </c>
      <c r="BO36" s="203" t="e">
        <f>+'SEMANA DEL 2 AL 7-3-26'!BO43+'SEMANA DEL 7 AL 14'!#REF!+'SEMANA DEL 14 AL 21 '!#REF!+'SEMANA DEL 21AL 28-3'!#REF!+#REF!</f>
        <v>#REF!</v>
      </c>
      <c r="BP36" s="203" t="e">
        <f>+'SEMANA DEL 2 AL 7-3-26'!BP43+'SEMANA DEL 7 AL 14'!#REF!+'SEMANA DEL 14 AL 21 '!#REF!+'SEMANA DEL 21AL 28-3'!#REF!+#REF!</f>
        <v>#REF!</v>
      </c>
      <c r="BQ36" s="203" t="e">
        <f>+'SEMANA DEL 2 AL 7-3-26'!BQ43+'SEMANA DEL 7 AL 14'!#REF!+'SEMANA DEL 14 AL 21 '!#REF!+'SEMANA DEL 21AL 28-3'!#REF!+#REF!</f>
        <v>#REF!</v>
      </c>
      <c r="BR36" s="203" t="e">
        <f>+'SEMANA DEL 2 AL 7-3-26'!BR43+'SEMANA DEL 7 AL 14'!#REF!+'SEMANA DEL 14 AL 21 '!#REF!+'SEMANA DEL 21AL 28-3'!#REF!+#REF!</f>
        <v>#REF!</v>
      </c>
      <c r="BS36" s="203" t="e">
        <f>+'SEMANA DEL 2 AL 7-3-26'!BS43+'SEMANA DEL 7 AL 14'!#REF!+'SEMANA DEL 14 AL 21 '!#REF!+'SEMANA DEL 21AL 28-3'!#REF!+#REF!</f>
        <v>#REF!</v>
      </c>
      <c r="BT36" s="203" t="e">
        <f>+'SEMANA DEL 2 AL 7-3-26'!BT43+'SEMANA DEL 7 AL 14'!#REF!+'SEMANA DEL 14 AL 21 '!#REF!+'SEMANA DEL 21AL 28-3'!#REF!+#REF!</f>
        <v>#REF!</v>
      </c>
      <c r="BU36" s="203" t="e">
        <f>+'SEMANA DEL 2 AL 7-3-26'!BU43+'SEMANA DEL 7 AL 14'!#REF!+'SEMANA DEL 14 AL 21 '!#REF!+'SEMANA DEL 21AL 28-3'!#REF!+#REF!</f>
        <v>#REF!</v>
      </c>
      <c r="BV36" s="203" t="e">
        <f>+'SEMANA DEL 2 AL 7-3-26'!BV43+'SEMANA DEL 7 AL 14'!#REF!+'SEMANA DEL 14 AL 21 '!#REF!+'SEMANA DEL 21AL 28-3'!#REF!+#REF!</f>
        <v>#REF!</v>
      </c>
      <c r="BW36" s="203" t="e">
        <f>+'SEMANA DEL 2 AL 7-3-26'!BW43+'SEMANA DEL 7 AL 14'!#REF!+'SEMANA DEL 14 AL 21 '!#REF!+'SEMANA DEL 21AL 28-3'!#REF!+#REF!</f>
        <v>#REF!</v>
      </c>
      <c r="BX36" s="203" t="e">
        <f>+'SEMANA DEL 2 AL 7-3-26'!BX43+'SEMANA DEL 7 AL 14'!#REF!+'SEMANA DEL 14 AL 21 '!#REF!+'SEMANA DEL 21AL 28-3'!#REF!+#REF!</f>
        <v>#REF!</v>
      </c>
      <c r="BY36" s="203" t="e">
        <f>+'SEMANA DEL 2 AL 7-3-26'!BY43+'SEMANA DEL 7 AL 14'!#REF!+'SEMANA DEL 14 AL 21 '!#REF!+'SEMANA DEL 21AL 28-3'!#REF!+#REF!</f>
        <v>#REF!</v>
      </c>
      <c r="BZ36" s="203" t="e">
        <f>+'SEMANA DEL 2 AL 7-3-26'!BZ43+'SEMANA DEL 7 AL 14'!#REF!+'SEMANA DEL 14 AL 21 '!#REF!+'SEMANA DEL 21AL 28-3'!#REF!+#REF!</f>
        <v>#REF!</v>
      </c>
      <c r="CA36" s="203" t="e">
        <f>+'SEMANA DEL 2 AL 7-3-26'!CA43+'SEMANA DEL 7 AL 14'!#REF!+'SEMANA DEL 14 AL 21 '!#REF!+'SEMANA DEL 21AL 28-3'!#REF!+#REF!</f>
        <v>#REF!</v>
      </c>
      <c r="CB36" s="203" t="e">
        <f>+'SEMANA DEL 2 AL 7-3-26'!CB43+'SEMANA DEL 7 AL 14'!#REF!+'SEMANA DEL 14 AL 21 '!#REF!+'SEMANA DEL 21AL 28-3'!#REF!+#REF!</f>
        <v>#REF!</v>
      </c>
      <c r="CC36" s="203" t="e">
        <f>+'SEMANA DEL 2 AL 7-3-26'!CC43+'SEMANA DEL 7 AL 14'!#REF!+'SEMANA DEL 14 AL 21 '!#REF!+'SEMANA DEL 21AL 28-3'!#REF!+#REF!</f>
        <v>#REF!</v>
      </c>
      <c r="CD36" s="203" t="e">
        <f>+'SEMANA DEL 2 AL 7-3-26'!CD43+'SEMANA DEL 7 AL 14'!#REF!+'SEMANA DEL 14 AL 21 '!#REF!+'SEMANA DEL 21AL 28-3'!#REF!+#REF!</f>
        <v>#REF!</v>
      </c>
      <c r="CE36" s="203" t="e">
        <f>+'SEMANA DEL 2 AL 7-3-26'!CE43+'SEMANA DEL 7 AL 14'!#REF!+'SEMANA DEL 14 AL 21 '!#REF!+'SEMANA DEL 21AL 28-3'!#REF!+#REF!</f>
        <v>#REF!</v>
      </c>
      <c r="CF36" s="203" t="e">
        <f>+'SEMANA DEL 2 AL 7-3-26'!CF43+'SEMANA DEL 7 AL 14'!#REF!+'SEMANA DEL 14 AL 21 '!#REF!+'SEMANA DEL 21AL 28-3'!#REF!+#REF!</f>
        <v>#REF!</v>
      </c>
      <c r="CG36" s="203" t="e">
        <f>+'SEMANA DEL 2 AL 7-3-26'!CG43+'SEMANA DEL 7 AL 14'!#REF!+'SEMANA DEL 14 AL 21 '!#REF!+'SEMANA DEL 21AL 28-3'!#REF!+#REF!</f>
        <v>#REF!</v>
      </c>
      <c r="CH36" s="203" t="e">
        <f>+'SEMANA DEL 2 AL 7-3-26'!CH43+'SEMANA DEL 7 AL 14'!#REF!+'SEMANA DEL 14 AL 21 '!#REF!+'SEMANA DEL 21AL 28-3'!#REF!+#REF!</f>
        <v>#REF!</v>
      </c>
      <c r="CI36" s="203" t="e">
        <f>+'SEMANA DEL 2 AL 7-3-26'!CI43+'SEMANA DEL 7 AL 14'!#REF!+'SEMANA DEL 14 AL 21 '!#REF!+'SEMANA DEL 21AL 28-3'!#REF!+#REF!</f>
        <v>#REF!</v>
      </c>
    </row>
    <row r="37" spans="1:93" x14ac:dyDescent="0.2">
      <c r="A37" s="34" t="str">
        <f>+'SEMANA DEL 2 AL 7-3-26'!A36</f>
        <v xml:space="preserve">ROSALBA MATAGIRA </v>
      </c>
      <c r="B37" s="203">
        <f>+'SEMANA DEL 2 AL 7-3-26'!B36</f>
        <v>0</v>
      </c>
      <c r="C37" s="203">
        <f>+'SEMANA DEL 2 AL 7-3-26'!C36</f>
        <v>0</v>
      </c>
      <c r="D37" s="203">
        <f>+'SEMANA DEL 2 AL 7-3-26'!D36</f>
        <v>0</v>
      </c>
      <c r="E37" s="203">
        <f>+'SEMANA DEL 2 AL 7-3-26'!E36</f>
        <v>0</v>
      </c>
      <c r="F37" s="203">
        <f>+'SEMANA DEL 2 AL 7-3-26'!F36</f>
        <v>0</v>
      </c>
      <c r="G37" s="203">
        <f>+'SEMANA DEL 2 AL 7-3-26'!G36</f>
        <v>0</v>
      </c>
      <c r="H37" s="203">
        <f>+'SEMANA DEL 2 AL 7-3-26'!H36</f>
        <v>0</v>
      </c>
      <c r="I37" s="203">
        <f>+'SEMANA DEL 2 AL 7-3-26'!I36</f>
        <v>0</v>
      </c>
      <c r="J37" s="203">
        <f>+'SEMANA DEL 2 AL 7-3-26'!J36</f>
        <v>0</v>
      </c>
      <c r="K37" s="203">
        <f>+'SEMANA DEL 2 AL 7-3-26'!K36</f>
        <v>0</v>
      </c>
      <c r="L37" s="203">
        <f>+'SEMANA DEL 2 AL 7-3-26'!L36</f>
        <v>0</v>
      </c>
      <c r="M37" s="203">
        <f>+'SEMANA DEL 2 AL 7-3-26'!M36</f>
        <v>0</v>
      </c>
      <c r="N37" s="203">
        <f>+'SEMANA DEL 2 AL 7-3-26'!N36</f>
        <v>0</v>
      </c>
      <c r="O37" s="203">
        <f>+'SEMANA DEL 2 AL 7-3-26'!O36</f>
        <v>0</v>
      </c>
      <c r="P37" s="203">
        <f>+'SEMANA DEL 2 AL 7-3-26'!P36</f>
        <v>0</v>
      </c>
      <c r="Q37" s="203">
        <f>+'SEMANA DEL 2 AL 7-3-26'!Q36</f>
        <v>0</v>
      </c>
      <c r="R37" s="203" t="e">
        <f>+'SEMANA DEL 2 AL 7-3-26'!#REF!+'SEMANA DEL 7 AL 14'!#REF!+'SEMANA DEL 14 AL 21 '!#REF!+'SEMANA DEL 21AL 28-3'!#REF!+#REF!</f>
        <v>#REF!</v>
      </c>
      <c r="S37" s="203" t="e">
        <f>+'SEMANA DEL 2 AL 7-3-26'!#REF!+'SEMANA DEL 7 AL 14'!#REF!+'SEMANA DEL 14 AL 21 '!#REF!+'SEMANA DEL 21AL 28-3'!#REF!+#REF!</f>
        <v>#REF!</v>
      </c>
      <c r="T37" s="203" t="e">
        <f>+'SEMANA DEL 2 AL 7-3-26'!#REF!+'SEMANA DEL 7 AL 14'!#REF!+'SEMANA DEL 14 AL 21 '!#REF!+'SEMANA DEL 21AL 28-3'!#REF!+#REF!</f>
        <v>#REF!</v>
      </c>
      <c r="U37" s="203" t="e">
        <f>+'SEMANA DEL 2 AL 7-3-26'!#REF!+'SEMANA DEL 7 AL 14'!#REF!+'SEMANA DEL 14 AL 21 '!#REF!+'SEMANA DEL 21AL 28-3'!#REF!+#REF!</f>
        <v>#REF!</v>
      </c>
      <c r="V37" s="203" t="e">
        <f>+'SEMANA DEL 2 AL 7-3-26'!#REF!+'SEMANA DEL 7 AL 14'!#REF!+'SEMANA DEL 14 AL 21 '!#REF!+'SEMANA DEL 21AL 28-3'!#REF!+#REF!</f>
        <v>#REF!</v>
      </c>
      <c r="W37" s="203" t="e">
        <f>+'SEMANA DEL 2 AL 7-3-26'!#REF!+'SEMANA DEL 7 AL 14'!#REF!+'SEMANA DEL 14 AL 21 '!#REF!+'SEMANA DEL 21AL 28-3'!#REF!+#REF!</f>
        <v>#REF!</v>
      </c>
      <c r="X37" s="203" t="e">
        <f>+'SEMANA DEL 2 AL 7-3-26'!#REF!+'SEMANA DEL 7 AL 14'!#REF!+'SEMANA DEL 14 AL 21 '!#REF!+'SEMANA DEL 21AL 28-3'!#REF!+#REF!</f>
        <v>#REF!</v>
      </c>
      <c r="Y37" s="203" t="e">
        <f>+'SEMANA DEL 2 AL 7-3-26'!#REF!+'SEMANA DEL 7 AL 14'!#REF!+'SEMANA DEL 14 AL 21 '!#REF!+'SEMANA DEL 21AL 28-3'!#REF!+#REF!</f>
        <v>#REF!</v>
      </c>
      <c r="Z37" s="203" t="e">
        <f>+'SEMANA DEL 2 AL 7-3-26'!#REF!+'SEMANA DEL 7 AL 14'!#REF!+'SEMANA DEL 14 AL 21 '!#REF!+'SEMANA DEL 21AL 28-3'!#REF!+#REF!</f>
        <v>#REF!</v>
      </c>
      <c r="AA37" s="203" t="e">
        <f>+'SEMANA DEL 2 AL 7-3-26'!#REF!+'SEMANA DEL 7 AL 14'!#REF!+'SEMANA DEL 14 AL 21 '!#REF!+'SEMANA DEL 21AL 28-3'!#REF!+#REF!</f>
        <v>#REF!</v>
      </c>
      <c r="AB37" s="203" t="e">
        <f>+'SEMANA DEL 2 AL 7-3-26'!#REF!+'SEMANA DEL 7 AL 14'!#REF!+'SEMANA DEL 14 AL 21 '!#REF!+'SEMANA DEL 21AL 28-3'!#REF!+#REF!</f>
        <v>#REF!</v>
      </c>
      <c r="AC37" s="203" t="e">
        <f>+'SEMANA DEL 2 AL 7-3-26'!#REF!+'SEMANA DEL 7 AL 14'!#REF!+'SEMANA DEL 14 AL 21 '!#REF!+'SEMANA DEL 21AL 28-3'!#REF!+#REF!</f>
        <v>#REF!</v>
      </c>
      <c r="AD37" s="203" t="e">
        <f>+'SEMANA DEL 2 AL 7-3-26'!#REF!+'SEMANA DEL 7 AL 14'!#REF!+'SEMANA DEL 14 AL 21 '!#REF!+'SEMANA DEL 21AL 28-3'!#REF!+#REF!</f>
        <v>#REF!</v>
      </c>
      <c r="AE37" s="203" t="e">
        <f>+'SEMANA DEL 2 AL 7-3-26'!#REF!+'SEMANA DEL 7 AL 14'!#REF!+'SEMANA DEL 14 AL 21 '!#REF!+'SEMANA DEL 21AL 28-3'!#REF!+#REF!</f>
        <v>#REF!</v>
      </c>
      <c r="AF37" s="203" t="e">
        <f>+'SEMANA DEL 2 AL 7-3-26'!#REF!+'SEMANA DEL 7 AL 14'!#REF!+'SEMANA DEL 14 AL 21 '!#REF!+'SEMANA DEL 21AL 28-3'!#REF!+#REF!</f>
        <v>#REF!</v>
      </c>
      <c r="AG37" s="203" t="e">
        <f>+'SEMANA DEL 2 AL 7-3-26'!#REF!+'SEMANA DEL 7 AL 14'!#REF!+'SEMANA DEL 14 AL 21 '!#REF!+'SEMANA DEL 21AL 28-3'!#REF!+#REF!</f>
        <v>#REF!</v>
      </c>
      <c r="AH37" s="203" t="e">
        <f>+'SEMANA DEL 2 AL 7-3-26'!#REF!+'SEMANA DEL 7 AL 14'!#REF!+'SEMANA DEL 14 AL 21 '!#REF!+'SEMANA DEL 21AL 28-3'!#REF!+#REF!</f>
        <v>#REF!</v>
      </c>
      <c r="AI37" s="203" t="e">
        <f>+'SEMANA DEL 2 AL 7-3-26'!#REF!+'SEMANA DEL 7 AL 14'!#REF!+'SEMANA DEL 14 AL 21 '!#REF!+'SEMANA DEL 21AL 28-3'!#REF!+#REF!</f>
        <v>#REF!</v>
      </c>
      <c r="AJ37" s="203" t="e">
        <f>+'SEMANA DEL 2 AL 7-3-26'!#REF!+'SEMANA DEL 7 AL 14'!#REF!+'SEMANA DEL 14 AL 21 '!#REF!+'SEMANA DEL 21AL 28-3'!#REF!+#REF!</f>
        <v>#REF!</v>
      </c>
      <c r="AK37" s="203" t="e">
        <f>+'SEMANA DEL 2 AL 7-3-26'!#REF!+'SEMANA DEL 7 AL 14'!#REF!+'SEMANA DEL 14 AL 21 '!#REF!+'SEMANA DEL 21AL 28-3'!#REF!+#REF!</f>
        <v>#REF!</v>
      </c>
      <c r="AL37" s="203" t="e">
        <f>+'SEMANA DEL 2 AL 7-3-26'!#REF!+'SEMANA DEL 7 AL 14'!#REF!+'SEMANA DEL 14 AL 21 '!#REF!+'SEMANA DEL 21AL 28-3'!#REF!+#REF!</f>
        <v>#REF!</v>
      </c>
      <c r="AM37" s="203" t="e">
        <f>+'SEMANA DEL 2 AL 7-3-26'!#REF!+'SEMANA DEL 7 AL 14'!#REF!+'SEMANA DEL 14 AL 21 '!#REF!+'SEMANA DEL 21AL 28-3'!#REF!+#REF!</f>
        <v>#REF!</v>
      </c>
      <c r="AN37" s="203" t="e">
        <f>+'SEMANA DEL 2 AL 7-3-26'!#REF!+'SEMANA DEL 7 AL 14'!#REF!+'SEMANA DEL 14 AL 21 '!#REF!+'SEMANA DEL 21AL 28-3'!#REF!+#REF!</f>
        <v>#REF!</v>
      </c>
      <c r="AO37" s="203" t="e">
        <f>+'SEMANA DEL 2 AL 7-3-26'!#REF!+'SEMANA DEL 7 AL 14'!#REF!+'SEMANA DEL 14 AL 21 '!#REF!+'SEMANA DEL 21AL 28-3'!#REF!+#REF!</f>
        <v>#REF!</v>
      </c>
      <c r="AP37" s="203" t="e">
        <f>+'SEMANA DEL 2 AL 7-3-26'!#REF!+'SEMANA DEL 7 AL 14'!#REF!+'SEMANA DEL 14 AL 21 '!#REF!+'SEMANA DEL 21AL 28-3'!#REF!+#REF!</f>
        <v>#REF!</v>
      </c>
      <c r="AQ37" s="203" t="e">
        <f>+'SEMANA DEL 2 AL 7-3-26'!#REF!+'SEMANA DEL 7 AL 14'!#REF!+'SEMANA DEL 14 AL 21 '!#REF!+'SEMANA DEL 21AL 28-3'!#REF!+#REF!</f>
        <v>#REF!</v>
      </c>
      <c r="AR37" s="203" t="e">
        <f>+'SEMANA DEL 2 AL 7-3-26'!#REF!+'SEMANA DEL 7 AL 14'!#REF!+'SEMANA DEL 14 AL 21 '!#REF!+'SEMANA DEL 21AL 28-3'!#REF!+#REF!</f>
        <v>#REF!</v>
      </c>
      <c r="AS37" s="203" t="e">
        <f>+'SEMANA DEL 2 AL 7-3-26'!#REF!+'SEMANA DEL 7 AL 14'!#REF!+'SEMANA DEL 14 AL 21 '!#REF!+'SEMANA DEL 21AL 28-3'!#REF!+#REF!</f>
        <v>#REF!</v>
      </c>
      <c r="AT37" s="203" t="e">
        <f>+'SEMANA DEL 2 AL 7-3-26'!#REF!+'SEMANA DEL 7 AL 14'!#REF!+'SEMANA DEL 14 AL 21 '!#REF!+'SEMANA DEL 21AL 28-3'!#REF!+#REF!</f>
        <v>#REF!</v>
      </c>
      <c r="AU37" s="203" t="e">
        <f>+'SEMANA DEL 2 AL 7-3-26'!#REF!+'SEMANA DEL 7 AL 14'!#REF!+'SEMANA DEL 14 AL 21 '!#REF!+'SEMANA DEL 21AL 28-3'!#REF!+#REF!</f>
        <v>#REF!</v>
      </c>
      <c r="AV37" s="203" t="e">
        <f>+'SEMANA DEL 2 AL 7-3-26'!#REF!+'SEMANA DEL 7 AL 14'!#REF!+'SEMANA DEL 14 AL 21 '!#REF!+'SEMANA DEL 21AL 28-3'!#REF!+#REF!</f>
        <v>#REF!</v>
      </c>
      <c r="AW37" s="203" t="e">
        <f>+'SEMANA DEL 2 AL 7-3-26'!#REF!+'SEMANA DEL 7 AL 14'!#REF!+'SEMANA DEL 14 AL 21 '!#REF!+'SEMANA DEL 21AL 28-3'!#REF!+#REF!</f>
        <v>#REF!</v>
      </c>
      <c r="AX37" s="203" t="e">
        <f t="shared" si="1"/>
        <v>#REF!</v>
      </c>
      <c r="AY37" s="203" t="e">
        <f t="shared" si="2"/>
        <v>#REF!</v>
      </c>
      <c r="AZ37" s="203" t="e">
        <f t="shared" si="3"/>
        <v>#REF!</v>
      </c>
      <c r="BA37" s="203" t="e">
        <f t="shared" si="4"/>
        <v>#REF!</v>
      </c>
      <c r="BB37" s="203" t="e">
        <f t="shared" si="5"/>
        <v>#REF!</v>
      </c>
      <c r="BC37" s="203" t="e">
        <f t="shared" si="6"/>
        <v>#REF!</v>
      </c>
      <c r="BD37" s="203" t="e">
        <f t="shared" si="7"/>
        <v>#REF!</v>
      </c>
      <c r="BE37" s="203" t="e">
        <f t="shared" si="8"/>
        <v>#REF!</v>
      </c>
      <c r="BF37" s="203" t="e">
        <f t="shared" si="9"/>
        <v>#REF!</v>
      </c>
      <c r="BG37" s="203" t="e">
        <f t="shared" si="10"/>
        <v>#REF!</v>
      </c>
      <c r="BH37" s="203" t="e">
        <f t="shared" si="11"/>
        <v>#REF!</v>
      </c>
      <c r="BI37" s="203" t="e">
        <f t="shared" si="12"/>
        <v>#REF!</v>
      </c>
      <c r="BJ37" s="203" t="e">
        <f t="shared" si="13"/>
        <v>#REF!</v>
      </c>
      <c r="BK37" s="203" t="e">
        <f t="shared" si="14"/>
        <v>#REF!</v>
      </c>
      <c r="BL37" s="203" t="e">
        <f t="shared" si="15"/>
        <v>#REF!</v>
      </c>
      <c r="BM37" s="203" t="e">
        <f t="shared" si="16"/>
        <v>#REF!</v>
      </c>
      <c r="BN37" s="203" t="e">
        <f>+'SEMANA DEL 2 AL 7-3-26'!#REF!+'SEMANA DEL 7 AL 14'!#REF!+'SEMANA DEL 14 AL 21 '!#REF!+'SEMANA DEL 21AL 28-3'!#REF!+#REF!</f>
        <v>#REF!</v>
      </c>
      <c r="BO37" s="203" t="e">
        <f>+'SEMANA DEL 2 AL 7-3-26'!#REF!+'SEMANA DEL 7 AL 14'!#REF!+'SEMANA DEL 14 AL 21 '!#REF!+'SEMANA DEL 21AL 28-3'!#REF!+#REF!</f>
        <v>#REF!</v>
      </c>
      <c r="BP37" s="203" t="e">
        <f>+'SEMANA DEL 2 AL 7-3-26'!#REF!+'SEMANA DEL 7 AL 14'!#REF!+'SEMANA DEL 14 AL 21 '!#REF!+'SEMANA DEL 21AL 28-3'!#REF!+#REF!</f>
        <v>#REF!</v>
      </c>
      <c r="BQ37" s="203" t="e">
        <f>+'SEMANA DEL 2 AL 7-3-26'!#REF!+'SEMANA DEL 7 AL 14'!#REF!+'SEMANA DEL 14 AL 21 '!#REF!+'SEMANA DEL 21AL 28-3'!#REF!+#REF!</f>
        <v>#REF!</v>
      </c>
      <c r="BR37" s="203" t="e">
        <f>+'SEMANA DEL 2 AL 7-3-26'!#REF!+'SEMANA DEL 7 AL 14'!#REF!+'SEMANA DEL 14 AL 21 '!#REF!+'SEMANA DEL 21AL 28-3'!#REF!+#REF!</f>
        <v>#REF!</v>
      </c>
      <c r="BS37" s="203" t="e">
        <f>+'SEMANA DEL 2 AL 7-3-26'!#REF!+'SEMANA DEL 7 AL 14'!#REF!+'SEMANA DEL 14 AL 21 '!#REF!+'SEMANA DEL 21AL 28-3'!#REF!+#REF!</f>
        <v>#REF!</v>
      </c>
      <c r="BT37" s="203" t="e">
        <f>+'SEMANA DEL 2 AL 7-3-26'!#REF!+'SEMANA DEL 7 AL 14'!#REF!+'SEMANA DEL 14 AL 21 '!#REF!+'SEMANA DEL 21AL 28-3'!#REF!+#REF!</f>
        <v>#REF!</v>
      </c>
      <c r="BU37" s="203" t="e">
        <f>+'SEMANA DEL 2 AL 7-3-26'!#REF!+'SEMANA DEL 7 AL 14'!#REF!+'SEMANA DEL 14 AL 21 '!#REF!+'SEMANA DEL 21AL 28-3'!#REF!+#REF!</f>
        <v>#REF!</v>
      </c>
      <c r="BV37" s="203" t="e">
        <f>+'SEMANA DEL 2 AL 7-3-26'!#REF!+'SEMANA DEL 7 AL 14'!#REF!+'SEMANA DEL 14 AL 21 '!#REF!+'SEMANA DEL 21AL 28-3'!#REF!+#REF!</f>
        <v>#REF!</v>
      </c>
      <c r="BW37" s="203" t="e">
        <f>+'SEMANA DEL 2 AL 7-3-26'!#REF!+'SEMANA DEL 7 AL 14'!#REF!+'SEMANA DEL 14 AL 21 '!#REF!+'SEMANA DEL 21AL 28-3'!#REF!+#REF!</f>
        <v>#REF!</v>
      </c>
      <c r="BX37" s="203" t="e">
        <f>+'SEMANA DEL 2 AL 7-3-26'!#REF!+'SEMANA DEL 7 AL 14'!#REF!+'SEMANA DEL 14 AL 21 '!#REF!+'SEMANA DEL 21AL 28-3'!#REF!+#REF!</f>
        <v>#REF!</v>
      </c>
      <c r="BY37" s="203" t="e">
        <f>+'SEMANA DEL 2 AL 7-3-26'!#REF!+'SEMANA DEL 7 AL 14'!#REF!+'SEMANA DEL 14 AL 21 '!#REF!+'SEMANA DEL 21AL 28-3'!#REF!+#REF!</f>
        <v>#REF!</v>
      </c>
      <c r="BZ37" s="203" t="e">
        <f>+'SEMANA DEL 2 AL 7-3-26'!#REF!+'SEMANA DEL 7 AL 14'!#REF!+'SEMANA DEL 14 AL 21 '!#REF!+'SEMANA DEL 21AL 28-3'!#REF!+#REF!</f>
        <v>#REF!</v>
      </c>
      <c r="CA37" s="203" t="e">
        <f>+'SEMANA DEL 2 AL 7-3-26'!#REF!+'SEMANA DEL 7 AL 14'!#REF!+'SEMANA DEL 14 AL 21 '!#REF!+'SEMANA DEL 21AL 28-3'!#REF!+#REF!</f>
        <v>#REF!</v>
      </c>
      <c r="CB37" s="203" t="e">
        <f>+'SEMANA DEL 2 AL 7-3-26'!#REF!+'SEMANA DEL 7 AL 14'!#REF!+'SEMANA DEL 14 AL 21 '!#REF!+'SEMANA DEL 21AL 28-3'!#REF!+#REF!</f>
        <v>#REF!</v>
      </c>
      <c r="CC37" s="203" t="e">
        <f>+'SEMANA DEL 2 AL 7-3-26'!#REF!+'SEMANA DEL 7 AL 14'!#REF!+'SEMANA DEL 14 AL 21 '!#REF!+'SEMANA DEL 21AL 28-3'!#REF!+#REF!</f>
        <v>#REF!</v>
      </c>
      <c r="CD37" s="203" t="e">
        <f>+'SEMANA DEL 2 AL 7-3-26'!#REF!+'SEMANA DEL 7 AL 14'!#REF!+'SEMANA DEL 14 AL 21 '!#REF!+'SEMANA DEL 21AL 28-3'!#REF!+#REF!</f>
        <v>#REF!</v>
      </c>
      <c r="CE37" s="203" t="e">
        <f>+'SEMANA DEL 2 AL 7-3-26'!#REF!+'SEMANA DEL 7 AL 14'!#REF!+'SEMANA DEL 14 AL 21 '!#REF!+'SEMANA DEL 21AL 28-3'!#REF!+#REF!</f>
        <v>#REF!</v>
      </c>
      <c r="CF37" s="203" t="e">
        <f>+'SEMANA DEL 2 AL 7-3-26'!#REF!+'SEMANA DEL 7 AL 14'!#REF!+'SEMANA DEL 14 AL 21 '!#REF!+'SEMANA DEL 21AL 28-3'!#REF!+#REF!</f>
        <v>#REF!</v>
      </c>
      <c r="CG37" s="203" t="e">
        <f>+'SEMANA DEL 2 AL 7-3-26'!#REF!+'SEMANA DEL 7 AL 14'!#REF!+'SEMANA DEL 14 AL 21 '!#REF!+'SEMANA DEL 21AL 28-3'!#REF!+#REF!</f>
        <v>#REF!</v>
      </c>
      <c r="CH37" s="203" t="e">
        <f>+'SEMANA DEL 2 AL 7-3-26'!#REF!+'SEMANA DEL 7 AL 14'!#REF!+'SEMANA DEL 14 AL 21 '!#REF!+'SEMANA DEL 21AL 28-3'!#REF!+#REF!</f>
        <v>#REF!</v>
      </c>
      <c r="CI37" s="203" t="e">
        <f>+'SEMANA DEL 2 AL 7-3-26'!#REF!+'SEMANA DEL 7 AL 14'!#REF!+'SEMANA DEL 14 AL 21 '!#REF!+'SEMANA DEL 21AL 28-3'!#REF!+#REF!</f>
        <v>#REF!</v>
      </c>
    </row>
    <row r="38" spans="1:93" x14ac:dyDescent="0.2">
      <c r="A38" s="34" t="e">
        <f>+'SEMANA DEL 2 AL 7-3-26'!#REF!</f>
        <v>#REF!</v>
      </c>
      <c r="B38" s="203" t="e">
        <f>+'SEMANA DEL 2 AL 7-3-26'!#REF!</f>
        <v>#REF!</v>
      </c>
      <c r="C38" s="203" t="e">
        <f>+'SEMANA DEL 2 AL 7-3-26'!#REF!</f>
        <v>#REF!</v>
      </c>
      <c r="D38" s="203" t="e">
        <f>+'SEMANA DEL 2 AL 7-3-26'!#REF!</f>
        <v>#REF!</v>
      </c>
      <c r="E38" s="203" t="e">
        <f>+'SEMANA DEL 2 AL 7-3-26'!#REF!</f>
        <v>#REF!</v>
      </c>
      <c r="F38" s="203" t="e">
        <f>+'SEMANA DEL 2 AL 7-3-26'!#REF!</f>
        <v>#REF!</v>
      </c>
      <c r="G38" s="203" t="e">
        <f>+'SEMANA DEL 2 AL 7-3-26'!#REF!</f>
        <v>#REF!</v>
      </c>
      <c r="H38" s="203" t="e">
        <f>+'SEMANA DEL 2 AL 7-3-26'!#REF!</f>
        <v>#REF!</v>
      </c>
      <c r="I38" s="203" t="e">
        <f>+'SEMANA DEL 2 AL 7-3-26'!#REF!</f>
        <v>#REF!</v>
      </c>
      <c r="J38" s="203" t="e">
        <f>+'SEMANA DEL 2 AL 7-3-26'!#REF!</f>
        <v>#REF!</v>
      </c>
      <c r="K38" s="203" t="e">
        <f>+'SEMANA DEL 2 AL 7-3-26'!#REF!</f>
        <v>#REF!</v>
      </c>
      <c r="L38" s="203" t="e">
        <f>+'SEMANA DEL 2 AL 7-3-26'!#REF!</f>
        <v>#REF!</v>
      </c>
      <c r="M38" s="203" t="e">
        <f>+'SEMANA DEL 2 AL 7-3-26'!#REF!</f>
        <v>#REF!</v>
      </c>
      <c r="N38" s="203" t="e">
        <f>+'SEMANA DEL 2 AL 7-3-26'!#REF!</f>
        <v>#REF!</v>
      </c>
      <c r="O38" s="203" t="e">
        <f>+'SEMANA DEL 2 AL 7-3-26'!#REF!</f>
        <v>#REF!</v>
      </c>
      <c r="P38" s="203" t="e">
        <f>+'SEMANA DEL 2 AL 7-3-26'!#REF!</f>
        <v>#REF!</v>
      </c>
      <c r="Q38" s="203" t="e">
        <f>+'SEMANA DEL 2 AL 7-3-26'!#REF!</f>
        <v>#REF!</v>
      </c>
      <c r="R38" s="203" t="e">
        <f>+'SEMANA DEL 2 AL 7-3-26'!#REF!+'SEMANA DEL 7 AL 14'!#REF!+'SEMANA DEL 14 AL 21 '!#REF!+'SEMANA DEL 21AL 28-3'!#REF!+#REF!</f>
        <v>#REF!</v>
      </c>
      <c r="S38" s="203" t="e">
        <f>+'SEMANA DEL 2 AL 7-3-26'!#REF!+'SEMANA DEL 7 AL 14'!#REF!+'SEMANA DEL 14 AL 21 '!#REF!+'SEMANA DEL 21AL 28-3'!#REF!+#REF!</f>
        <v>#REF!</v>
      </c>
      <c r="T38" s="203" t="e">
        <f>+'SEMANA DEL 2 AL 7-3-26'!#REF!+'SEMANA DEL 7 AL 14'!#REF!+'SEMANA DEL 14 AL 21 '!#REF!+'SEMANA DEL 21AL 28-3'!#REF!+#REF!</f>
        <v>#REF!</v>
      </c>
      <c r="U38" s="203" t="e">
        <f>+'SEMANA DEL 2 AL 7-3-26'!#REF!+'SEMANA DEL 7 AL 14'!#REF!+'SEMANA DEL 14 AL 21 '!#REF!+'SEMANA DEL 21AL 28-3'!#REF!+#REF!</f>
        <v>#REF!</v>
      </c>
      <c r="V38" s="203" t="e">
        <f>+'SEMANA DEL 2 AL 7-3-26'!#REF!+'SEMANA DEL 7 AL 14'!#REF!+'SEMANA DEL 14 AL 21 '!#REF!+'SEMANA DEL 21AL 28-3'!#REF!+#REF!</f>
        <v>#REF!</v>
      </c>
      <c r="W38" s="203" t="e">
        <f>+'SEMANA DEL 2 AL 7-3-26'!#REF!+'SEMANA DEL 7 AL 14'!#REF!+'SEMANA DEL 14 AL 21 '!#REF!+'SEMANA DEL 21AL 28-3'!#REF!+#REF!</f>
        <v>#REF!</v>
      </c>
      <c r="X38" s="203" t="e">
        <f>+'SEMANA DEL 2 AL 7-3-26'!#REF!+'SEMANA DEL 7 AL 14'!#REF!+'SEMANA DEL 14 AL 21 '!#REF!+'SEMANA DEL 21AL 28-3'!#REF!+#REF!</f>
        <v>#REF!</v>
      </c>
      <c r="Y38" s="203" t="e">
        <f>+'SEMANA DEL 2 AL 7-3-26'!#REF!+'SEMANA DEL 7 AL 14'!#REF!+'SEMANA DEL 14 AL 21 '!#REF!+'SEMANA DEL 21AL 28-3'!#REF!+#REF!</f>
        <v>#REF!</v>
      </c>
      <c r="Z38" s="203" t="e">
        <f>+'SEMANA DEL 2 AL 7-3-26'!#REF!+'SEMANA DEL 7 AL 14'!#REF!+'SEMANA DEL 14 AL 21 '!#REF!+'SEMANA DEL 21AL 28-3'!#REF!+#REF!</f>
        <v>#REF!</v>
      </c>
      <c r="AA38" s="203" t="e">
        <f>+'SEMANA DEL 2 AL 7-3-26'!#REF!+'SEMANA DEL 7 AL 14'!#REF!+'SEMANA DEL 14 AL 21 '!#REF!+'SEMANA DEL 21AL 28-3'!#REF!+#REF!</f>
        <v>#REF!</v>
      </c>
      <c r="AB38" s="203" t="e">
        <f>+'SEMANA DEL 2 AL 7-3-26'!#REF!+'SEMANA DEL 7 AL 14'!#REF!+'SEMANA DEL 14 AL 21 '!#REF!+'SEMANA DEL 21AL 28-3'!#REF!+#REF!</f>
        <v>#REF!</v>
      </c>
      <c r="AC38" s="203" t="e">
        <f>+'SEMANA DEL 2 AL 7-3-26'!#REF!+'SEMANA DEL 7 AL 14'!#REF!+'SEMANA DEL 14 AL 21 '!#REF!+'SEMANA DEL 21AL 28-3'!#REF!+#REF!</f>
        <v>#REF!</v>
      </c>
      <c r="AD38" s="203" t="e">
        <f>+'SEMANA DEL 2 AL 7-3-26'!#REF!+'SEMANA DEL 7 AL 14'!#REF!+'SEMANA DEL 14 AL 21 '!#REF!+'SEMANA DEL 21AL 28-3'!#REF!+#REF!</f>
        <v>#REF!</v>
      </c>
      <c r="AE38" s="203" t="e">
        <f>+'SEMANA DEL 2 AL 7-3-26'!#REF!+'SEMANA DEL 7 AL 14'!#REF!+'SEMANA DEL 14 AL 21 '!#REF!+'SEMANA DEL 21AL 28-3'!#REF!+#REF!</f>
        <v>#REF!</v>
      </c>
      <c r="AF38" s="203" t="e">
        <f>+'SEMANA DEL 2 AL 7-3-26'!#REF!+'SEMANA DEL 7 AL 14'!#REF!+'SEMANA DEL 14 AL 21 '!#REF!+'SEMANA DEL 21AL 28-3'!#REF!+#REF!</f>
        <v>#REF!</v>
      </c>
      <c r="AG38" s="203" t="e">
        <f>+'SEMANA DEL 2 AL 7-3-26'!#REF!+'SEMANA DEL 7 AL 14'!#REF!+'SEMANA DEL 14 AL 21 '!#REF!+'SEMANA DEL 21AL 28-3'!#REF!+#REF!</f>
        <v>#REF!</v>
      </c>
      <c r="AH38" s="203" t="e">
        <f>+'SEMANA DEL 2 AL 7-3-26'!#REF!+'SEMANA DEL 7 AL 14'!#REF!+'SEMANA DEL 14 AL 21 '!#REF!+'SEMANA DEL 21AL 28-3'!#REF!+#REF!</f>
        <v>#REF!</v>
      </c>
      <c r="AI38" s="203" t="e">
        <f>+'SEMANA DEL 2 AL 7-3-26'!#REF!+'SEMANA DEL 7 AL 14'!#REF!+'SEMANA DEL 14 AL 21 '!#REF!+'SEMANA DEL 21AL 28-3'!#REF!+#REF!</f>
        <v>#REF!</v>
      </c>
      <c r="AJ38" s="203" t="e">
        <f>+'SEMANA DEL 2 AL 7-3-26'!#REF!+'SEMANA DEL 7 AL 14'!#REF!+'SEMANA DEL 14 AL 21 '!#REF!+'SEMANA DEL 21AL 28-3'!#REF!+#REF!</f>
        <v>#REF!</v>
      </c>
      <c r="AK38" s="203" t="e">
        <f>+'SEMANA DEL 2 AL 7-3-26'!#REF!+'SEMANA DEL 7 AL 14'!#REF!+'SEMANA DEL 14 AL 21 '!#REF!+'SEMANA DEL 21AL 28-3'!#REF!+#REF!</f>
        <v>#REF!</v>
      </c>
      <c r="AL38" s="203" t="e">
        <f>+'SEMANA DEL 2 AL 7-3-26'!#REF!+'SEMANA DEL 7 AL 14'!#REF!+'SEMANA DEL 14 AL 21 '!#REF!+'SEMANA DEL 21AL 28-3'!#REF!+#REF!</f>
        <v>#REF!</v>
      </c>
      <c r="AM38" s="203" t="e">
        <f>+'SEMANA DEL 2 AL 7-3-26'!#REF!+'SEMANA DEL 7 AL 14'!#REF!+'SEMANA DEL 14 AL 21 '!#REF!+'SEMANA DEL 21AL 28-3'!#REF!+#REF!</f>
        <v>#REF!</v>
      </c>
      <c r="AN38" s="203" t="e">
        <f>+'SEMANA DEL 2 AL 7-3-26'!#REF!+'SEMANA DEL 7 AL 14'!#REF!+'SEMANA DEL 14 AL 21 '!#REF!+'SEMANA DEL 21AL 28-3'!#REF!+#REF!</f>
        <v>#REF!</v>
      </c>
      <c r="AO38" s="203" t="e">
        <f>+'SEMANA DEL 2 AL 7-3-26'!#REF!+'SEMANA DEL 7 AL 14'!#REF!+'SEMANA DEL 14 AL 21 '!#REF!+'SEMANA DEL 21AL 28-3'!#REF!+#REF!</f>
        <v>#REF!</v>
      </c>
      <c r="AP38" s="203" t="e">
        <f>+'SEMANA DEL 2 AL 7-3-26'!#REF!+'SEMANA DEL 7 AL 14'!#REF!+'SEMANA DEL 14 AL 21 '!#REF!+'SEMANA DEL 21AL 28-3'!#REF!+#REF!</f>
        <v>#REF!</v>
      </c>
      <c r="AQ38" s="203" t="e">
        <f>+'SEMANA DEL 2 AL 7-3-26'!#REF!+'SEMANA DEL 7 AL 14'!#REF!+'SEMANA DEL 14 AL 21 '!#REF!+'SEMANA DEL 21AL 28-3'!#REF!+#REF!</f>
        <v>#REF!</v>
      </c>
      <c r="AR38" s="203" t="e">
        <f>+'SEMANA DEL 2 AL 7-3-26'!#REF!+'SEMANA DEL 7 AL 14'!#REF!+'SEMANA DEL 14 AL 21 '!#REF!+'SEMANA DEL 21AL 28-3'!#REF!+#REF!</f>
        <v>#REF!</v>
      </c>
      <c r="AS38" s="203" t="e">
        <f>+'SEMANA DEL 2 AL 7-3-26'!#REF!+'SEMANA DEL 7 AL 14'!#REF!+'SEMANA DEL 14 AL 21 '!#REF!+'SEMANA DEL 21AL 28-3'!#REF!+#REF!</f>
        <v>#REF!</v>
      </c>
      <c r="AT38" s="203" t="e">
        <f>+'SEMANA DEL 2 AL 7-3-26'!#REF!+'SEMANA DEL 7 AL 14'!#REF!+'SEMANA DEL 14 AL 21 '!#REF!+'SEMANA DEL 21AL 28-3'!#REF!+#REF!</f>
        <v>#REF!</v>
      </c>
      <c r="AU38" s="203" t="e">
        <f>+'SEMANA DEL 2 AL 7-3-26'!#REF!+'SEMANA DEL 7 AL 14'!#REF!+'SEMANA DEL 14 AL 21 '!#REF!+'SEMANA DEL 21AL 28-3'!#REF!+#REF!</f>
        <v>#REF!</v>
      </c>
      <c r="AV38" s="203" t="e">
        <f>+'SEMANA DEL 2 AL 7-3-26'!#REF!+'SEMANA DEL 7 AL 14'!#REF!+'SEMANA DEL 14 AL 21 '!#REF!+'SEMANA DEL 21AL 28-3'!#REF!+#REF!</f>
        <v>#REF!</v>
      </c>
      <c r="AW38" s="203" t="e">
        <f>+'SEMANA DEL 2 AL 7-3-26'!#REF!+'SEMANA DEL 7 AL 14'!#REF!+'SEMANA DEL 14 AL 21 '!#REF!+'SEMANA DEL 21AL 28-3'!#REF!+#REF!</f>
        <v>#REF!</v>
      </c>
      <c r="AX38" s="203" t="e">
        <f t="shared" si="1"/>
        <v>#REF!</v>
      </c>
      <c r="AY38" s="203" t="e">
        <f t="shared" si="2"/>
        <v>#REF!</v>
      </c>
      <c r="AZ38" s="203" t="e">
        <f t="shared" si="3"/>
        <v>#REF!</v>
      </c>
      <c r="BA38" s="203" t="e">
        <f t="shared" si="4"/>
        <v>#REF!</v>
      </c>
      <c r="BB38" s="203" t="e">
        <f t="shared" si="5"/>
        <v>#REF!</v>
      </c>
      <c r="BC38" s="203" t="e">
        <f t="shared" si="6"/>
        <v>#REF!</v>
      </c>
      <c r="BD38" s="203" t="e">
        <f t="shared" si="7"/>
        <v>#REF!</v>
      </c>
      <c r="BE38" s="203" t="e">
        <f t="shared" si="8"/>
        <v>#REF!</v>
      </c>
      <c r="BF38" s="203" t="e">
        <f t="shared" si="9"/>
        <v>#REF!</v>
      </c>
      <c r="BG38" s="203" t="e">
        <f t="shared" si="10"/>
        <v>#REF!</v>
      </c>
      <c r="BH38" s="203" t="e">
        <f t="shared" si="11"/>
        <v>#REF!</v>
      </c>
      <c r="BI38" s="203" t="e">
        <f t="shared" si="12"/>
        <v>#REF!</v>
      </c>
      <c r="BJ38" s="203" t="e">
        <f t="shared" si="13"/>
        <v>#REF!</v>
      </c>
      <c r="BK38" s="203" t="e">
        <f t="shared" si="14"/>
        <v>#REF!</v>
      </c>
      <c r="BL38" s="203" t="e">
        <f t="shared" si="15"/>
        <v>#REF!</v>
      </c>
      <c r="BM38" s="203" t="e">
        <f t="shared" si="16"/>
        <v>#REF!</v>
      </c>
      <c r="BN38" s="203" t="e">
        <f>+'SEMANA DEL 2 AL 7-3-26'!#REF!+'SEMANA DEL 7 AL 14'!#REF!+'SEMANA DEL 14 AL 21 '!#REF!+'SEMANA DEL 21AL 28-3'!#REF!+#REF!</f>
        <v>#REF!</v>
      </c>
      <c r="BO38" s="203" t="e">
        <f>+'SEMANA DEL 2 AL 7-3-26'!#REF!+'SEMANA DEL 7 AL 14'!#REF!+'SEMANA DEL 14 AL 21 '!#REF!+'SEMANA DEL 21AL 28-3'!#REF!+#REF!</f>
        <v>#REF!</v>
      </c>
      <c r="BP38" s="203" t="e">
        <f>+'SEMANA DEL 2 AL 7-3-26'!#REF!+'SEMANA DEL 7 AL 14'!#REF!+'SEMANA DEL 14 AL 21 '!#REF!+'SEMANA DEL 21AL 28-3'!#REF!+#REF!</f>
        <v>#REF!</v>
      </c>
      <c r="BQ38" s="203" t="e">
        <f>+'SEMANA DEL 2 AL 7-3-26'!#REF!+'SEMANA DEL 7 AL 14'!#REF!+'SEMANA DEL 14 AL 21 '!#REF!+'SEMANA DEL 21AL 28-3'!#REF!+#REF!</f>
        <v>#REF!</v>
      </c>
      <c r="BR38" s="203" t="e">
        <f>+'SEMANA DEL 2 AL 7-3-26'!#REF!+'SEMANA DEL 7 AL 14'!#REF!+'SEMANA DEL 14 AL 21 '!#REF!+'SEMANA DEL 21AL 28-3'!#REF!+#REF!</f>
        <v>#REF!</v>
      </c>
      <c r="BS38" s="203" t="e">
        <f>+'SEMANA DEL 2 AL 7-3-26'!#REF!+'SEMANA DEL 7 AL 14'!#REF!+'SEMANA DEL 14 AL 21 '!#REF!+'SEMANA DEL 21AL 28-3'!#REF!+#REF!</f>
        <v>#REF!</v>
      </c>
      <c r="BT38" s="203" t="e">
        <f>+'SEMANA DEL 2 AL 7-3-26'!#REF!+'SEMANA DEL 7 AL 14'!#REF!+'SEMANA DEL 14 AL 21 '!#REF!+'SEMANA DEL 21AL 28-3'!#REF!+#REF!</f>
        <v>#REF!</v>
      </c>
      <c r="BU38" s="203" t="e">
        <f>+'SEMANA DEL 2 AL 7-3-26'!#REF!+'SEMANA DEL 7 AL 14'!#REF!+'SEMANA DEL 14 AL 21 '!#REF!+'SEMANA DEL 21AL 28-3'!#REF!+#REF!</f>
        <v>#REF!</v>
      </c>
      <c r="BV38" s="203" t="e">
        <f>+'SEMANA DEL 2 AL 7-3-26'!#REF!+'SEMANA DEL 7 AL 14'!#REF!+'SEMANA DEL 14 AL 21 '!#REF!+'SEMANA DEL 21AL 28-3'!#REF!+#REF!</f>
        <v>#REF!</v>
      </c>
      <c r="BW38" s="203" t="e">
        <f>+'SEMANA DEL 2 AL 7-3-26'!#REF!+'SEMANA DEL 7 AL 14'!#REF!+'SEMANA DEL 14 AL 21 '!#REF!+'SEMANA DEL 21AL 28-3'!#REF!+#REF!</f>
        <v>#REF!</v>
      </c>
      <c r="BX38" s="203" t="e">
        <f>+'SEMANA DEL 2 AL 7-3-26'!#REF!+'SEMANA DEL 7 AL 14'!#REF!+'SEMANA DEL 14 AL 21 '!#REF!+'SEMANA DEL 21AL 28-3'!#REF!+#REF!</f>
        <v>#REF!</v>
      </c>
      <c r="BY38" s="203" t="e">
        <f>+'SEMANA DEL 2 AL 7-3-26'!#REF!+'SEMANA DEL 7 AL 14'!#REF!+'SEMANA DEL 14 AL 21 '!#REF!+'SEMANA DEL 21AL 28-3'!#REF!+#REF!</f>
        <v>#REF!</v>
      </c>
      <c r="BZ38" s="203" t="e">
        <f>+'SEMANA DEL 2 AL 7-3-26'!#REF!+'SEMANA DEL 7 AL 14'!#REF!+'SEMANA DEL 14 AL 21 '!#REF!+'SEMANA DEL 21AL 28-3'!#REF!+#REF!</f>
        <v>#REF!</v>
      </c>
      <c r="CA38" s="203" t="e">
        <f>+'SEMANA DEL 2 AL 7-3-26'!#REF!+'SEMANA DEL 7 AL 14'!#REF!+'SEMANA DEL 14 AL 21 '!#REF!+'SEMANA DEL 21AL 28-3'!#REF!+#REF!</f>
        <v>#REF!</v>
      </c>
      <c r="CB38" s="203" t="e">
        <f>+'SEMANA DEL 2 AL 7-3-26'!#REF!+'SEMANA DEL 7 AL 14'!#REF!+'SEMANA DEL 14 AL 21 '!#REF!+'SEMANA DEL 21AL 28-3'!#REF!+#REF!</f>
        <v>#REF!</v>
      </c>
      <c r="CC38" s="203" t="e">
        <f>+'SEMANA DEL 2 AL 7-3-26'!#REF!+'SEMANA DEL 7 AL 14'!#REF!+'SEMANA DEL 14 AL 21 '!#REF!+'SEMANA DEL 21AL 28-3'!#REF!+#REF!</f>
        <v>#REF!</v>
      </c>
      <c r="CD38" s="203" t="e">
        <f>+'SEMANA DEL 2 AL 7-3-26'!#REF!+'SEMANA DEL 7 AL 14'!#REF!+'SEMANA DEL 14 AL 21 '!#REF!+'SEMANA DEL 21AL 28-3'!#REF!+#REF!</f>
        <v>#REF!</v>
      </c>
      <c r="CE38" s="203" t="e">
        <f>+'SEMANA DEL 2 AL 7-3-26'!#REF!+'SEMANA DEL 7 AL 14'!#REF!+'SEMANA DEL 14 AL 21 '!#REF!+'SEMANA DEL 21AL 28-3'!#REF!+#REF!</f>
        <v>#REF!</v>
      </c>
      <c r="CF38" s="203" t="e">
        <f>+'SEMANA DEL 2 AL 7-3-26'!#REF!+'SEMANA DEL 7 AL 14'!#REF!+'SEMANA DEL 14 AL 21 '!#REF!+'SEMANA DEL 21AL 28-3'!#REF!+#REF!</f>
        <v>#REF!</v>
      </c>
      <c r="CG38" s="203" t="e">
        <f>+'SEMANA DEL 2 AL 7-3-26'!#REF!+'SEMANA DEL 7 AL 14'!#REF!+'SEMANA DEL 14 AL 21 '!#REF!+'SEMANA DEL 21AL 28-3'!#REF!+#REF!</f>
        <v>#REF!</v>
      </c>
      <c r="CH38" s="203" t="e">
        <f>+'SEMANA DEL 2 AL 7-3-26'!#REF!+'SEMANA DEL 7 AL 14'!#REF!+'SEMANA DEL 14 AL 21 '!#REF!+'SEMANA DEL 21AL 28-3'!#REF!+#REF!</f>
        <v>#REF!</v>
      </c>
      <c r="CI38" s="203" t="e">
        <f>+'SEMANA DEL 2 AL 7-3-26'!#REF!+'SEMANA DEL 7 AL 14'!#REF!+'SEMANA DEL 14 AL 21 '!#REF!+'SEMANA DEL 21AL 28-3'!#REF!+#REF!</f>
        <v>#REF!</v>
      </c>
    </row>
    <row r="39" spans="1:93" s="44" customFormat="1" ht="15.75" x14ac:dyDescent="0.25">
      <c r="A39" s="34" t="str">
        <f>+'SEMANA DEL 2 AL 7-3-26'!A37</f>
        <v>STELLA SILVA</v>
      </c>
      <c r="B39" s="203">
        <f>+'SEMANA DEL 2 AL 7-3-26'!B37</f>
        <v>0</v>
      </c>
      <c r="C39" s="203">
        <f>+'SEMANA DEL 2 AL 7-3-26'!C37</f>
        <v>0</v>
      </c>
      <c r="D39" s="203">
        <f>+'SEMANA DEL 2 AL 7-3-26'!D37</f>
        <v>0</v>
      </c>
      <c r="E39" s="203">
        <f>+'SEMANA DEL 2 AL 7-3-26'!E37</f>
        <v>0</v>
      </c>
      <c r="F39" s="203">
        <f>+'SEMANA DEL 2 AL 7-3-26'!F37</f>
        <v>0</v>
      </c>
      <c r="G39" s="203">
        <f>+'SEMANA DEL 2 AL 7-3-26'!G37</f>
        <v>0</v>
      </c>
      <c r="H39" s="203">
        <f>+'SEMANA DEL 2 AL 7-3-26'!H37</f>
        <v>0</v>
      </c>
      <c r="I39" s="203">
        <f>+'SEMANA DEL 2 AL 7-3-26'!I37</f>
        <v>0</v>
      </c>
      <c r="J39" s="203">
        <f>+'SEMANA DEL 2 AL 7-3-26'!J37</f>
        <v>0</v>
      </c>
      <c r="K39" s="203">
        <f>+'SEMANA DEL 2 AL 7-3-26'!K37</f>
        <v>0</v>
      </c>
      <c r="L39" s="203">
        <f>+'SEMANA DEL 2 AL 7-3-26'!L37</f>
        <v>0</v>
      </c>
      <c r="M39" s="203">
        <f>+'SEMANA DEL 2 AL 7-3-26'!M37</f>
        <v>0</v>
      </c>
      <c r="N39" s="203">
        <f>+'SEMANA DEL 2 AL 7-3-26'!N37</f>
        <v>0</v>
      </c>
      <c r="O39" s="203">
        <f>+'SEMANA DEL 2 AL 7-3-26'!O37</f>
        <v>0</v>
      </c>
      <c r="P39" s="203">
        <f>+'SEMANA DEL 2 AL 7-3-26'!P37</f>
        <v>0</v>
      </c>
      <c r="Q39" s="203">
        <f>+'SEMANA DEL 2 AL 7-3-26'!Q37</f>
        <v>0</v>
      </c>
      <c r="R39" s="174" t="e">
        <f t="shared" ref="R39:AG39" si="18">SUM(R4:R38)</f>
        <v>#REF!</v>
      </c>
      <c r="S39" s="174" t="e">
        <f t="shared" si="18"/>
        <v>#REF!</v>
      </c>
      <c r="T39" s="174" t="e">
        <f t="shared" si="18"/>
        <v>#REF!</v>
      </c>
      <c r="U39" s="174" t="e">
        <f t="shared" si="18"/>
        <v>#REF!</v>
      </c>
      <c r="V39" s="174" t="e">
        <f t="shared" si="18"/>
        <v>#REF!</v>
      </c>
      <c r="W39" s="174" t="e">
        <f t="shared" si="18"/>
        <v>#REF!</v>
      </c>
      <c r="X39" s="174" t="e">
        <f t="shared" si="18"/>
        <v>#REF!</v>
      </c>
      <c r="Y39" s="174" t="e">
        <f t="shared" si="18"/>
        <v>#REF!</v>
      </c>
      <c r="Z39" s="174" t="e">
        <f t="shared" si="18"/>
        <v>#REF!</v>
      </c>
      <c r="AA39" s="174" t="e">
        <f t="shared" si="18"/>
        <v>#REF!</v>
      </c>
      <c r="AB39" s="174" t="e">
        <f t="shared" si="18"/>
        <v>#REF!</v>
      </c>
      <c r="AC39" s="174" t="e">
        <f t="shared" si="18"/>
        <v>#REF!</v>
      </c>
      <c r="AD39" s="174" t="e">
        <f t="shared" si="18"/>
        <v>#REF!</v>
      </c>
      <c r="AE39" s="174" t="e">
        <f t="shared" si="18"/>
        <v>#REF!</v>
      </c>
      <c r="AF39" s="174" t="e">
        <f t="shared" si="18"/>
        <v>#REF!</v>
      </c>
      <c r="AG39" s="174" t="e">
        <f t="shared" si="18"/>
        <v>#REF!</v>
      </c>
      <c r="AH39" s="174" t="e">
        <f t="shared" ref="AH39:BM39" si="19">SUM(AH4:AH38)</f>
        <v>#REF!</v>
      </c>
      <c r="AI39" s="174" t="e">
        <f t="shared" si="19"/>
        <v>#REF!</v>
      </c>
      <c r="AJ39" s="174" t="e">
        <f t="shared" si="19"/>
        <v>#REF!</v>
      </c>
      <c r="AK39" s="174" t="e">
        <f t="shared" si="19"/>
        <v>#REF!</v>
      </c>
      <c r="AL39" s="174" t="e">
        <f t="shared" si="19"/>
        <v>#REF!</v>
      </c>
      <c r="AM39" s="174" t="e">
        <f t="shared" si="19"/>
        <v>#REF!</v>
      </c>
      <c r="AN39" s="174" t="e">
        <f t="shared" si="19"/>
        <v>#REF!</v>
      </c>
      <c r="AO39" s="174" t="e">
        <f t="shared" si="19"/>
        <v>#REF!</v>
      </c>
      <c r="AP39" s="174" t="e">
        <f t="shared" si="19"/>
        <v>#REF!</v>
      </c>
      <c r="AQ39" s="174" t="e">
        <f t="shared" si="19"/>
        <v>#REF!</v>
      </c>
      <c r="AR39" s="174" t="e">
        <f t="shared" si="19"/>
        <v>#REF!</v>
      </c>
      <c r="AS39" s="174" t="e">
        <f t="shared" si="19"/>
        <v>#REF!</v>
      </c>
      <c r="AT39" s="174" t="e">
        <f t="shared" si="19"/>
        <v>#REF!</v>
      </c>
      <c r="AU39" s="174" t="e">
        <f t="shared" si="19"/>
        <v>#REF!</v>
      </c>
      <c r="AV39" s="174" t="e">
        <f t="shared" si="19"/>
        <v>#REF!</v>
      </c>
      <c r="AW39" s="174" t="e">
        <f t="shared" si="19"/>
        <v>#REF!</v>
      </c>
      <c r="AX39" s="174" t="e">
        <f t="shared" si="19"/>
        <v>#REF!</v>
      </c>
      <c r="AY39" s="174" t="e">
        <f t="shared" si="19"/>
        <v>#REF!</v>
      </c>
      <c r="AZ39" s="174" t="e">
        <f t="shared" si="19"/>
        <v>#REF!</v>
      </c>
      <c r="BA39" s="174" t="e">
        <f t="shared" si="19"/>
        <v>#REF!</v>
      </c>
      <c r="BB39" s="174" t="e">
        <f t="shared" si="19"/>
        <v>#REF!</v>
      </c>
      <c r="BC39" s="174" t="e">
        <f t="shared" si="19"/>
        <v>#REF!</v>
      </c>
      <c r="BD39" s="174" t="e">
        <f t="shared" si="19"/>
        <v>#REF!</v>
      </c>
      <c r="BE39" s="174" t="e">
        <f t="shared" si="19"/>
        <v>#REF!</v>
      </c>
      <c r="BF39" s="174" t="e">
        <f t="shared" si="19"/>
        <v>#REF!</v>
      </c>
      <c r="BG39" s="174" t="e">
        <f t="shared" si="19"/>
        <v>#REF!</v>
      </c>
      <c r="BH39" s="174" t="e">
        <f t="shared" si="19"/>
        <v>#REF!</v>
      </c>
      <c r="BI39" s="174" t="e">
        <f t="shared" si="19"/>
        <v>#REF!</v>
      </c>
      <c r="BJ39" s="174" t="e">
        <f t="shared" si="19"/>
        <v>#REF!</v>
      </c>
      <c r="BK39" s="174" t="e">
        <f t="shared" si="19"/>
        <v>#REF!</v>
      </c>
      <c r="BL39" s="174" t="e">
        <f t="shared" si="19"/>
        <v>#REF!</v>
      </c>
      <c r="BM39" s="174" t="e">
        <f t="shared" si="19"/>
        <v>#REF!</v>
      </c>
      <c r="BN39" s="174" t="e">
        <f t="shared" ref="BN39:CI39" si="20">SUM(BN4:BN38)</f>
        <v>#REF!</v>
      </c>
      <c r="BO39" s="174" t="e">
        <f t="shared" si="20"/>
        <v>#REF!</v>
      </c>
      <c r="BP39" s="174" t="e">
        <f t="shared" si="20"/>
        <v>#REF!</v>
      </c>
      <c r="BQ39" s="174" t="e">
        <f t="shared" si="20"/>
        <v>#REF!</v>
      </c>
      <c r="BR39" s="174" t="e">
        <f t="shared" si="20"/>
        <v>#REF!</v>
      </c>
      <c r="BS39" s="174" t="e">
        <f t="shared" si="20"/>
        <v>#REF!</v>
      </c>
      <c r="BT39" s="174" t="e">
        <f t="shared" si="20"/>
        <v>#REF!</v>
      </c>
      <c r="BU39" s="174" t="e">
        <f t="shared" si="20"/>
        <v>#REF!</v>
      </c>
      <c r="BV39" s="174" t="e">
        <f t="shared" si="20"/>
        <v>#REF!</v>
      </c>
      <c r="BW39" s="174" t="e">
        <f t="shared" si="20"/>
        <v>#REF!</v>
      </c>
      <c r="BX39" s="174" t="e">
        <f t="shared" si="20"/>
        <v>#REF!</v>
      </c>
      <c r="BY39" s="174" t="e">
        <f t="shared" si="20"/>
        <v>#REF!</v>
      </c>
      <c r="BZ39" s="174" t="e">
        <f t="shared" si="20"/>
        <v>#REF!</v>
      </c>
      <c r="CA39" s="174" t="e">
        <f t="shared" si="20"/>
        <v>#REF!</v>
      </c>
      <c r="CB39" s="174" t="e">
        <f t="shared" si="20"/>
        <v>#REF!</v>
      </c>
      <c r="CC39" s="174" t="e">
        <f t="shared" si="20"/>
        <v>#REF!</v>
      </c>
      <c r="CD39" s="174" t="e">
        <f t="shared" si="20"/>
        <v>#REF!</v>
      </c>
      <c r="CE39" s="174" t="e">
        <f t="shared" si="20"/>
        <v>#REF!</v>
      </c>
      <c r="CF39" s="174" t="e">
        <f t="shared" si="20"/>
        <v>#REF!</v>
      </c>
      <c r="CG39" s="174" t="e">
        <f t="shared" si="20"/>
        <v>#REF!</v>
      </c>
      <c r="CH39" s="174" t="e">
        <f t="shared" si="20"/>
        <v>#REF!</v>
      </c>
      <c r="CI39" s="174" t="e">
        <f t="shared" si="20"/>
        <v>#REF!</v>
      </c>
    </row>
    <row r="40" spans="1:93" ht="15.75" x14ac:dyDescent="0.25">
      <c r="A40" s="34" t="e">
        <f>+'SEMANA DEL 2 AL 7-3-26'!#REF!</f>
        <v>#REF!</v>
      </c>
      <c r="B40" s="203" t="e">
        <f>+'SEMANA DEL 2 AL 7-3-26'!#REF!</f>
        <v>#REF!</v>
      </c>
      <c r="C40" s="203" t="e">
        <f>+'SEMANA DEL 2 AL 7-3-26'!#REF!</f>
        <v>#REF!</v>
      </c>
      <c r="D40" s="203" t="e">
        <f>+'SEMANA DEL 2 AL 7-3-26'!#REF!</f>
        <v>#REF!</v>
      </c>
      <c r="E40" s="203" t="e">
        <f>+'SEMANA DEL 2 AL 7-3-26'!#REF!</f>
        <v>#REF!</v>
      </c>
      <c r="F40" s="203" t="e">
        <f>+'SEMANA DEL 2 AL 7-3-26'!#REF!</f>
        <v>#REF!</v>
      </c>
      <c r="G40" s="203" t="e">
        <f>+'SEMANA DEL 2 AL 7-3-26'!#REF!</f>
        <v>#REF!</v>
      </c>
      <c r="H40" s="203" t="e">
        <f>+'SEMANA DEL 2 AL 7-3-26'!#REF!</f>
        <v>#REF!</v>
      </c>
      <c r="I40" s="203" t="e">
        <f>+'SEMANA DEL 2 AL 7-3-26'!#REF!</f>
        <v>#REF!</v>
      </c>
      <c r="J40" s="203" t="e">
        <f>+'SEMANA DEL 2 AL 7-3-26'!#REF!</f>
        <v>#REF!</v>
      </c>
      <c r="K40" s="203" t="e">
        <f>+'SEMANA DEL 2 AL 7-3-26'!#REF!</f>
        <v>#REF!</v>
      </c>
      <c r="L40" s="203" t="e">
        <f>+'SEMANA DEL 2 AL 7-3-26'!#REF!</f>
        <v>#REF!</v>
      </c>
      <c r="M40" s="203" t="e">
        <f>+'SEMANA DEL 2 AL 7-3-26'!#REF!</f>
        <v>#REF!</v>
      </c>
      <c r="N40" s="203" t="e">
        <f>+'SEMANA DEL 2 AL 7-3-26'!#REF!</f>
        <v>#REF!</v>
      </c>
      <c r="O40" s="203" t="e">
        <f>+'SEMANA DEL 2 AL 7-3-26'!#REF!</f>
        <v>#REF!</v>
      </c>
      <c r="P40" s="203" t="e">
        <f>+'SEMANA DEL 2 AL 7-3-26'!#REF!</f>
        <v>#REF!</v>
      </c>
      <c r="Q40" s="203" t="e">
        <f>+'SEMANA DEL 2 AL 7-3-26'!#REF!</f>
        <v>#REF!</v>
      </c>
      <c r="R40" s="174" t="e">
        <f t="shared" ref="R40:CC40" si="21">SUM(R5:R39)</f>
        <v>#REF!</v>
      </c>
      <c r="S40" s="174" t="e">
        <f t="shared" si="21"/>
        <v>#REF!</v>
      </c>
      <c r="T40" s="174" t="e">
        <f t="shared" si="21"/>
        <v>#REF!</v>
      </c>
      <c r="U40" s="174" t="e">
        <f t="shared" si="21"/>
        <v>#REF!</v>
      </c>
      <c r="V40" s="174" t="e">
        <f t="shared" si="21"/>
        <v>#REF!</v>
      </c>
      <c r="W40" s="174" t="e">
        <f t="shared" si="21"/>
        <v>#REF!</v>
      </c>
      <c r="X40" s="174" t="e">
        <f t="shared" si="21"/>
        <v>#REF!</v>
      </c>
      <c r="Y40" s="174" t="e">
        <f t="shared" si="21"/>
        <v>#REF!</v>
      </c>
      <c r="Z40" s="174" t="e">
        <f t="shared" si="21"/>
        <v>#REF!</v>
      </c>
      <c r="AA40" s="174" t="e">
        <f t="shared" si="21"/>
        <v>#REF!</v>
      </c>
      <c r="AB40" s="174" t="e">
        <f t="shared" si="21"/>
        <v>#REF!</v>
      </c>
      <c r="AC40" s="174" t="e">
        <f t="shared" si="21"/>
        <v>#REF!</v>
      </c>
      <c r="AD40" s="174" t="e">
        <f t="shared" si="21"/>
        <v>#REF!</v>
      </c>
      <c r="AE40" s="174" t="e">
        <f t="shared" si="21"/>
        <v>#REF!</v>
      </c>
      <c r="AF40" s="174" t="e">
        <f t="shared" si="21"/>
        <v>#REF!</v>
      </c>
      <c r="AG40" s="174" t="e">
        <f t="shared" si="21"/>
        <v>#REF!</v>
      </c>
      <c r="AH40" s="174" t="e">
        <f t="shared" si="21"/>
        <v>#REF!</v>
      </c>
      <c r="AI40" s="174" t="e">
        <f t="shared" si="21"/>
        <v>#REF!</v>
      </c>
      <c r="AJ40" s="174" t="e">
        <f t="shared" si="21"/>
        <v>#REF!</v>
      </c>
      <c r="AK40" s="174" t="e">
        <f t="shared" si="21"/>
        <v>#REF!</v>
      </c>
      <c r="AL40" s="174" t="e">
        <f t="shared" si="21"/>
        <v>#REF!</v>
      </c>
      <c r="AM40" s="174" t="e">
        <f t="shared" si="21"/>
        <v>#REF!</v>
      </c>
      <c r="AN40" s="174" t="e">
        <f t="shared" si="21"/>
        <v>#REF!</v>
      </c>
      <c r="AO40" s="174" t="e">
        <f t="shared" si="21"/>
        <v>#REF!</v>
      </c>
      <c r="AP40" s="174" t="e">
        <f t="shared" si="21"/>
        <v>#REF!</v>
      </c>
      <c r="AQ40" s="174" t="e">
        <f t="shared" si="21"/>
        <v>#REF!</v>
      </c>
      <c r="AR40" s="174" t="e">
        <f t="shared" si="21"/>
        <v>#REF!</v>
      </c>
      <c r="AS40" s="174" t="e">
        <f t="shared" si="21"/>
        <v>#REF!</v>
      </c>
      <c r="AT40" s="174" t="e">
        <f t="shared" si="21"/>
        <v>#REF!</v>
      </c>
      <c r="AU40" s="174" t="e">
        <f t="shared" si="21"/>
        <v>#REF!</v>
      </c>
      <c r="AV40" s="174" t="e">
        <f t="shared" si="21"/>
        <v>#REF!</v>
      </c>
      <c r="AW40" s="174" t="e">
        <f t="shared" si="21"/>
        <v>#REF!</v>
      </c>
      <c r="AX40" s="174" t="e">
        <f t="shared" si="21"/>
        <v>#REF!</v>
      </c>
      <c r="AY40" s="174" t="e">
        <f t="shared" si="21"/>
        <v>#REF!</v>
      </c>
      <c r="AZ40" s="174" t="e">
        <f t="shared" si="21"/>
        <v>#REF!</v>
      </c>
      <c r="BA40" s="174" t="e">
        <f t="shared" si="21"/>
        <v>#REF!</v>
      </c>
      <c r="BB40" s="174" t="e">
        <f t="shared" si="21"/>
        <v>#REF!</v>
      </c>
      <c r="BC40" s="174" t="e">
        <f t="shared" si="21"/>
        <v>#REF!</v>
      </c>
      <c r="BD40" s="174" t="e">
        <f t="shared" si="21"/>
        <v>#REF!</v>
      </c>
      <c r="BE40" s="174" t="e">
        <f t="shared" si="21"/>
        <v>#REF!</v>
      </c>
      <c r="BF40" s="174" t="e">
        <f t="shared" si="21"/>
        <v>#REF!</v>
      </c>
      <c r="BG40" s="174" t="e">
        <f t="shared" si="21"/>
        <v>#REF!</v>
      </c>
      <c r="BH40" s="174" t="e">
        <f t="shared" si="21"/>
        <v>#REF!</v>
      </c>
      <c r="BI40" s="174" t="e">
        <f t="shared" si="21"/>
        <v>#REF!</v>
      </c>
      <c r="BJ40" s="174" t="e">
        <f t="shared" si="21"/>
        <v>#REF!</v>
      </c>
      <c r="BK40" s="174" t="e">
        <f t="shared" si="21"/>
        <v>#REF!</v>
      </c>
      <c r="BL40" s="174" t="e">
        <f t="shared" si="21"/>
        <v>#REF!</v>
      </c>
      <c r="BM40" s="174" t="e">
        <f t="shared" si="21"/>
        <v>#REF!</v>
      </c>
      <c r="BN40" s="174" t="e">
        <f t="shared" si="21"/>
        <v>#REF!</v>
      </c>
      <c r="BO40" s="174" t="e">
        <f t="shared" si="21"/>
        <v>#REF!</v>
      </c>
      <c r="BP40" s="174" t="e">
        <f t="shared" si="21"/>
        <v>#REF!</v>
      </c>
      <c r="BQ40" s="174" t="e">
        <f t="shared" si="21"/>
        <v>#REF!</v>
      </c>
      <c r="BR40" s="174" t="e">
        <f t="shared" si="21"/>
        <v>#REF!</v>
      </c>
      <c r="BS40" s="174" t="e">
        <f t="shared" si="21"/>
        <v>#REF!</v>
      </c>
      <c r="BT40" s="174" t="e">
        <f t="shared" si="21"/>
        <v>#REF!</v>
      </c>
      <c r="BU40" s="174" t="e">
        <f t="shared" si="21"/>
        <v>#REF!</v>
      </c>
      <c r="BV40" s="174" t="e">
        <f t="shared" si="21"/>
        <v>#REF!</v>
      </c>
      <c r="BW40" s="174" t="e">
        <f t="shared" si="21"/>
        <v>#REF!</v>
      </c>
      <c r="BX40" s="174" t="e">
        <f t="shared" si="21"/>
        <v>#REF!</v>
      </c>
      <c r="BY40" s="174" t="e">
        <f t="shared" si="21"/>
        <v>#REF!</v>
      </c>
      <c r="BZ40" s="174" t="e">
        <f t="shared" si="21"/>
        <v>#REF!</v>
      </c>
      <c r="CA40" s="174" t="e">
        <f t="shared" si="21"/>
        <v>#REF!</v>
      </c>
      <c r="CB40" s="174" t="e">
        <f t="shared" si="21"/>
        <v>#REF!</v>
      </c>
      <c r="CC40" s="174" t="e">
        <f t="shared" si="21"/>
        <v>#REF!</v>
      </c>
      <c r="CD40" s="174" t="e">
        <f t="shared" ref="CD40:CI40" si="22">SUM(CD5:CD39)</f>
        <v>#REF!</v>
      </c>
      <c r="CE40" s="174" t="e">
        <f t="shared" si="22"/>
        <v>#REF!</v>
      </c>
      <c r="CF40" s="174" t="e">
        <f t="shared" si="22"/>
        <v>#REF!</v>
      </c>
      <c r="CG40" s="174" t="e">
        <f t="shared" si="22"/>
        <v>#REF!</v>
      </c>
      <c r="CH40" s="174" t="e">
        <f t="shared" si="22"/>
        <v>#REF!</v>
      </c>
      <c r="CI40" s="174" t="e">
        <f t="shared" si="22"/>
        <v>#REF!</v>
      </c>
    </row>
    <row r="41" spans="1:93" ht="15.75" x14ac:dyDescent="0.25">
      <c r="A41" s="34" t="e">
        <f>+'SEMANA DEL 2 AL 7-3-26'!#REF!</f>
        <v>#REF!</v>
      </c>
      <c r="B41" s="203" t="e">
        <f>+'SEMANA DEL 2 AL 7-3-26'!#REF!</f>
        <v>#REF!</v>
      </c>
      <c r="C41" s="203" t="e">
        <f>+'SEMANA DEL 2 AL 7-3-26'!#REF!</f>
        <v>#REF!</v>
      </c>
      <c r="D41" s="203" t="e">
        <f>+'SEMANA DEL 2 AL 7-3-26'!#REF!</f>
        <v>#REF!</v>
      </c>
      <c r="E41" s="203" t="e">
        <f>+'SEMANA DEL 2 AL 7-3-26'!#REF!</f>
        <v>#REF!</v>
      </c>
      <c r="F41" s="203" t="e">
        <f>+'SEMANA DEL 2 AL 7-3-26'!#REF!</f>
        <v>#REF!</v>
      </c>
      <c r="G41" s="203" t="e">
        <f>+'SEMANA DEL 2 AL 7-3-26'!#REF!</f>
        <v>#REF!</v>
      </c>
      <c r="H41" s="203" t="e">
        <f>+'SEMANA DEL 2 AL 7-3-26'!#REF!</f>
        <v>#REF!</v>
      </c>
      <c r="I41" s="203" t="e">
        <f>+'SEMANA DEL 2 AL 7-3-26'!#REF!</f>
        <v>#REF!</v>
      </c>
      <c r="J41" s="203" t="e">
        <f>+'SEMANA DEL 2 AL 7-3-26'!#REF!</f>
        <v>#REF!</v>
      </c>
      <c r="K41" s="203" t="e">
        <f>+'SEMANA DEL 2 AL 7-3-26'!#REF!</f>
        <v>#REF!</v>
      </c>
      <c r="L41" s="203" t="e">
        <f>+'SEMANA DEL 2 AL 7-3-26'!#REF!</f>
        <v>#REF!</v>
      </c>
      <c r="M41" s="203" t="e">
        <f>+'SEMANA DEL 2 AL 7-3-26'!#REF!</f>
        <v>#REF!</v>
      </c>
      <c r="N41" s="203" t="e">
        <f>+'SEMANA DEL 2 AL 7-3-26'!#REF!</f>
        <v>#REF!</v>
      </c>
      <c r="O41" s="203" t="e">
        <f>+'SEMANA DEL 2 AL 7-3-26'!#REF!</f>
        <v>#REF!</v>
      </c>
      <c r="P41" s="203" t="e">
        <f>+'SEMANA DEL 2 AL 7-3-26'!#REF!</f>
        <v>#REF!</v>
      </c>
      <c r="Q41" s="203" t="e">
        <f>+'SEMANA DEL 2 AL 7-3-26'!#REF!</f>
        <v>#REF!</v>
      </c>
      <c r="R41" s="174" t="e">
        <f t="shared" ref="R41:CC41" si="23">SUM(R6:R40)</f>
        <v>#REF!</v>
      </c>
      <c r="S41" s="174" t="e">
        <f t="shared" si="23"/>
        <v>#REF!</v>
      </c>
      <c r="T41" s="174" t="e">
        <f t="shared" si="23"/>
        <v>#REF!</v>
      </c>
      <c r="U41" s="174" t="e">
        <f t="shared" si="23"/>
        <v>#REF!</v>
      </c>
      <c r="V41" s="174" t="e">
        <f t="shared" si="23"/>
        <v>#REF!</v>
      </c>
      <c r="W41" s="174" t="e">
        <f t="shared" si="23"/>
        <v>#REF!</v>
      </c>
      <c r="X41" s="174" t="e">
        <f t="shared" si="23"/>
        <v>#REF!</v>
      </c>
      <c r="Y41" s="174" t="e">
        <f t="shared" si="23"/>
        <v>#REF!</v>
      </c>
      <c r="Z41" s="174" t="e">
        <f t="shared" si="23"/>
        <v>#REF!</v>
      </c>
      <c r="AA41" s="174" t="e">
        <f t="shared" si="23"/>
        <v>#REF!</v>
      </c>
      <c r="AB41" s="174" t="e">
        <f t="shared" si="23"/>
        <v>#REF!</v>
      </c>
      <c r="AC41" s="174" t="e">
        <f t="shared" si="23"/>
        <v>#REF!</v>
      </c>
      <c r="AD41" s="174" t="e">
        <f t="shared" si="23"/>
        <v>#REF!</v>
      </c>
      <c r="AE41" s="174" t="e">
        <f t="shared" si="23"/>
        <v>#REF!</v>
      </c>
      <c r="AF41" s="174" t="e">
        <f t="shared" si="23"/>
        <v>#REF!</v>
      </c>
      <c r="AG41" s="174" t="e">
        <f t="shared" si="23"/>
        <v>#REF!</v>
      </c>
      <c r="AH41" s="174" t="e">
        <f t="shared" si="23"/>
        <v>#REF!</v>
      </c>
      <c r="AI41" s="174" t="e">
        <f t="shared" si="23"/>
        <v>#REF!</v>
      </c>
      <c r="AJ41" s="174" t="e">
        <f t="shared" si="23"/>
        <v>#REF!</v>
      </c>
      <c r="AK41" s="174" t="e">
        <f t="shared" si="23"/>
        <v>#REF!</v>
      </c>
      <c r="AL41" s="174" t="e">
        <f t="shared" si="23"/>
        <v>#REF!</v>
      </c>
      <c r="AM41" s="174" t="e">
        <f t="shared" si="23"/>
        <v>#REF!</v>
      </c>
      <c r="AN41" s="174" t="e">
        <f t="shared" si="23"/>
        <v>#REF!</v>
      </c>
      <c r="AO41" s="174" t="e">
        <f t="shared" si="23"/>
        <v>#REF!</v>
      </c>
      <c r="AP41" s="174" t="e">
        <f t="shared" si="23"/>
        <v>#REF!</v>
      </c>
      <c r="AQ41" s="174" t="e">
        <f t="shared" si="23"/>
        <v>#REF!</v>
      </c>
      <c r="AR41" s="174" t="e">
        <f t="shared" si="23"/>
        <v>#REF!</v>
      </c>
      <c r="AS41" s="174" t="e">
        <f t="shared" si="23"/>
        <v>#REF!</v>
      </c>
      <c r="AT41" s="174" t="e">
        <f t="shared" si="23"/>
        <v>#REF!</v>
      </c>
      <c r="AU41" s="174" t="e">
        <f t="shared" si="23"/>
        <v>#REF!</v>
      </c>
      <c r="AV41" s="174" t="e">
        <f t="shared" si="23"/>
        <v>#REF!</v>
      </c>
      <c r="AW41" s="174" t="e">
        <f t="shared" si="23"/>
        <v>#REF!</v>
      </c>
      <c r="AX41" s="174" t="e">
        <f t="shared" si="23"/>
        <v>#REF!</v>
      </c>
      <c r="AY41" s="174" t="e">
        <f t="shared" si="23"/>
        <v>#REF!</v>
      </c>
      <c r="AZ41" s="174" t="e">
        <f t="shared" si="23"/>
        <v>#REF!</v>
      </c>
      <c r="BA41" s="174" t="e">
        <f t="shared" si="23"/>
        <v>#REF!</v>
      </c>
      <c r="BB41" s="174" t="e">
        <f t="shared" si="23"/>
        <v>#REF!</v>
      </c>
      <c r="BC41" s="174" t="e">
        <f t="shared" si="23"/>
        <v>#REF!</v>
      </c>
      <c r="BD41" s="174" t="e">
        <f t="shared" si="23"/>
        <v>#REF!</v>
      </c>
      <c r="BE41" s="174" t="e">
        <f t="shared" si="23"/>
        <v>#REF!</v>
      </c>
      <c r="BF41" s="174" t="e">
        <f t="shared" si="23"/>
        <v>#REF!</v>
      </c>
      <c r="BG41" s="174" t="e">
        <f t="shared" si="23"/>
        <v>#REF!</v>
      </c>
      <c r="BH41" s="174" t="e">
        <f t="shared" si="23"/>
        <v>#REF!</v>
      </c>
      <c r="BI41" s="174" t="e">
        <f t="shared" si="23"/>
        <v>#REF!</v>
      </c>
      <c r="BJ41" s="174" t="e">
        <f t="shared" si="23"/>
        <v>#REF!</v>
      </c>
      <c r="BK41" s="174" t="e">
        <f t="shared" si="23"/>
        <v>#REF!</v>
      </c>
      <c r="BL41" s="174" t="e">
        <f t="shared" si="23"/>
        <v>#REF!</v>
      </c>
      <c r="BM41" s="174" t="e">
        <f t="shared" si="23"/>
        <v>#REF!</v>
      </c>
      <c r="BN41" s="174" t="e">
        <f t="shared" si="23"/>
        <v>#REF!</v>
      </c>
      <c r="BO41" s="174" t="e">
        <f t="shared" si="23"/>
        <v>#REF!</v>
      </c>
      <c r="BP41" s="174" t="e">
        <f t="shared" si="23"/>
        <v>#REF!</v>
      </c>
      <c r="BQ41" s="174" t="e">
        <f t="shared" si="23"/>
        <v>#REF!</v>
      </c>
      <c r="BR41" s="174" t="e">
        <f t="shared" si="23"/>
        <v>#REF!</v>
      </c>
      <c r="BS41" s="174" t="e">
        <f t="shared" si="23"/>
        <v>#REF!</v>
      </c>
      <c r="BT41" s="174" t="e">
        <f t="shared" si="23"/>
        <v>#REF!</v>
      </c>
      <c r="BU41" s="174" t="e">
        <f t="shared" si="23"/>
        <v>#REF!</v>
      </c>
      <c r="BV41" s="174" t="e">
        <f t="shared" si="23"/>
        <v>#REF!</v>
      </c>
      <c r="BW41" s="174" t="e">
        <f t="shared" si="23"/>
        <v>#REF!</v>
      </c>
      <c r="BX41" s="174" t="e">
        <f t="shared" si="23"/>
        <v>#REF!</v>
      </c>
      <c r="BY41" s="174" t="e">
        <f t="shared" si="23"/>
        <v>#REF!</v>
      </c>
      <c r="BZ41" s="174" t="e">
        <f t="shared" si="23"/>
        <v>#REF!</v>
      </c>
      <c r="CA41" s="174" t="e">
        <f t="shared" si="23"/>
        <v>#REF!</v>
      </c>
      <c r="CB41" s="174" t="e">
        <f t="shared" si="23"/>
        <v>#REF!</v>
      </c>
      <c r="CC41" s="174" t="e">
        <f t="shared" si="23"/>
        <v>#REF!</v>
      </c>
      <c r="CD41" s="174" t="e">
        <f t="shared" ref="CD41:CI41" si="24">SUM(CD6:CD40)</f>
        <v>#REF!</v>
      </c>
      <c r="CE41" s="174" t="e">
        <f t="shared" si="24"/>
        <v>#REF!</v>
      </c>
      <c r="CF41" s="174" t="e">
        <f t="shared" si="24"/>
        <v>#REF!</v>
      </c>
      <c r="CG41" s="174" t="e">
        <f t="shared" si="24"/>
        <v>#REF!</v>
      </c>
      <c r="CH41" s="174" t="e">
        <f t="shared" si="24"/>
        <v>#REF!</v>
      </c>
      <c r="CI41" s="174" t="e">
        <f t="shared" si="24"/>
        <v>#REF!</v>
      </c>
    </row>
    <row r="42" spans="1:93" ht="15.75" x14ac:dyDescent="0.25">
      <c r="A42" s="34" t="str">
        <f>+'SEMANA DEL 2 AL 7-3-26'!A42</f>
        <v>YARIRETH ROA</v>
      </c>
      <c r="B42" s="203">
        <f>+'SEMANA DEL 2 AL 7-3-26'!B42</f>
        <v>0.40000000000000036</v>
      </c>
      <c r="C42" s="203">
        <f>+'SEMANA DEL 2 AL 7-3-26'!C42</f>
        <v>0.72499999999999787</v>
      </c>
      <c r="D42" s="203">
        <f>+'SEMANA DEL 2 AL 7-3-26'!D42</f>
        <v>2.7999999999999972</v>
      </c>
      <c r="E42" s="203">
        <f>+'SEMANA DEL 2 AL 7-3-26'!E42</f>
        <v>0</v>
      </c>
      <c r="F42" s="203">
        <f>+'SEMANA DEL 2 AL 7-3-26'!F42</f>
        <v>0</v>
      </c>
      <c r="G42" s="203">
        <f>+'SEMANA DEL 2 AL 7-3-26'!G42</f>
        <v>0</v>
      </c>
      <c r="H42" s="203">
        <f>+'SEMANA DEL 2 AL 7-3-26'!H42</f>
        <v>0</v>
      </c>
      <c r="I42" s="203">
        <f>+'SEMANA DEL 2 AL 7-3-26'!I42</f>
        <v>0</v>
      </c>
      <c r="J42" s="203">
        <f>+'SEMANA DEL 2 AL 7-3-26'!J42</f>
        <v>0</v>
      </c>
      <c r="K42" s="203">
        <f>+'SEMANA DEL 2 AL 7-3-26'!K42</f>
        <v>0</v>
      </c>
      <c r="L42" s="203">
        <f>+'SEMANA DEL 2 AL 7-3-26'!L42</f>
        <v>0</v>
      </c>
      <c r="M42" s="203">
        <f>+'SEMANA DEL 2 AL 7-3-26'!M42</f>
        <v>0</v>
      </c>
      <c r="N42" s="203">
        <f>+'SEMANA DEL 2 AL 7-3-26'!N42</f>
        <v>0</v>
      </c>
      <c r="O42" s="203">
        <f>+'SEMANA DEL 2 AL 7-3-26'!O42</f>
        <v>0</v>
      </c>
      <c r="P42" s="203">
        <f>+'SEMANA DEL 2 AL 7-3-26'!P42</f>
        <v>0</v>
      </c>
      <c r="Q42" s="203">
        <f>+'SEMANA DEL 2 AL 7-3-26'!Q42</f>
        <v>0</v>
      </c>
      <c r="R42" s="174" t="e">
        <f t="shared" ref="R42:CC43" si="25">SUM(R7:R41)</f>
        <v>#REF!</v>
      </c>
      <c r="S42" s="174" t="e">
        <f t="shared" si="25"/>
        <v>#REF!</v>
      </c>
      <c r="T42" s="174" t="e">
        <f t="shared" si="25"/>
        <v>#REF!</v>
      </c>
      <c r="U42" s="174" t="e">
        <f t="shared" si="25"/>
        <v>#REF!</v>
      </c>
      <c r="V42" s="174" t="e">
        <f t="shared" si="25"/>
        <v>#REF!</v>
      </c>
      <c r="W42" s="174" t="e">
        <f t="shared" si="25"/>
        <v>#REF!</v>
      </c>
      <c r="X42" s="174" t="e">
        <f t="shared" si="25"/>
        <v>#REF!</v>
      </c>
      <c r="Y42" s="174" t="e">
        <f t="shared" si="25"/>
        <v>#REF!</v>
      </c>
      <c r="Z42" s="174" t="e">
        <f t="shared" si="25"/>
        <v>#REF!</v>
      </c>
      <c r="AA42" s="174" t="e">
        <f t="shared" si="25"/>
        <v>#REF!</v>
      </c>
      <c r="AB42" s="174" t="e">
        <f t="shared" si="25"/>
        <v>#REF!</v>
      </c>
      <c r="AC42" s="174" t="e">
        <f t="shared" si="25"/>
        <v>#REF!</v>
      </c>
      <c r="AD42" s="174" t="e">
        <f t="shared" si="25"/>
        <v>#REF!</v>
      </c>
      <c r="AE42" s="174" t="e">
        <f t="shared" si="25"/>
        <v>#REF!</v>
      </c>
      <c r="AF42" s="174" t="e">
        <f t="shared" si="25"/>
        <v>#REF!</v>
      </c>
      <c r="AG42" s="174" t="e">
        <f t="shared" si="25"/>
        <v>#REF!</v>
      </c>
      <c r="AH42" s="174" t="e">
        <f t="shared" si="25"/>
        <v>#REF!</v>
      </c>
      <c r="AI42" s="174" t="e">
        <f t="shared" si="25"/>
        <v>#REF!</v>
      </c>
      <c r="AJ42" s="174" t="e">
        <f t="shared" si="25"/>
        <v>#REF!</v>
      </c>
      <c r="AK42" s="174" t="e">
        <f t="shared" si="25"/>
        <v>#REF!</v>
      </c>
      <c r="AL42" s="174" t="e">
        <f t="shared" si="25"/>
        <v>#REF!</v>
      </c>
      <c r="AM42" s="174" t="e">
        <f t="shared" si="25"/>
        <v>#REF!</v>
      </c>
      <c r="AN42" s="174" t="e">
        <f t="shared" si="25"/>
        <v>#REF!</v>
      </c>
      <c r="AO42" s="174" t="e">
        <f t="shared" si="25"/>
        <v>#REF!</v>
      </c>
      <c r="AP42" s="174" t="e">
        <f t="shared" si="25"/>
        <v>#REF!</v>
      </c>
      <c r="AQ42" s="174" t="e">
        <f t="shared" si="25"/>
        <v>#REF!</v>
      </c>
      <c r="AR42" s="174" t="e">
        <f t="shared" si="25"/>
        <v>#REF!</v>
      </c>
      <c r="AS42" s="174" t="e">
        <f t="shared" si="25"/>
        <v>#REF!</v>
      </c>
      <c r="AT42" s="174" t="e">
        <f t="shared" si="25"/>
        <v>#REF!</v>
      </c>
      <c r="AU42" s="174" t="e">
        <f t="shared" si="25"/>
        <v>#REF!</v>
      </c>
      <c r="AV42" s="174" t="e">
        <f t="shared" si="25"/>
        <v>#REF!</v>
      </c>
      <c r="AW42" s="174" t="e">
        <f t="shared" si="25"/>
        <v>#REF!</v>
      </c>
      <c r="AX42" s="174" t="e">
        <f t="shared" si="25"/>
        <v>#REF!</v>
      </c>
      <c r="AY42" s="174" t="e">
        <f t="shared" si="25"/>
        <v>#REF!</v>
      </c>
      <c r="AZ42" s="174" t="e">
        <f t="shared" si="25"/>
        <v>#REF!</v>
      </c>
      <c r="BA42" s="174" t="e">
        <f t="shared" si="25"/>
        <v>#REF!</v>
      </c>
      <c r="BB42" s="174" t="e">
        <f t="shared" si="25"/>
        <v>#REF!</v>
      </c>
      <c r="BC42" s="174" t="e">
        <f t="shared" si="25"/>
        <v>#REF!</v>
      </c>
      <c r="BD42" s="174" t="e">
        <f t="shared" si="25"/>
        <v>#REF!</v>
      </c>
      <c r="BE42" s="174" t="e">
        <f t="shared" si="25"/>
        <v>#REF!</v>
      </c>
      <c r="BF42" s="174" t="e">
        <f t="shared" si="25"/>
        <v>#REF!</v>
      </c>
      <c r="BG42" s="174" t="e">
        <f t="shared" si="25"/>
        <v>#REF!</v>
      </c>
      <c r="BH42" s="174" t="e">
        <f t="shared" si="25"/>
        <v>#REF!</v>
      </c>
      <c r="BI42" s="174" t="e">
        <f t="shared" si="25"/>
        <v>#REF!</v>
      </c>
      <c r="BJ42" s="174" t="e">
        <f t="shared" si="25"/>
        <v>#REF!</v>
      </c>
      <c r="BK42" s="174" t="e">
        <f t="shared" si="25"/>
        <v>#REF!</v>
      </c>
      <c r="BL42" s="174" t="e">
        <f t="shared" si="25"/>
        <v>#REF!</v>
      </c>
      <c r="BM42" s="174" t="e">
        <f t="shared" si="25"/>
        <v>#REF!</v>
      </c>
      <c r="BN42" s="174" t="e">
        <f t="shared" si="25"/>
        <v>#REF!</v>
      </c>
      <c r="BO42" s="174" t="e">
        <f t="shared" si="25"/>
        <v>#REF!</v>
      </c>
      <c r="BP42" s="174" t="e">
        <f t="shared" si="25"/>
        <v>#REF!</v>
      </c>
      <c r="BQ42" s="174" t="e">
        <f t="shared" si="25"/>
        <v>#REF!</v>
      </c>
      <c r="BR42" s="174" t="e">
        <f t="shared" si="25"/>
        <v>#REF!</v>
      </c>
      <c r="BS42" s="174" t="e">
        <f t="shared" si="25"/>
        <v>#REF!</v>
      </c>
      <c r="BT42" s="174" t="e">
        <f t="shared" si="25"/>
        <v>#REF!</v>
      </c>
      <c r="BU42" s="174" t="e">
        <f t="shared" si="25"/>
        <v>#REF!</v>
      </c>
      <c r="BV42" s="174" t="e">
        <f t="shared" si="25"/>
        <v>#REF!</v>
      </c>
      <c r="BW42" s="174" t="e">
        <f t="shared" si="25"/>
        <v>#REF!</v>
      </c>
      <c r="BX42" s="174" t="e">
        <f t="shared" si="25"/>
        <v>#REF!</v>
      </c>
      <c r="BY42" s="174" t="e">
        <f t="shared" si="25"/>
        <v>#REF!</v>
      </c>
      <c r="BZ42" s="174" t="e">
        <f t="shared" si="25"/>
        <v>#REF!</v>
      </c>
      <c r="CA42" s="174" t="e">
        <f t="shared" si="25"/>
        <v>#REF!</v>
      </c>
      <c r="CB42" s="174" t="e">
        <f t="shared" si="25"/>
        <v>#REF!</v>
      </c>
      <c r="CC42" s="174" t="e">
        <f t="shared" si="25"/>
        <v>#REF!</v>
      </c>
      <c r="CD42" s="174" t="e">
        <f t="shared" ref="CD42:CI43" si="26">SUM(CD7:CD41)</f>
        <v>#REF!</v>
      </c>
      <c r="CE42" s="174" t="e">
        <f t="shared" si="26"/>
        <v>#REF!</v>
      </c>
      <c r="CF42" s="174" t="e">
        <f t="shared" si="26"/>
        <v>#REF!</v>
      </c>
      <c r="CG42" s="174" t="e">
        <f t="shared" si="26"/>
        <v>#REF!</v>
      </c>
      <c r="CH42" s="174" t="e">
        <f t="shared" si="26"/>
        <v>#REF!</v>
      </c>
      <c r="CI42" s="174" t="e">
        <f t="shared" si="26"/>
        <v>#REF!</v>
      </c>
    </row>
    <row r="43" spans="1:93" ht="15.75" x14ac:dyDescent="0.25">
      <c r="A43" s="34" t="str">
        <f>+'SEMANA DEL 2 AL 7-3-26'!A43</f>
        <v xml:space="preserve">YOLI BECERRA </v>
      </c>
      <c r="B43" s="203">
        <f>+'SEMANA DEL 2 AL 7-3-26'!B43</f>
        <v>0</v>
      </c>
      <c r="C43" s="203">
        <f>+'SEMANA DEL 2 AL 7-3-26'!C43</f>
        <v>0</v>
      </c>
      <c r="D43" s="203">
        <f>+'SEMANA DEL 2 AL 7-3-26'!D43</f>
        <v>3.3999999999999986</v>
      </c>
      <c r="E43" s="203">
        <f>+'SEMANA DEL 2 AL 7-3-26'!E43</f>
        <v>0</v>
      </c>
      <c r="F43" s="203">
        <f>+'SEMANA DEL 2 AL 7-3-26'!F43</f>
        <v>0</v>
      </c>
      <c r="G43" s="203">
        <f>+'SEMANA DEL 2 AL 7-3-26'!G43</f>
        <v>0</v>
      </c>
      <c r="H43" s="203">
        <f>+'SEMANA DEL 2 AL 7-3-26'!H43</f>
        <v>0</v>
      </c>
      <c r="I43" s="203">
        <f>+'SEMANA DEL 2 AL 7-3-26'!I43</f>
        <v>0</v>
      </c>
      <c r="J43" s="203">
        <f>+'SEMANA DEL 2 AL 7-3-26'!J43</f>
        <v>0</v>
      </c>
      <c r="K43" s="203">
        <f>+'SEMANA DEL 2 AL 7-3-26'!K43</f>
        <v>0</v>
      </c>
      <c r="L43" s="203">
        <f>+'SEMANA DEL 2 AL 7-3-26'!L43</f>
        <v>0</v>
      </c>
      <c r="M43" s="203">
        <f>+'SEMANA DEL 2 AL 7-3-26'!M43</f>
        <v>0</v>
      </c>
      <c r="N43" s="203">
        <f>+'SEMANA DEL 2 AL 7-3-26'!N43</f>
        <v>0</v>
      </c>
      <c r="O43" s="203">
        <f>+'SEMANA DEL 2 AL 7-3-26'!O43</f>
        <v>0</v>
      </c>
      <c r="P43" s="203">
        <f>+'SEMANA DEL 2 AL 7-3-26'!P43</f>
        <v>0</v>
      </c>
      <c r="Q43" s="203">
        <f>+'SEMANA DEL 2 AL 7-3-26'!Q43</f>
        <v>0</v>
      </c>
      <c r="R43" s="174" t="e">
        <f t="shared" si="25"/>
        <v>#REF!</v>
      </c>
      <c r="S43" s="174" t="e">
        <f t="shared" si="25"/>
        <v>#REF!</v>
      </c>
      <c r="T43" s="174" t="e">
        <f t="shared" si="25"/>
        <v>#REF!</v>
      </c>
      <c r="U43" s="174" t="e">
        <f t="shared" si="25"/>
        <v>#REF!</v>
      </c>
      <c r="V43" s="174" t="e">
        <f t="shared" si="25"/>
        <v>#REF!</v>
      </c>
      <c r="W43" s="174" t="e">
        <f t="shared" si="25"/>
        <v>#REF!</v>
      </c>
      <c r="X43" s="174" t="e">
        <f t="shared" si="25"/>
        <v>#REF!</v>
      </c>
      <c r="Y43" s="174" t="e">
        <f t="shared" si="25"/>
        <v>#REF!</v>
      </c>
      <c r="Z43" s="174" t="e">
        <f t="shared" si="25"/>
        <v>#REF!</v>
      </c>
      <c r="AA43" s="174" t="e">
        <f t="shared" si="25"/>
        <v>#REF!</v>
      </c>
      <c r="AB43" s="174" t="e">
        <f t="shared" si="25"/>
        <v>#REF!</v>
      </c>
      <c r="AC43" s="174" t="e">
        <f t="shared" si="25"/>
        <v>#REF!</v>
      </c>
      <c r="AD43" s="174" t="e">
        <f t="shared" si="25"/>
        <v>#REF!</v>
      </c>
      <c r="AE43" s="174" t="e">
        <f t="shared" si="25"/>
        <v>#REF!</v>
      </c>
      <c r="AF43" s="174" t="e">
        <f t="shared" si="25"/>
        <v>#REF!</v>
      </c>
      <c r="AG43" s="174" t="e">
        <f t="shared" si="25"/>
        <v>#REF!</v>
      </c>
      <c r="AH43" s="174" t="e">
        <f t="shared" si="25"/>
        <v>#REF!</v>
      </c>
      <c r="AI43" s="174" t="e">
        <f t="shared" si="25"/>
        <v>#REF!</v>
      </c>
      <c r="AJ43" s="174" t="e">
        <f t="shared" si="25"/>
        <v>#REF!</v>
      </c>
      <c r="AK43" s="174" t="e">
        <f t="shared" si="25"/>
        <v>#REF!</v>
      </c>
      <c r="AL43" s="174" t="e">
        <f t="shared" si="25"/>
        <v>#REF!</v>
      </c>
      <c r="AM43" s="174" t="e">
        <f t="shared" si="25"/>
        <v>#REF!</v>
      </c>
      <c r="AN43" s="174" t="e">
        <f t="shared" si="25"/>
        <v>#REF!</v>
      </c>
      <c r="AO43" s="174" t="e">
        <f t="shared" si="25"/>
        <v>#REF!</v>
      </c>
      <c r="AP43" s="174" t="e">
        <f t="shared" si="25"/>
        <v>#REF!</v>
      </c>
      <c r="AQ43" s="174" t="e">
        <f t="shared" si="25"/>
        <v>#REF!</v>
      </c>
      <c r="AR43" s="174" t="e">
        <f t="shared" si="25"/>
        <v>#REF!</v>
      </c>
      <c r="AS43" s="174" t="e">
        <f t="shared" si="25"/>
        <v>#REF!</v>
      </c>
      <c r="AT43" s="174" t="e">
        <f t="shared" si="25"/>
        <v>#REF!</v>
      </c>
      <c r="AU43" s="174" t="e">
        <f t="shared" si="25"/>
        <v>#REF!</v>
      </c>
      <c r="AV43" s="174" t="e">
        <f t="shared" si="25"/>
        <v>#REF!</v>
      </c>
      <c r="AW43" s="174" t="e">
        <f t="shared" si="25"/>
        <v>#REF!</v>
      </c>
      <c r="AX43" s="174" t="e">
        <f t="shared" si="25"/>
        <v>#REF!</v>
      </c>
      <c r="AY43" s="174" t="e">
        <f t="shared" si="25"/>
        <v>#REF!</v>
      </c>
      <c r="AZ43" s="174" t="e">
        <f t="shared" si="25"/>
        <v>#REF!</v>
      </c>
      <c r="BA43" s="174" t="e">
        <f t="shared" si="25"/>
        <v>#REF!</v>
      </c>
      <c r="BB43" s="174" t="e">
        <f t="shared" si="25"/>
        <v>#REF!</v>
      </c>
      <c r="BC43" s="174" t="e">
        <f t="shared" si="25"/>
        <v>#REF!</v>
      </c>
      <c r="BD43" s="174" t="e">
        <f t="shared" si="25"/>
        <v>#REF!</v>
      </c>
      <c r="BE43" s="174" t="e">
        <f t="shared" si="25"/>
        <v>#REF!</v>
      </c>
      <c r="BF43" s="174" t="e">
        <f t="shared" si="25"/>
        <v>#REF!</v>
      </c>
      <c r="BG43" s="174" t="e">
        <f t="shared" si="25"/>
        <v>#REF!</v>
      </c>
      <c r="BH43" s="174" t="e">
        <f t="shared" si="25"/>
        <v>#REF!</v>
      </c>
      <c r="BI43" s="174" t="e">
        <f t="shared" si="25"/>
        <v>#REF!</v>
      </c>
      <c r="BJ43" s="174" t="e">
        <f t="shared" si="25"/>
        <v>#REF!</v>
      </c>
      <c r="BK43" s="174" t="e">
        <f t="shared" si="25"/>
        <v>#REF!</v>
      </c>
      <c r="BL43" s="174" t="e">
        <f t="shared" si="25"/>
        <v>#REF!</v>
      </c>
      <c r="BM43" s="174" t="e">
        <f t="shared" si="25"/>
        <v>#REF!</v>
      </c>
      <c r="BN43" s="174" t="e">
        <f t="shared" si="25"/>
        <v>#REF!</v>
      </c>
      <c r="BO43" s="174" t="e">
        <f t="shared" si="25"/>
        <v>#REF!</v>
      </c>
      <c r="BP43" s="174" t="e">
        <f t="shared" si="25"/>
        <v>#REF!</v>
      </c>
      <c r="BQ43" s="174" t="e">
        <f t="shared" si="25"/>
        <v>#REF!</v>
      </c>
      <c r="BR43" s="174" t="e">
        <f t="shared" si="25"/>
        <v>#REF!</v>
      </c>
      <c r="BS43" s="174" t="e">
        <f t="shared" si="25"/>
        <v>#REF!</v>
      </c>
      <c r="BT43" s="174" t="e">
        <f t="shared" si="25"/>
        <v>#REF!</v>
      </c>
      <c r="BU43" s="174" t="e">
        <f t="shared" si="25"/>
        <v>#REF!</v>
      </c>
      <c r="BV43" s="174" t="e">
        <f t="shared" si="25"/>
        <v>#REF!</v>
      </c>
      <c r="BW43" s="174" t="e">
        <f t="shared" si="25"/>
        <v>#REF!</v>
      </c>
      <c r="BX43" s="174" t="e">
        <f t="shared" si="25"/>
        <v>#REF!</v>
      </c>
      <c r="BY43" s="174" t="e">
        <f t="shared" si="25"/>
        <v>#REF!</v>
      </c>
      <c r="BZ43" s="174" t="e">
        <f t="shared" si="25"/>
        <v>#REF!</v>
      </c>
      <c r="CA43" s="174" t="e">
        <f t="shared" si="25"/>
        <v>#REF!</v>
      </c>
      <c r="CB43" s="174" t="e">
        <f t="shared" si="25"/>
        <v>#REF!</v>
      </c>
      <c r="CC43" s="174" t="e">
        <f t="shared" si="25"/>
        <v>#REF!</v>
      </c>
      <c r="CD43" s="174" t="e">
        <f t="shared" si="26"/>
        <v>#REF!</v>
      </c>
      <c r="CE43" s="174" t="e">
        <f t="shared" si="26"/>
        <v>#REF!</v>
      </c>
      <c r="CF43" s="174" t="e">
        <f t="shared" si="26"/>
        <v>#REF!</v>
      </c>
      <c r="CG43" s="174" t="e">
        <f t="shared" si="26"/>
        <v>#REF!</v>
      </c>
      <c r="CH43" s="174" t="e">
        <f t="shared" si="26"/>
        <v>#REF!</v>
      </c>
      <c r="CI43" s="174" t="e">
        <f t="shared" si="26"/>
        <v>#REF!</v>
      </c>
    </row>
    <row r="44" spans="1:93" x14ac:dyDescent="0.2">
      <c r="A44" s="34">
        <f>+'SEMANA DEL 2 AL 7-3-26'!A45</f>
        <v>0</v>
      </c>
      <c r="B44" s="68" t="e">
        <f>SUM(B4:B43)</f>
        <v>#REF!</v>
      </c>
      <c r="C44" s="68" t="e">
        <f t="shared" ref="C44:BN44" si="27">SUM(C4:C43)</f>
        <v>#REF!</v>
      </c>
      <c r="D44" s="68" t="e">
        <f t="shared" si="27"/>
        <v>#REF!</v>
      </c>
      <c r="E44" s="68" t="e">
        <f t="shared" si="27"/>
        <v>#REF!</v>
      </c>
      <c r="F44" s="68" t="e">
        <f t="shared" si="27"/>
        <v>#REF!</v>
      </c>
      <c r="G44" s="68" t="e">
        <f t="shared" si="27"/>
        <v>#REF!</v>
      </c>
      <c r="H44" s="68" t="e">
        <f t="shared" si="27"/>
        <v>#REF!</v>
      </c>
      <c r="I44" s="68" t="e">
        <f t="shared" si="27"/>
        <v>#REF!</v>
      </c>
      <c r="J44" s="68" t="e">
        <f t="shared" si="27"/>
        <v>#REF!</v>
      </c>
      <c r="K44" s="68" t="e">
        <f t="shared" si="27"/>
        <v>#REF!</v>
      </c>
      <c r="L44" s="68" t="e">
        <f t="shared" si="27"/>
        <v>#REF!</v>
      </c>
      <c r="M44" s="68" t="e">
        <f t="shared" si="27"/>
        <v>#REF!</v>
      </c>
      <c r="N44" s="68" t="e">
        <f t="shared" si="27"/>
        <v>#REF!</v>
      </c>
      <c r="O44" s="68" t="e">
        <f t="shared" si="27"/>
        <v>#REF!</v>
      </c>
      <c r="P44" s="68" t="e">
        <f t="shared" si="27"/>
        <v>#REF!</v>
      </c>
      <c r="Q44" s="68" t="e">
        <f t="shared" si="27"/>
        <v>#REF!</v>
      </c>
      <c r="R44" s="68" t="e">
        <f t="shared" si="27"/>
        <v>#REF!</v>
      </c>
      <c r="S44" s="68" t="e">
        <f t="shared" si="27"/>
        <v>#REF!</v>
      </c>
      <c r="T44" s="68" t="e">
        <f t="shared" si="27"/>
        <v>#REF!</v>
      </c>
      <c r="U44" s="68" t="e">
        <f t="shared" si="27"/>
        <v>#REF!</v>
      </c>
      <c r="V44" s="68" t="e">
        <f t="shared" si="27"/>
        <v>#REF!</v>
      </c>
      <c r="W44" s="68" t="e">
        <f t="shared" si="27"/>
        <v>#REF!</v>
      </c>
      <c r="X44" s="68" t="e">
        <f t="shared" si="27"/>
        <v>#REF!</v>
      </c>
      <c r="Y44" s="68" t="e">
        <f t="shared" si="27"/>
        <v>#REF!</v>
      </c>
      <c r="Z44" s="68" t="e">
        <f t="shared" si="27"/>
        <v>#REF!</v>
      </c>
      <c r="AA44" s="68" t="e">
        <f t="shared" si="27"/>
        <v>#REF!</v>
      </c>
      <c r="AB44" s="68" t="e">
        <f t="shared" si="27"/>
        <v>#REF!</v>
      </c>
      <c r="AC44" s="68" t="e">
        <f t="shared" si="27"/>
        <v>#REF!</v>
      </c>
      <c r="AD44" s="68" t="e">
        <f t="shared" si="27"/>
        <v>#REF!</v>
      </c>
      <c r="AE44" s="68" t="e">
        <f t="shared" si="27"/>
        <v>#REF!</v>
      </c>
      <c r="AF44" s="68" t="e">
        <f t="shared" si="27"/>
        <v>#REF!</v>
      </c>
      <c r="AG44" s="68" t="e">
        <f t="shared" si="27"/>
        <v>#REF!</v>
      </c>
      <c r="AH44" s="68" t="e">
        <f t="shared" si="27"/>
        <v>#REF!</v>
      </c>
      <c r="AI44" s="68" t="e">
        <f t="shared" si="27"/>
        <v>#REF!</v>
      </c>
      <c r="AJ44" s="68" t="e">
        <f t="shared" si="27"/>
        <v>#REF!</v>
      </c>
      <c r="AK44" s="68" t="e">
        <f t="shared" si="27"/>
        <v>#REF!</v>
      </c>
      <c r="AL44" s="68" t="e">
        <f t="shared" si="27"/>
        <v>#REF!</v>
      </c>
      <c r="AM44" s="68" t="e">
        <f t="shared" si="27"/>
        <v>#REF!</v>
      </c>
      <c r="AN44" s="68" t="e">
        <f t="shared" si="27"/>
        <v>#REF!</v>
      </c>
      <c r="AO44" s="68" t="e">
        <f t="shared" si="27"/>
        <v>#REF!</v>
      </c>
      <c r="AP44" s="68" t="e">
        <f t="shared" si="27"/>
        <v>#REF!</v>
      </c>
      <c r="AQ44" s="68" t="e">
        <f t="shared" si="27"/>
        <v>#REF!</v>
      </c>
      <c r="AR44" s="68" t="e">
        <f t="shared" si="27"/>
        <v>#REF!</v>
      </c>
      <c r="AS44" s="68" t="e">
        <f t="shared" si="27"/>
        <v>#REF!</v>
      </c>
      <c r="AT44" s="68" t="e">
        <f t="shared" si="27"/>
        <v>#REF!</v>
      </c>
      <c r="AU44" s="68" t="e">
        <f t="shared" si="27"/>
        <v>#REF!</v>
      </c>
      <c r="AV44" s="68" t="e">
        <f t="shared" si="27"/>
        <v>#REF!</v>
      </c>
      <c r="AW44" s="68" t="e">
        <f t="shared" si="27"/>
        <v>#REF!</v>
      </c>
      <c r="AX44" s="68" t="e">
        <f t="shared" si="27"/>
        <v>#REF!</v>
      </c>
      <c r="AY44" s="68" t="e">
        <f t="shared" si="27"/>
        <v>#REF!</v>
      </c>
      <c r="AZ44" s="68" t="e">
        <f t="shared" si="27"/>
        <v>#REF!</v>
      </c>
      <c r="BA44" s="68" t="e">
        <f t="shared" si="27"/>
        <v>#REF!</v>
      </c>
      <c r="BB44" s="68" t="e">
        <f t="shared" si="27"/>
        <v>#REF!</v>
      </c>
      <c r="BC44" s="68" t="e">
        <f t="shared" si="27"/>
        <v>#REF!</v>
      </c>
      <c r="BD44" s="68" t="e">
        <f t="shared" si="27"/>
        <v>#REF!</v>
      </c>
      <c r="BE44" s="68" t="e">
        <f t="shared" si="27"/>
        <v>#REF!</v>
      </c>
      <c r="BF44" s="68" t="e">
        <f t="shared" si="27"/>
        <v>#REF!</v>
      </c>
      <c r="BG44" s="68" t="e">
        <f t="shared" si="27"/>
        <v>#REF!</v>
      </c>
      <c r="BH44" s="68" t="e">
        <f t="shared" si="27"/>
        <v>#REF!</v>
      </c>
      <c r="BI44" s="68" t="e">
        <f t="shared" si="27"/>
        <v>#REF!</v>
      </c>
      <c r="BJ44" s="68" t="e">
        <f t="shared" si="27"/>
        <v>#REF!</v>
      </c>
      <c r="BK44" s="68" t="e">
        <f t="shared" si="27"/>
        <v>#REF!</v>
      </c>
      <c r="BL44" s="68" t="e">
        <f t="shared" si="27"/>
        <v>#REF!</v>
      </c>
      <c r="BM44" s="68" t="e">
        <f t="shared" si="27"/>
        <v>#REF!</v>
      </c>
      <c r="BN44" s="68" t="e">
        <f t="shared" si="27"/>
        <v>#REF!</v>
      </c>
      <c r="BO44" s="68" t="e">
        <f t="shared" ref="BO44:CI44" si="28">SUM(BO4:BO43)</f>
        <v>#REF!</v>
      </c>
      <c r="BP44" s="68" t="e">
        <f t="shared" si="28"/>
        <v>#REF!</v>
      </c>
      <c r="BQ44" s="68" t="e">
        <f t="shared" si="28"/>
        <v>#REF!</v>
      </c>
      <c r="BR44" s="68" t="e">
        <f t="shared" si="28"/>
        <v>#REF!</v>
      </c>
      <c r="BS44" s="68" t="e">
        <f t="shared" si="28"/>
        <v>#REF!</v>
      </c>
      <c r="BT44" s="68" t="e">
        <f t="shared" si="28"/>
        <v>#REF!</v>
      </c>
      <c r="BU44" s="68" t="e">
        <f t="shared" si="28"/>
        <v>#REF!</v>
      </c>
      <c r="BV44" s="68" t="e">
        <f t="shared" si="28"/>
        <v>#REF!</v>
      </c>
      <c r="BW44" s="68" t="e">
        <f t="shared" si="28"/>
        <v>#REF!</v>
      </c>
      <c r="BX44" s="68" t="e">
        <f t="shared" si="28"/>
        <v>#REF!</v>
      </c>
      <c r="BY44" s="68" t="e">
        <f t="shared" si="28"/>
        <v>#REF!</v>
      </c>
      <c r="BZ44" s="68" t="e">
        <f t="shared" si="28"/>
        <v>#REF!</v>
      </c>
      <c r="CA44" s="68" t="e">
        <f t="shared" si="28"/>
        <v>#REF!</v>
      </c>
      <c r="CB44" s="68" t="e">
        <f t="shared" si="28"/>
        <v>#REF!</v>
      </c>
      <c r="CC44" s="68" t="e">
        <f t="shared" si="28"/>
        <v>#REF!</v>
      </c>
      <c r="CD44" s="68" t="e">
        <f t="shared" si="28"/>
        <v>#REF!</v>
      </c>
      <c r="CE44" s="68" t="e">
        <f t="shared" si="28"/>
        <v>#REF!</v>
      </c>
      <c r="CF44" s="68" t="e">
        <f t="shared" si="28"/>
        <v>#REF!</v>
      </c>
      <c r="CG44" s="68" t="e">
        <f t="shared" si="28"/>
        <v>#REF!</v>
      </c>
      <c r="CH44" s="68" t="e">
        <f t="shared" si="28"/>
        <v>#REF!</v>
      </c>
      <c r="CI44" s="68" t="e">
        <f t="shared" si="28"/>
        <v>#REF!</v>
      </c>
    </row>
    <row r="45" spans="1:93" x14ac:dyDescent="0.2">
      <c r="A45" s="34"/>
    </row>
    <row r="46" spans="1:93" x14ac:dyDescent="0.2">
      <c r="A46" s="34"/>
    </row>
    <row r="47" spans="1:93" x14ac:dyDescent="0.2">
      <c r="A47" s="34"/>
    </row>
  </sheetData>
  <mergeCells count="1">
    <mergeCell ref="AX2:BK2"/>
  </mergeCells>
  <phoneticPr fontId="5" type="noConversion"/>
  <pageMargins left="0.35433070866141736" right="0.47244094488188981" top="1.4173228346456694" bottom="0.98425196850393704" header="0" footer="0"/>
  <pageSetup paperSize="5" scale="9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indexed="27"/>
    <pageSetUpPr fitToPage="1"/>
  </sheetPr>
  <dimension ref="A1:EM50"/>
  <sheetViews>
    <sheetView zoomScale="95" zoomScaleNormal="95" workbookViewId="0">
      <pane xSplit="1" ySplit="4" topLeftCell="BB5" activePane="bottomRight" state="frozen"/>
      <selection pane="topRight" activeCell="B1" sqref="B1"/>
      <selection pane="bottomLeft" activeCell="A4" sqref="A4"/>
      <selection pane="bottomRight" activeCell="BI5" sqref="BI5"/>
    </sheetView>
  </sheetViews>
  <sheetFormatPr baseColWidth="10" defaultColWidth="11.42578125" defaultRowHeight="12.75" x14ac:dyDescent="0.2"/>
  <cols>
    <col min="1" max="1" width="60.5703125" customWidth="1"/>
    <col min="2" max="2" width="7.42578125" customWidth="1"/>
    <col min="3" max="3" width="10.7109375" customWidth="1"/>
    <col min="4" max="4" width="13.7109375" customWidth="1"/>
    <col min="5" max="5" width="10.42578125" customWidth="1"/>
    <col min="6" max="6" width="9.42578125" customWidth="1"/>
    <col min="7" max="7" width="7.5703125" customWidth="1"/>
    <col min="8" max="8" width="15.5703125" customWidth="1"/>
    <col min="9" max="9" width="8" customWidth="1"/>
    <col min="10" max="10" width="12.140625" customWidth="1"/>
    <col min="11" max="11" width="8.7109375" customWidth="1"/>
    <col min="12" max="12" width="8.28515625" customWidth="1"/>
    <col min="13" max="13" width="10.85546875" customWidth="1"/>
    <col min="14" max="14" width="7.7109375" customWidth="1"/>
    <col min="15" max="15" width="10.42578125" customWidth="1"/>
    <col min="16" max="16" width="10.85546875" customWidth="1"/>
    <col min="17" max="17" width="13.5703125" customWidth="1"/>
    <col min="18" max="18" width="11.5703125" customWidth="1"/>
    <col min="19" max="19" width="11" customWidth="1"/>
    <col min="20" max="20" width="13.42578125" customWidth="1"/>
    <col min="21" max="21" width="12.28515625" customWidth="1"/>
    <col min="22" max="23" width="9" customWidth="1"/>
    <col min="24" max="24" width="10.140625" customWidth="1"/>
    <col min="25" max="25" width="8.5703125" customWidth="1"/>
    <col min="26" max="26" width="12.7109375" customWidth="1"/>
    <col min="27" max="28" width="8.5703125" customWidth="1"/>
    <col min="29" max="29" width="11.42578125" customWidth="1"/>
    <col min="30" max="30" width="8.5703125" customWidth="1"/>
    <col min="31" max="31" width="11.28515625" customWidth="1"/>
    <col min="32" max="32" width="15.140625" customWidth="1"/>
    <col min="33" max="33" width="12.5703125" customWidth="1"/>
    <col min="34" max="34" width="12.7109375" customWidth="1"/>
    <col min="35" max="35" width="12.42578125" customWidth="1"/>
    <col min="36" max="36" width="13.7109375" customWidth="1"/>
    <col min="37" max="37" width="10.28515625" customWidth="1"/>
    <col min="38" max="38" width="8.85546875" customWidth="1"/>
    <col min="39" max="39" width="8.7109375" customWidth="1"/>
    <col min="40" max="40" width="15.140625" customWidth="1"/>
    <col min="41" max="41" width="8" customWidth="1"/>
    <col min="42" max="42" width="13.140625" customWidth="1"/>
    <col min="43" max="43" width="9.5703125" customWidth="1"/>
    <col min="44" max="44" width="8.140625" customWidth="1"/>
    <col min="45" max="45" width="11.140625" customWidth="1"/>
    <col min="46" max="46" width="8.28515625" customWidth="1"/>
    <col min="47" max="47" width="12.85546875" customWidth="1"/>
    <col min="48" max="48" width="15.28515625" customWidth="1"/>
    <col min="49" max="49" width="13.85546875" customWidth="1"/>
    <col min="50" max="50" width="11" customWidth="1"/>
    <col min="51" max="51" width="13.5703125" customWidth="1"/>
    <col min="52" max="52" width="14" customWidth="1"/>
    <col min="53" max="54" width="10.7109375" customWidth="1"/>
    <col min="55" max="55" width="8.28515625" customWidth="1"/>
    <col min="56" max="56" width="14.5703125" customWidth="1"/>
    <col min="57" max="61" width="12.7109375" customWidth="1"/>
    <col min="62" max="62" width="7.7109375" customWidth="1"/>
    <col min="63" max="63" width="12.140625" customWidth="1"/>
    <col min="64" max="64" width="9.42578125" customWidth="1"/>
    <col min="65" max="65" width="13.42578125" customWidth="1"/>
    <col min="66" max="66" width="19.42578125" customWidth="1"/>
    <col min="67" max="67" width="18" customWidth="1"/>
    <col min="68" max="68" width="14.85546875" customWidth="1"/>
    <col min="69" max="69" width="15.140625" customWidth="1"/>
    <col min="70" max="70" width="16.7109375" customWidth="1"/>
    <col min="71" max="71" width="18.42578125" customWidth="1"/>
    <col min="72" max="72" width="15.85546875" customWidth="1"/>
    <col min="73" max="73" width="12.7109375" customWidth="1"/>
    <col min="74" max="74" width="16.85546875" customWidth="1"/>
    <col min="75" max="75" width="18.5703125" customWidth="1"/>
    <col min="76" max="76" width="9.5703125" customWidth="1"/>
    <col min="77" max="78" width="17.5703125" customWidth="1"/>
    <col min="79" max="79" width="14.85546875" customWidth="1"/>
    <col min="80" max="80" width="25.140625" customWidth="1"/>
    <col min="81" max="82" width="21.7109375" customWidth="1"/>
    <col min="83" max="83" width="21.85546875" customWidth="1"/>
    <col min="84" max="84" width="22.28515625" customWidth="1"/>
    <col min="85" max="85" width="25.85546875" customWidth="1"/>
    <col min="86" max="86" width="19.5703125" customWidth="1"/>
    <col min="87" max="87" width="23.140625" customWidth="1"/>
    <col min="88" max="88" width="17" customWidth="1"/>
    <col min="89" max="89" width="26.5703125" customWidth="1"/>
    <col min="90" max="90" width="14.85546875" customWidth="1"/>
    <col min="91" max="91" width="17.28515625" customWidth="1"/>
    <col min="93" max="93" width="13.5703125" customWidth="1"/>
    <col min="96" max="96" width="36.7109375" customWidth="1"/>
    <col min="97" max="97" width="20.42578125" customWidth="1"/>
    <col min="98" max="98" width="12.140625" customWidth="1"/>
    <col min="99" max="99" width="11.7109375" customWidth="1"/>
    <col min="100" max="100" width="12.85546875" customWidth="1"/>
    <col min="101" max="101" width="14.140625" customWidth="1"/>
    <col min="102" max="103" width="12" customWidth="1"/>
    <col min="104" max="104" width="18.28515625" customWidth="1"/>
    <col min="105" max="105" width="21.85546875" hidden="1" customWidth="1"/>
    <col min="106" max="106" width="21.85546875" customWidth="1"/>
    <col min="107" max="107" width="20" customWidth="1"/>
    <col min="108" max="108" width="20.28515625" customWidth="1"/>
    <col min="109" max="142" width="11.42578125" style="291"/>
  </cols>
  <sheetData>
    <row r="1" spans="1:108" ht="15.75" x14ac:dyDescent="0.25">
      <c r="A1" s="208" t="s">
        <v>236</v>
      </c>
      <c r="B1" s="210"/>
      <c r="C1" s="209"/>
      <c r="D1" s="210"/>
      <c r="E1" s="211"/>
      <c r="F1" s="211"/>
      <c r="G1" s="211"/>
      <c r="H1" s="212"/>
      <c r="I1" s="212"/>
      <c r="J1" s="212"/>
      <c r="K1" s="212"/>
      <c r="L1" s="212"/>
      <c r="M1" s="212"/>
      <c r="N1" s="212"/>
      <c r="O1" s="212"/>
      <c r="P1" s="115"/>
      <c r="Q1" s="115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>
        <f>4.55*65</f>
        <v>295.75</v>
      </c>
      <c r="CI1" s="52"/>
      <c r="CJ1" s="52"/>
      <c r="CK1" s="79" t="str">
        <f>+A1</f>
        <v>SEMANA # 9 DEL  2 AL 7 DE MARZO  DEL 2026</v>
      </c>
      <c r="CL1" s="52"/>
      <c r="CM1" s="52"/>
      <c r="CN1" s="52"/>
      <c r="CO1" s="52"/>
      <c r="CP1" s="52"/>
      <c r="CQ1" s="52"/>
      <c r="CR1" s="39"/>
      <c r="CS1" s="79" t="str">
        <f>+A1</f>
        <v>SEMANA # 9 DEL  2 AL 7 DE MARZO  DEL 2026</v>
      </c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</row>
    <row r="2" spans="1:108" ht="16.5" thickBot="1" x14ac:dyDescent="0.3">
      <c r="A2" s="208" t="s">
        <v>233</v>
      </c>
      <c r="B2" s="210"/>
      <c r="C2" s="209"/>
      <c r="D2" s="210"/>
      <c r="E2" s="211"/>
      <c r="F2" s="211"/>
      <c r="G2" s="211"/>
      <c r="H2" s="212"/>
      <c r="I2" s="212"/>
      <c r="J2" s="212"/>
      <c r="K2" s="212"/>
      <c r="L2" s="212"/>
      <c r="M2" s="212"/>
      <c r="N2" s="212"/>
      <c r="O2" s="212"/>
      <c r="P2" s="115"/>
      <c r="Q2" s="115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273" t="str">
        <f>+A2</f>
        <v>FABRIQUINES SEMANA # 9</v>
      </c>
      <c r="CL2" s="52"/>
      <c r="CM2" s="52"/>
      <c r="CN2" s="52"/>
      <c r="CO2" s="52"/>
      <c r="CP2" s="52"/>
      <c r="CQ2" s="52"/>
      <c r="CR2" s="39"/>
      <c r="CS2" s="79" t="str">
        <f>+A2</f>
        <v>FABRIQUINES SEMANA # 9</v>
      </c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</row>
    <row r="3" spans="1:108" ht="16.5" thickBot="1" x14ac:dyDescent="0.3">
      <c r="A3" s="272" t="s">
        <v>235</v>
      </c>
      <c r="B3" s="208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219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1"/>
      <c r="AG3" s="220"/>
      <c r="AH3" s="83"/>
      <c r="AI3" s="84"/>
      <c r="AJ3" s="84"/>
      <c r="AK3" s="84"/>
      <c r="AL3" s="84"/>
      <c r="AM3" s="84"/>
      <c r="AN3" s="85"/>
      <c r="AO3" s="85"/>
      <c r="AP3" s="85"/>
      <c r="AQ3" s="85"/>
      <c r="AR3" s="85"/>
      <c r="AS3" s="85"/>
      <c r="AT3" s="85"/>
      <c r="AU3" s="85"/>
      <c r="AV3" s="86"/>
      <c r="AW3" s="86"/>
      <c r="AX3" s="416" t="s">
        <v>4</v>
      </c>
      <c r="AY3" s="416"/>
      <c r="AZ3" s="416"/>
      <c r="BA3" s="416"/>
      <c r="BB3" s="416"/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213"/>
      <c r="BN3" s="87" t="s">
        <v>47</v>
      </c>
      <c r="BO3" s="155"/>
      <c r="BP3" s="88"/>
      <c r="BQ3" s="89"/>
      <c r="BR3" s="89"/>
      <c r="BS3" s="89"/>
      <c r="BT3" s="89"/>
      <c r="BU3" s="89"/>
      <c r="BV3" s="89"/>
      <c r="BW3" s="89" t="s">
        <v>44</v>
      </c>
      <c r="BX3" s="89"/>
      <c r="BY3" s="89"/>
      <c r="BZ3" s="90"/>
      <c r="CA3" s="91"/>
      <c r="CB3" s="92" t="s">
        <v>46</v>
      </c>
      <c r="CC3" s="93"/>
      <c r="CD3" s="93"/>
      <c r="CE3" s="93"/>
      <c r="CF3" s="93"/>
      <c r="CG3" s="94"/>
      <c r="CH3" s="134" t="s">
        <v>61</v>
      </c>
      <c r="CI3" s="95"/>
      <c r="CJ3" s="52"/>
      <c r="CK3" s="274" t="str">
        <f>+A3</f>
        <v>PRODUCCION # 6</v>
      </c>
      <c r="CL3" s="417"/>
      <c r="CM3" s="417"/>
      <c r="CN3" s="417"/>
      <c r="CO3" s="417"/>
      <c r="CP3" s="96"/>
      <c r="CQ3" s="52"/>
      <c r="CR3" s="30"/>
      <c r="CS3" s="275" t="str">
        <f>+A3</f>
        <v>PRODUCCION # 6</v>
      </c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</row>
    <row r="4" spans="1:108" ht="15.75" x14ac:dyDescent="0.25">
      <c r="A4" s="294" t="s">
        <v>5</v>
      </c>
      <c r="B4" s="295" t="s">
        <v>21</v>
      </c>
      <c r="C4" s="295" t="s">
        <v>22</v>
      </c>
      <c r="D4" s="295" t="s">
        <v>20</v>
      </c>
      <c r="E4" s="296" t="s">
        <v>48</v>
      </c>
      <c r="F4" s="296" t="s">
        <v>71</v>
      </c>
      <c r="G4" s="296" t="s">
        <v>66</v>
      </c>
      <c r="H4" s="296" t="s">
        <v>9</v>
      </c>
      <c r="I4" s="296" t="s">
        <v>10</v>
      </c>
      <c r="J4" s="296" t="s">
        <v>11</v>
      </c>
      <c r="K4" s="296" t="s">
        <v>12</v>
      </c>
      <c r="L4" s="296" t="s">
        <v>13</v>
      </c>
      <c r="M4" s="296" t="s">
        <v>14</v>
      </c>
      <c r="N4" s="296" t="s">
        <v>15</v>
      </c>
      <c r="O4" s="296" t="s">
        <v>16</v>
      </c>
      <c r="P4" s="296" t="s">
        <v>124</v>
      </c>
      <c r="Q4" s="296" t="s">
        <v>102</v>
      </c>
      <c r="R4" s="314" t="s">
        <v>18</v>
      </c>
      <c r="S4" s="314" t="s">
        <v>19</v>
      </c>
      <c r="T4" s="314" t="s">
        <v>20</v>
      </c>
      <c r="U4" s="222" t="s">
        <v>48</v>
      </c>
      <c r="V4" s="218" t="s">
        <v>71</v>
      </c>
      <c r="W4" s="218" t="s">
        <v>66</v>
      </c>
      <c r="X4" s="218" t="s">
        <v>9</v>
      </c>
      <c r="Y4" s="218" t="s">
        <v>10</v>
      </c>
      <c r="Z4" s="218" t="s">
        <v>11</v>
      </c>
      <c r="AA4" s="218" t="s">
        <v>12</v>
      </c>
      <c r="AB4" s="218" t="s">
        <v>13</v>
      </c>
      <c r="AC4" s="218" t="s">
        <v>14</v>
      </c>
      <c r="AD4" s="218" t="s">
        <v>15</v>
      </c>
      <c r="AE4" s="218" t="s">
        <v>16</v>
      </c>
      <c r="AF4" s="218" t="s">
        <v>164</v>
      </c>
      <c r="AG4" s="129" t="s">
        <v>102</v>
      </c>
      <c r="AH4" s="232" t="s">
        <v>18</v>
      </c>
      <c r="AI4" s="232" t="s">
        <v>19</v>
      </c>
      <c r="AJ4" s="232" t="s">
        <v>20</v>
      </c>
      <c r="AK4" s="224" t="s">
        <v>48</v>
      </c>
      <c r="AL4" s="224" t="s">
        <v>71</v>
      </c>
      <c r="AM4" s="224" t="s">
        <v>66</v>
      </c>
      <c r="AN4" s="224" t="s">
        <v>9</v>
      </c>
      <c r="AO4" s="224" t="s">
        <v>10</v>
      </c>
      <c r="AP4" s="224" t="s">
        <v>11</v>
      </c>
      <c r="AQ4" s="224" t="s">
        <v>12</v>
      </c>
      <c r="AR4" s="224" t="s">
        <v>13</v>
      </c>
      <c r="AS4" s="224" t="s">
        <v>14</v>
      </c>
      <c r="AT4" s="224" t="s">
        <v>124</v>
      </c>
      <c r="AU4" s="224" t="s">
        <v>16</v>
      </c>
      <c r="AV4" s="224" t="s">
        <v>116</v>
      </c>
      <c r="AW4" s="224" t="s">
        <v>102</v>
      </c>
      <c r="AX4" s="124" t="s">
        <v>21</v>
      </c>
      <c r="AY4" s="125" t="s">
        <v>22</v>
      </c>
      <c r="AZ4" s="125" t="s">
        <v>20</v>
      </c>
      <c r="BA4" s="225" t="s">
        <v>48</v>
      </c>
      <c r="BB4" s="225" t="s">
        <v>71</v>
      </c>
      <c r="BC4" s="225" t="s">
        <v>142</v>
      </c>
      <c r="BD4" s="225" t="s">
        <v>9</v>
      </c>
      <c r="BE4" s="225" t="s">
        <v>143</v>
      </c>
      <c r="BF4" s="225" t="s">
        <v>144</v>
      </c>
      <c r="BG4" s="225" t="s">
        <v>145</v>
      </c>
      <c r="BH4" s="225" t="s">
        <v>67</v>
      </c>
      <c r="BI4" s="225" t="s">
        <v>116</v>
      </c>
      <c r="BJ4" s="225" t="s">
        <v>120</v>
      </c>
      <c r="BK4" s="225" t="s">
        <v>16</v>
      </c>
      <c r="BL4" s="225" t="s">
        <v>116</v>
      </c>
      <c r="BM4" s="225" t="s">
        <v>103</v>
      </c>
      <c r="BN4" s="102" t="s">
        <v>23</v>
      </c>
      <c r="BO4" s="97" t="s">
        <v>71</v>
      </c>
      <c r="BP4" s="97" t="s">
        <v>66</v>
      </c>
      <c r="BQ4" s="97" t="s">
        <v>9</v>
      </c>
      <c r="BR4" s="97" t="s">
        <v>10</v>
      </c>
      <c r="BS4" s="97" t="s">
        <v>11</v>
      </c>
      <c r="BT4" s="97" t="s">
        <v>124</v>
      </c>
      <c r="BU4" s="97" t="s">
        <v>13</v>
      </c>
      <c r="BV4" s="97" t="s">
        <v>14</v>
      </c>
      <c r="BW4" s="97" t="s">
        <v>15</v>
      </c>
      <c r="BX4" s="97" t="s">
        <v>16</v>
      </c>
      <c r="BY4" s="97" t="s">
        <v>124</v>
      </c>
      <c r="BZ4" s="97" t="s">
        <v>103</v>
      </c>
      <c r="CA4" s="130" t="s">
        <v>43</v>
      </c>
      <c r="CB4" s="105" t="s">
        <v>45</v>
      </c>
      <c r="CC4" s="106" t="s">
        <v>38</v>
      </c>
      <c r="CD4" s="107" t="s">
        <v>39</v>
      </c>
      <c r="CE4" s="107" t="s">
        <v>40</v>
      </c>
      <c r="CF4" s="107" t="s">
        <v>60</v>
      </c>
      <c r="CG4" s="108" t="s">
        <v>41</v>
      </c>
      <c r="CH4" s="108" t="s">
        <v>62</v>
      </c>
      <c r="CI4" s="109" t="s">
        <v>105</v>
      </c>
      <c r="CJ4" s="52"/>
      <c r="CK4" s="110" t="s">
        <v>28</v>
      </c>
      <c r="CL4" s="12"/>
      <c r="CM4" s="111" t="e">
        <f>+#REF!</f>
        <v>#REF!</v>
      </c>
      <c r="CN4" s="12"/>
      <c r="CO4" s="12"/>
      <c r="CP4" s="17"/>
      <c r="CQ4" s="52"/>
      <c r="CR4" s="42" t="s">
        <v>51</v>
      </c>
      <c r="CS4" s="191" t="s">
        <v>86</v>
      </c>
      <c r="CT4" s="43" t="s">
        <v>81</v>
      </c>
      <c r="CU4" s="43" t="s">
        <v>103</v>
      </c>
      <c r="CV4" s="43" t="s">
        <v>112</v>
      </c>
      <c r="CW4" s="43" t="s">
        <v>117</v>
      </c>
      <c r="CX4" s="43" t="s">
        <v>27</v>
      </c>
      <c r="CY4" s="43" t="s">
        <v>83</v>
      </c>
      <c r="CZ4" s="43" t="s">
        <v>85</v>
      </c>
      <c r="DA4" s="43" t="s">
        <v>89</v>
      </c>
      <c r="DB4" s="43" t="s">
        <v>78</v>
      </c>
      <c r="DC4" s="43" t="s">
        <v>87</v>
      </c>
      <c r="DD4" s="290" t="s">
        <v>106</v>
      </c>
    </row>
    <row r="5" spans="1:108" ht="15.75" x14ac:dyDescent="0.25">
      <c r="A5" s="50" t="str">
        <f>+'[1]SEMANA DEL 13 AL 20 '!A5</f>
        <v xml:space="preserve">ALCIDES CORREA </v>
      </c>
      <c r="B5" s="190">
        <v>0</v>
      </c>
      <c r="C5" s="190">
        <v>0</v>
      </c>
      <c r="D5" s="190">
        <v>0</v>
      </c>
      <c r="E5" s="190">
        <v>0</v>
      </c>
      <c r="F5" s="260">
        <v>0</v>
      </c>
      <c r="G5" s="260">
        <v>0</v>
      </c>
      <c r="H5" s="260">
        <v>0</v>
      </c>
      <c r="I5" s="260">
        <v>0</v>
      </c>
      <c r="J5" s="260">
        <v>0</v>
      </c>
      <c r="K5" s="260">
        <v>0</v>
      </c>
      <c r="L5" s="260">
        <v>0</v>
      </c>
      <c r="M5" s="260">
        <v>0</v>
      </c>
      <c r="N5" s="260">
        <v>0</v>
      </c>
      <c r="O5" s="260">
        <v>0</v>
      </c>
      <c r="P5" s="260">
        <v>0</v>
      </c>
      <c r="Q5" s="260">
        <v>0</v>
      </c>
      <c r="R5" s="289">
        <v>10</v>
      </c>
      <c r="S5" s="289">
        <v>18</v>
      </c>
      <c r="T5" s="289">
        <v>70</v>
      </c>
      <c r="U5" s="289">
        <v>8</v>
      </c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>
        <v>10</v>
      </c>
      <c r="AI5" s="289">
        <v>18</v>
      </c>
      <c r="AJ5" s="289">
        <v>70</v>
      </c>
      <c r="AK5" s="289">
        <v>8</v>
      </c>
      <c r="AL5" s="289"/>
      <c r="AM5" s="289"/>
      <c r="AN5" s="289"/>
      <c r="AO5" s="289"/>
      <c r="AP5" s="289"/>
      <c r="AQ5" s="289"/>
      <c r="AR5" s="289"/>
      <c r="AS5" s="289"/>
      <c r="AT5" s="289"/>
      <c r="AU5" s="289"/>
      <c r="AV5" s="289"/>
      <c r="AW5" s="289"/>
      <c r="AX5" s="287">
        <f t="shared" ref="AX5:BH5" si="0">B5+R5-AH5</f>
        <v>0</v>
      </c>
      <c r="AY5" s="113">
        <f t="shared" si="0"/>
        <v>0</v>
      </c>
      <c r="AZ5" s="113">
        <f t="shared" si="0"/>
        <v>0</v>
      </c>
      <c r="BA5" s="113">
        <f t="shared" si="0"/>
        <v>0</v>
      </c>
      <c r="BB5" s="287">
        <f t="shared" si="0"/>
        <v>0</v>
      </c>
      <c r="BC5" s="113">
        <f t="shared" si="0"/>
        <v>0</v>
      </c>
      <c r="BD5" s="113">
        <f t="shared" si="0"/>
        <v>0</v>
      </c>
      <c r="BE5" s="113">
        <f t="shared" si="0"/>
        <v>0</v>
      </c>
      <c r="BF5" s="113">
        <f t="shared" si="0"/>
        <v>0</v>
      </c>
      <c r="BG5" s="113">
        <f t="shared" si="0"/>
        <v>0</v>
      </c>
      <c r="BH5" s="113">
        <f t="shared" si="0"/>
        <v>0</v>
      </c>
      <c r="BI5" s="113">
        <f>+P5+AF5-AV5</f>
        <v>0</v>
      </c>
      <c r="BJ5" s="113">
        <f>N5+AD5-AT5</f>
        <v>0</v>
      </c>
      <c r="BK5" s="113">
        <f>O5+AE5-AU5</f>
        <v>0</v>
      </c>
      <c r="BL5" s="288">
        <f>P5+AF5-AV5</f>
        <v>0</v>
      </c>
      <c r="BM5" s="288">
        <f>Q5+AG5-AW5</f>
        <v>0</v>
      </c>
      <c r="BN5" s="190">
        <v>10000</v>
      </c>
      <c r="BO5" s="258">
        <f>+AL5*2500</f>
        <v>0</v>
      </c>
      <c r="BP5" s="71">
        <f>+AM5*60000</f>
        <v>0</v>
      </c>
      <c r="BQ5" s="112">
        <f>+AN5*3000</f>
        <v>0</v>
      </c>
      <c r="BR5" s="112">
        <f>+AO5*6000</f>
        <v>0</v>
      </c>
      <c r="BS5" s="112">
        <f>+AP5*8000</f>
        <v>0</v>
      </c>
      <c r="BT5" s="112">
        <f t="shared" ref="BT5:BT44" si="1">+AQ5*8000</f>
        <v>0</v>
      </c>
      <c r="BU5" s="112">
        <f>+AR5*150000</f>
        <v>0</v>
      </c>
      <c r="BV5" s="112">
        <f>+AS5*3000</f>
        <v>0</v>
      </c>
      <c r="BW5" s="112">
        <f>+AT5*25000</f>
        <v>0</v>
      </c>
      <c r="BX5" s="112">
        <f>+AU5*200000</f>
        <v>0</v>
      </c>
      <c r="BY5" s="71">
        <f>+AV5*8000</f>
        <v>0</v>
      </c>
      <c r="BZ5" s="112">
        <f>+AW5*1.5</f>
        <v>0</v>
      </c>
      <c r="CA5" s="159"/>
      <c r="CB5" s="159"/>
      <c r="CC5" s="71">
        <f>+AH5*16</f>
        <v>160</v>
      </c>
      <c r="CD5" s="71">
        <f>+AI5*12+24</f>
        <v>240</v>
      </c>
      <c r="CE5" s="71">
        <f>+AJ5*3</f>
        <v>210</v>
      </c>
      <c r="CF5" s="71">
        <f>+CC5+CD5+CE5</f>
        <v>610</v>
      </c>
      <c r="CG5" s="71">
        <f>+BN5*75061/1000</f>
        <v>750610</v>
      </c>
      <c r="CH5" s="166">
        <f>+BO5+BP5+BQ5+BR5+BS5+BT5+BU5+BV5+BW5+BX5+BY5+CA5+CB5</f>
        <v>0</v>
      </c>
      <c r="CI5" s="263">
        <f>+CG5-CF5-CH5</f>
        <v>750000</v>
      </c>
      <c r="CJ5" s="52"/>
      <c r="CK5" s="235"/>
      <c r="CL5" s="235"/>
      <c r="CM5" s="236"/>
      <c r="CN5" s="236"/>
      <c r="CO5" s="236"/>
      <c r="CP5" s="237"/>
      <c r="CQ5" s="52"/>
      <c r="CR5" s="167" t="str">
        <f>+A5</f>
        <v xml:space="preserve">ALCIDES CORREA </v>
      </c>
      <c r="CS5" s="168" t="s">
        <v>150</v>
      </c>
      <c r="CT5" s="169">
        <f>+BN5</f>
        <v>10000</v>
      </c>
      <c r="CU5" s="169">
        <f>+AW5</f>
        <v>0</v>
      </c>
      <c r="CV5" s="169"/>
      <c r="CW5" s="169">
        <f>+CV5*230</f>
        <v>0</v>
      </c>
      <c r="CX5" s="307">
        <v>3.6</v>
      </c>
      <c r="CY5" s="307">
        <v>6.7</v>
      </c>
      <c r="CZ5" s="311">
        <f>+CX5*6500+CY5*3500</f>
        <v>46850</v>
      </c>
      <c r="DA5" s="311"/>
      <c r="DB5" s="311">
        <f>+CT5*75</f>
        <v>750000</v>
      </c>
      <c r="DC5" s="311">
        <f>+CI5</f>
        <v>750000</v>
      </c>
      <c r="DD5" s="312">
        <f>+CI5+CZ5+CW5</f>
        <v>796850</v>
      </c>
    </row>
    <row r="6" spans="1:108" ht="15.75" x14ac:dyDescent="0.25">
      <c r="A6" s="50" t="s">
        <v>221</v>
      </c>
      <c r="B6" s="190">
        <v>0.25</v>
      </c>
      <c r="C6" s="190">
        <v>0.45000000000000107</v>
      </c>
      <c r="D6" s="190">
        <v>12.249999999999993</v>
      </c>
      <c r="E6" s="190">
        <v>0</v>
      </c>
      <c r="F6" s="260">
        <v>0</v>
      </c>
      <c r="G6" s="260">
        <v>0</v>
      </c>
      <c r="H6" s="260">
        <v>0</v>
      </c>
      <c r="I6" s="260">
        <v>0</v>
      </c>
      <c r="J6" s="260">
        <v>0</v>
      </c>
      <c r="K6" s="260">
        <v>0</v>
      </c>
      <c r="L6" s="260">
        <v>0</v>
      </c>
      <c r="M6" s="260">
        <v>0</v>
      </c>
      <c r="N6" s="260">
        <v>0</v>
      </c>
      <c r="O6" s="260">
        <v>0</v>
      </c>
      <c r="P6" s="260">
        <v>0</v>
      </c>
      <c r="Q6" s="260">
        <v>0</v>
      </c>
      <c r="R6" s="289">
        <v>5</v>
      </c>
      <c r="S6" s="289">
        <v>9</v>
      </c>
      <c r="T6" s="289">
        <v>35</v>
      </c>
      <c r="U6" s="289">
        <v>4</v>
      </c>
      <c r="V6" s="289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9">
        <v>5</v>
      </c>
      <c r="AI6" s="289">
        <v>9</v>
      </c>
      <c r="AJ6" s="289">
        <v>35</v>
      </c>
      <c r="AK6" s="289">
        <v>4</v>
      </c>
      <c r="AL6" s="289"/>
      <c r="AM6" s="289"/>
      <c r="AN6" s="289"/>
      <c r="AO6" s="289"/>
      <c r="AP6" s="289"/>
      <c r="AQ6" s="289"/>
      <c r="AR6" s="289"/>
      <c r="AS6" s="289"/>
      <c r="AT6" s="289"/>
      <c r="AU6" s="289"/>
      <c r="AV6" s="289"/>
      <c r="AW6" s="289"/>
      <c r="AX6" s="287">
        <f t="shared" ref="AX6:AX44" si="2">B6+R6-AH6</f>
        <v>0.25</v>
      </c>
      <c r="AY6" s="113">
        <f t="shared" ref="AY6:AY44" si="3">C6+S6-AI6</f>
        <v>0.45000000000000107</v>
      </c>
      <c r="AZ6" s="113">
        <f t="shared" ref="AZ6:AZ44" si="4">D6+T6-AJ6</f>
        <v>12.249999999999993</v>
      </c>
      <c r="BA6" s="113">
        <f t="shared" ref="BA6:BA44" si="5">E6+U6-AK6</f>
        <v>0</v>
      </c>
      <c r="BB6" s="287">
        <f t="shared" ref="BB6:BB44" si="6">F6+V6-AL6</f>
        <v>0</v>
      </c>
      <c r="BC6" s="113">
        <f t="shared" ref="BC6:BC44" si="7">G6+W6-AM6</f>
        <v>0</v>
      </c>
      <c r="BD6" s="113">
        <f t="shared" ref="BD6:BD44" si="8">H6+X6-AN6</f>
        <v>0</v>
      </c>
      <c r="BE6" s="113">
        <f t="shared" ref="BE6:BE44" si="9">I6+Y6-AO6</f>
        <v>0</v>
      </c>
      <c r="BF6" s="113">
        <f t="shared" ref="BF6:BF44" si="10">J6+Z6-AP6</f>
        <v>0</v>
      </c>
      <c r="BG6" s="113">
        <f t="shared" ref="BG6:BG44" si="11">K6+AA6-AQ6</f>
        <v>0</v>
      </c>
      <c r="BH6" s="113">
        <f t="shared" ref="BH6:BH44" si="12">L6+AB6-AR6</f>
        <v>0</v>
      </c>
      <c r="BI6" s="113">
        <f t="shared" ref="BI6:BI44" si="13">+P6+AF6-AV6</f>
        <v>0</v>
      </c>
      <c r="BJ6" s="113">
        <f t="shared" ref="BJ6:BJ44" si="14">N6+AD6-AT6</f>
        <v>0</v>
      </c>
      <c r="BK6" s="113">
        <f t="shared" ref="BK6:BK44" si="15">O6+AE6-AU6</f>
        <v>0</v>
      </c>
      <c r="BL6" s="288">
        <f t="shared" ref="BL6:BL44" si="16">P6+AF6-AV6</f>
        <v>0</v>
      </c>
      <c r="BM6" s="288">
        <f t="shared" ref="BM6:BM44" si="17">Q6+AG6-AW6</f>
        <v>0</v>
      </c>
      <c r="BN6" s="190">
        <v>5000</v>
      </c>
      <c r="BO6" s="258">
        <f t="shared" ref="BO6:BO44" si="18">+AL6*2500</f>
        <v>0</v>
      </c>
      <c r="BP6" s="71">
        <f t="shared" ref="BP6:BP44" si="19">+AM6*60000</f>
        <v>0</v>
      </c>
      <c r="BQ6" s="112">
        <f t="shared" ref="BQ6:BQ44" si="20">+AN6*3000</f>
        <v>0</v>
      </c>
      <c r="BR6" s="112">
        <f t="shared" ref="BR6:BR44" si="21">+AO6*6000</f>
        <v>0</v>
      </c>
      <c r="BS6" s="112">
        <f t="shared" ref="BS6:BS44" si="22">+AP6*8000</f>
        <v>0</v>
      </c>
      <c r="BT6" s="112">
        <f t="shared" si="1"/>
        <v>0</v>
      </c>
      <c r="BU6" s="112">
        <f t="shared" ref="BU6:BU44" si="23">+AR6*150000</f>
        <v>0</v>
      </c>
      <c r="BV6" s="112">
        <f t="shared" ref="BV6:BV44" si="24">+AS6*3000</f>
        <v>0</v>
      </c>
      <c r="BW6" s="112">
        <f t="shared" ref="BW6:BW44" si="25">+AT6*25000</f>
        <v>0</v>
      </c>
      <c r="BX6" s="112">
        <f t="shared" ref="BX6:BX44" si="26">+AU6*200000</f>
        <v>0</v>
      </c>
      <c r="BY6" s="71">
        <f t="shared" ref="BY6:BY44" si="27">+AV6*8000</f>
        <v>0</v>
      </c>
      <c r="BZ6" s="112">
        <f t="shared" ref="BZ6:BZ44" si="28">+AW6*1.5</f>
        <v>0</v>
      </c>
      <c r="CA6" s="159"/>
      <c r="CB6" s="159"/>
      <c r="CC6" s="71">
        <f t="shared" ref="CC6:CC44" si="29">+AH6*16</f>
        <v>80</v>
      </c>
      <c r="CD6" s="71">
        <f>+AI6*12+12</f>
        <v>120</v>
      </c>
      <c r="CE6" s="71">
        <f t="shared" ref="CE6:CE44" si="30">+AJ6*3</f>
        <v>105</v>
      </c>
      <c r="CF6" s="71">
        <f t="shared" ref="CF6:CF44" si="31">+CC6+CD6+CE6</f>
        <v>305</v>
      </c>
      <c r="CG6" s="71">
        <f t="shared" ref="CG6:CG44" si="32">+BN6*75061/1000</f>
        <v>375305</v>
      </c>
      <c r="CH6" s="166">
        <f t="shared" ref="CH6:CH44" si="33">+BO6+BP6+BQ6+BR6+BS6+BT6+BU6+BV6+BW6+BX6+BY6+CA6+CB6</f>
        <v>0</v>
      </c>
      <c r="CI6" s="263">
        <f t="shared" ref="CI6:CI44" si="34">+CG6-CF6-CH6</f>
        <v>375000</v>
      </c>
      <c r="CJ6" s="52"/>
      <c r="CK6" s="235"/>
      <c r="CL6" s="235"/>
      <c r="CM6" s="236"/>
      <c r="CN6" s="236"/>
      <c r="CO6" s="236"/>
      <c r="CP6" s="237"/>
      <c r="CQ6" s="52"/>
      <c r="CR6" s="167" t="str">
        <f>+A6</f>
        <v xml:space="preserve">ALBA SANABRIA </v>
      </c>
      <c r="CS6" s="168" t="s">
        <v>230</v>
      </c>
      <c r="CT6" s="169">
        <f>+BN6</f>
        <v>5000</v>
      </c>
      <c r="CU6" s="169">
        <f>+AW6</f>
        <v>0</v>
      </c>
      <c r="CV6" s="169">
        <v>300</v>
      </c>
      <c r="CW6" s="169">
        <f>+CV6*230</f>
        <v>69000</v>
      </c>
      <c r="CX6" s="307">
        <v>4.5</v>
      </c>
      <c r="CY6" s="307">
        <v>2.7</v>
      </c>
      <c r="CZ6" s="311">
        <f>+CX6*6500+CY6*3500</f>
        <v>38700</v>
      </c>
      <c r="DA6" s="311"/>
      <c r="DB6" s="311">
        <f>+CT6*75</f>
        <v>375000</v>
      </c>
      <c r="DC6" s="311">
        <f>+CI6</f>
        <v>375000</v>
      </c>
      <c r="DD6" s="312">
        <f>+CI6+CZ6+CW6</f>
        <v>482700</v>
      </c>
    </row>
    <row r="7" spans="1:108" ht="15.75" x14ac:dyDescent="0.25">
      <c r="A7" s="50" t="str">
        <f>+'[1]SEMANA DEL 13 AL 20 '!A6</f>
        <v xml:space="preserve">BLANCA ALVARADO </v>
      </c>
      <c r="B7" s="190">
        <v>0</v>
      </c>
      <c r="C7" s="190">
        <v>0</v>
      </c>
      <c r="D7" s="190">
        <v>0</v>
      </c>
      <c r="E7" s="190">
        <v>0</v>
      </c>
      <c r="F7" s="260">
        <v>0</v>
      </c>
      <c r="G7" s="260">
        <v>0</v>
      </c>
      <c r="H7" s="260">
        <v>0</v>
      </c>
      <c r="I7" s="260">
        <v>0</v>
      </c>
      <c r="J7" s="260">
        <v>0</v>
      </c>
      <c r="K7" s="260">
        <v>0</v>
      </c>
      <c r="L7" s="260">
        <v>0</v>
      </c>
      <c r="M7" s="260">
        <v>0</v>
      </c>
      <c r="N7" s="260">
        <v>0</v>
      </c>
      <c r="O7" s="260">
        <v>0</v>
      </c>
      <c r="P7" s="260">
        <v>0</v>
      </c>
      <c r="Q7" s="260">
        <v>0</v>
      </c>
      <c r="R7" s="289">
        <v>0</v>
      </c>
      <c r="S7" s="289">
        <v>0</v>
      </c>
      <c r="T7" s="289">
        <v>0</v>
      </c>
      <c r="U7" s="289">
        <v>0</v>
      </c>
      <c r="V7" s="289"/>
      <c r="W7" s="289"/>
      <c r="X7" s="289"/>
      <c r="Y7" s="289"/>
      <c r="Z7" s="289"/>
      <c r="AA7" s="289"/>
      <c r="AB7" s="289"/>
      <c r="AC7" s="289"/>
      <c r="AD7" s="289"/>
      <c r="AE7" s="289"/>
      <c r="AF7" s="289"/>
      <c r="AG7" s="289"/>
      <c r="AH7" s="289">
        <v>0</v>
      </c>
      <c r="AI7" s="289">
        <v>0</v>
      </c>
      <c r="AJ7" s="289">
        <v>0</v>
      </c>
      <c r="AK7" s="289">
        <v>0</v>
      </c>
      <c r="AL7" s="289"/>
      <c r="AM7" s="289"/>
      <c r="AN7" s="289"/>
      <c r="AO7" s="289"/>
      <c r="AP7" s="289"/>
      <c r="AQ7" s="289"/>
      <c r="AR7" s="289"/>
      <c r="AS7" s="289"/>
      <c r="AT7" s="289"/>
      <c r="AU7" s="289"/>
      <c r="AV7" s="289"/>
      <c r="AW7" s="289"/>
      <c r="AX7" s="287">
        <f t="shared" si="2"/>
        <v>0</v>
      </c>
      <c r="AY7" s="113">
        <f t="shared" si="3"/>
        <v>0</v>
      </c>
      <c r="AZ7" s="113">
        <f t="shared" si="4"/>
        <v>0</v>
      </c>
      <c r="BA7" s="113">
        <f t="shared" si="5"/>
        <v>0</v>
      </c>
      <c r="BB7" s="287">
        <f t="shared" si="6"/>
        <v>0</v>
      </c>
      <c r="BC7" s="113">
        <f t="shared" si="7"/>
        <v>0</v>
      </c>
      <c r="BD7" s="113">
        <f t="shared" si="8"/>
        <v>0</v>
      </c>
      <c r="BE7" s="113">
        <f t="shared" si="9"/>
        <v>0</v>
      </c>
      <c r="BF7" s="113">
        <f t="shared" si="10"/>
        <v>0</v>
      </c>
      <c r="BG7" s="113">
        <f t="shared" si="11"/>
        <v>0</v>
      </c>
      <c r="BH7" s="113">
        <f t="shared" si="12"/>
        <v>0</v>
      </c>
      <c r="BI7" s="113">
        <f t="shared" si="13"/>
        <v>0</v>
      </c>
      <c r="BJ7" s="113">
        <f t="shared" si="14"/>
        <v>0</v>
      </c>
      <c r="BK7" s="113">
        <f t="shared" si="15"/>
        <v>0</v>
      </c>
      <c r="BL7" s="288">
        <f t="shared" si="16"/>
        <v>0</v>
      </c>
      <c r="BM7" s="288">
        <f t="shared" si="17"/>
        <v>0</v>
      </c>
      <c r="BN7" s="190">
        <v>0</v>
      </c>
      <c r="BO7" s="258">
        <f t="shared" si="18"/>
        <v>0</v>
      </c>
      <c r="BP7" s="71">
        <f t="shared" si="19"/>
        <v>0</v>
      </c>
      <c r="BQ7" s="112">
        <f t="shared" si="20"/>
        <v>0</v>
      </c>
      <c r="BR7" s="112">
        <f t="shared" si="21"/>
        <v>0</v>
      </c>
      <c r="BS7" s="112">
        <f t="shared" si="22"/>
        <v>0</v>
      </c>
      <c r="BT7" s="112">
        <f t="shared" si="1"/>
        <v>0</v>
      </c>
      <c r="BU7" s="112">
        <f t="shared" si="23"/>
        <v>0</v>
      </c>
      <c r="BV7" s="112">
        <f t="shared" si="24"/>
        <v>0</v>
      </c>
      <c r="BW7" s="112">
        <f t="shared" si="25"/>
        <v>0</v>
      </c>
      <c r="BX7" s="112">
        <f t="shared" si="26"/>
        <v>0</v>
      </c>
      <c r="BY7" s="71">
        <f t="shared" si="27"/>
        <v>0</v>
      </c>
      <c r="BZ7" s="112">
        <f t="shared" si="28"/>
        <v>0</v>
      </c>
      <c r="CA7" s="159"/>
      <c r="CB7" s="159"/>
      <c r="CC7" s="71">
        <f t="shared" si="29"/>
        <v>0</v>
      </c>
      <c r="CD7" s="71">
        <f t="shared" ref="CD7:CD44" si="35">+AI7*12</f>
        <v>0</v>
      </c>
      <c r="CE7" s="71">
        <f t="shared" si="30"/>
        <v>0</v>
      </c>
      <c r="CF7" s="71">
        <f t="shared" si="31"/>
        <v>0</v>
      </c>
      <c r="CG7" s="71">
        <f t="shared" si="32"/>
        <v>0</v>
      </c>
      <c r="CH7" s="166">
        <f t="shared" si="33"/>
        <v>0</v>
      </c>
      <c r="CI7" s="263">
        <f t="shared" si="34"/>
        <v>0</v>
      </c>
      <c r="CJ7" s="52"/>
      <c r="CK7" s="78" t="s">
        <v>19</v>
      </c>
      <c r="CL7" s="245" t="e">
        <f>+#REF!</f>
        <v>#REF!</v>
      </c>
      <c r="CM7" s="245" t="e">
        <f>+#REF!</f>
        <v>#REF!</v>
      </c>
      <c r="CN7" s="246" t="e">
        <f>+CL7+CM7</f>
        <v>#REF!</v>
      </c>
      <c r="CO7" s="246" t="e">
        <f>+#REF!</f>
        <v>#REF!</v>
      </c>
      <c r="CP7" s="244" t="e">
        <f>CN7-CO7</f>
        <v>#REF!</v>
      </c>
      <c r="CQ7" s="52"/>
      <c r="CR7" s="167" t="str">
        <f>+A7</f>
        <v xml:space="preserve">BLANCA ALVARADO </v>
      </c>
      <c r="CS7" s="168" t="s">
        <v>130</v>
      </c>
      <c r="CT7" s="169">
        <f t="shared" ref="CT7:CT43" si="36">+BN7</f>
        <v>0</v>
      </c>
      <c r="CU7" s="169">
        <f t="shared" ref="CU7:CU43" si="37">+AW7</f>
        <v>0</v>
      </c>
      <c r="CV7" s="169"/>
      <c r="CW7" s="169">
        <f t="shared" ref="CW7:CW44" si="38">+CV7*230</f>
        <v>0</v>
      </c>
      <c r="CX7" s="307">
        <v>0</v>
      </c>
      <c r="CY7" s="307">
        <v>0</v>
      </c>
      <c r="CZ7" s="311">
        <f t="shared" ref="CZ7:CZ43" si="39">+CX7*6500+CY7*3500</f>
        <v>0</v>
      </c>
      <c r="DA7" s="311"/>
      <c r="DB7" s="311">
        <f t="shared" ref="DB7:DB43" si="40">+CT7*75</f>
        <v>0</v>
      </c>
      <c r="DC7" s="311">
        <f t="shared" ref="DC7:DC43" si="41">+CI7</f>
        <v>0</v>
      </c>
      <c r="DD7" s="312">
        <f t="shared" ref="DD7:DD43" si="42">+CI7+CZ7+CW7</f>
        <v>0</v>
      </c>
    </row>
    <row r="8" spans="1:108" ht="15.75" x14ac:dyDescent="0.25">
      <c r="A8" s="50" t="str">
        <f>+'[1]SEMANA DEL 13 AL 20 '!A7</f>
        <v>ESPERANZA REY</v>
      </c>
      <c r="B8" s="190">
        <v>0</v>
      </c>
      <c r="C8" s="190">
        <v>0</v>
      </c>
      <c r="D8" s="190">
        <v>0</v>
      </c>
      <c r="E8" s="190">
        <v>0</v>
      </c>
      <c r="F8" s="260">
        <v>0</v>
      </c>
      <c r="G8" s="260">
        <v>0</v>
      </c>
      <c r="H8" s="260">
        <v>0</v>
      </c>
      <c r="I8" s="260">
        <v>0</v>
      </c>
      <c r="J8" s="260">
        <v>0</v>
      </c>
      <c r="K8" s="260">
        <v>0</v>
      </c>
      <c r="L8" s="260">
        <v>0</v>
      </c>
      <c r="M8" s="260">
        <v>0</v>
      </c>
      <c r="N8" s="260">
        <v>0</v>
      </c>
      <c r="O8" s="260">
        <v>0</v>
      </c>
      <c r="P8" s="260">
        <v>0</v>
      </c>
      <c r="Q8" s="260">
        <v>0</v>
      </c>
      <c r="R8" s="289">
        <v>3</v>
      </c>
      <c r="S8" s="289">
        <v>5.4</v>
      </c>
      <c r="T8" s="289">
        <v>21</v>
      </c>
      <c r="U8" s="289">
        <v>3</v>
      </c>
      <c r="V8" s="289"/>
      <c r="W8" s="289"/>
      <c r="X8" s="289"/>
      <c r="Y8" s="289"/>
      <c r="Z8" s="289"/>
      <c r="AA8" s="289"/>
      <c r="AB8" s="289"/>
      <c r="AC8" s="289"/>
      <c r="AD8" s="289"/>
      <c r="AE8" s="289"/>
      <c r="AF8" s="289"/>
      <c r="AG8" s="289"/>
      <c r="AH8" s="289">
        <v>0</v>
      </c>
      <c r="AI8" s="289">
        <v>0</v>
      </c>
      <c r="AJ8" s="289">
        <v>0</v>
      </c>
      <c r="AK8" s="289">
        <v>0</v>
      </c>
      <c r="AL8" s="289"/>
      <c r="AM8" s="289"/>
      <c r="AN8" s="289"/>
      <c r="AO8" s="289"/>
      <c r="AP8" s="289"/>
      <c r="AQ8" s="289"/>
      <c r="AR8" s="289"/>
      <c r="AS8" s="289"/>
      <c r="AT8" s="289"/>
      <c r="AU8" s="289"/>
      <c r="AV8" s="289"/>
      <c r="AW8" s="289"/>
      <c r="AX8" s="287">
        <f t="shared" si="2"/>
        <v>3</v>
      </c>
      <c r="AY8" s="113">
        <f t="shared" si="3"/>
        <v>5.4</v>
      </c>
      <c r="AZ8" s="113">
        <f t="shared" si="4"/>
        <v>21</v>
      </c>
      <c r="BA8" s="113">
        <f t="shared" si="5"/>
        <v>3</v>
      </c>
      <c r="BB8" s="287">
        <f t="shared" si="6"/>
        <v>0</v>
      </c>
      <c r="BC8" s="113">
        <f t="shared" si="7"/>
        <v>0</v>
      </c>
      <c r="BD8" s="113">
        <f t="shared" si="8"/>
        <v>0</v>
      </c>
      <c r="BE8" s="113">
        <f t="shared" si="9"/>
        <v>0</v>
      </c>
      <c r="BF8" s="113">
        <f t="shared" si="10"/>
        <v>0</v>
      </c>
      <c r="BG8" s="113">
        <f t="shared" si="11"/>
        <v>0</v>
      </c>
      <c r="BH8" s="113">
        <f t="shared" si="12"/>
        <v>0</v>
      </c>
      <c r="BI8" s="113">
        <f t="shared" si="13"/>
        <v>0</v>
      </c>
      <c r="BJ8" s="113">
        <f t="shared" si="14"/>
        <v>0</v>
      </c>
      <c r="BK8" s="113">
        <f t="shared" si="15"/>
        <v>0</v>
      </c>
      <c r="BL8" s="288">
        <f t="shared" si="16"/>
        <v>0</v>
      </c>
      <c r="BM8" s="288">
        <f t="shared" si="17"/>
        <v>0</v>
      </c>
      <c r="BN8" s="190">
        <v>0</v>
      </c>
      <c r="BO8" s="258">
        <f t="shared" si="18"/>
        <v>0</v>
      </c>
      <c r="BP8" s="71">
        <f t="shared" si="19"/>
        <v>0</v>
      </c>
      <c r="BQ8" s="112">
        <f t="shared" si="20"/>
        <v>0</v>
      </c>
      <c r="BR8" s="112">
        <f t="shared" si="21"/>
        <v>0</v>
      </c>
      <c r="BS8" s="112">
        <f t="shared" si="22"/>
        <v>0</v>
      </c>
      <c r="BT8" s="112">
        <f t="shared" si="1"/>
        <v>0</v>
      </c>
      <c r="BU8" s="112">
        <f t="shared" si="23"/>
        <v>0</v>
      </c>
      <c r="BV8" s="112">
        <f t="shared" si="24"/>
        <v>0</v>
      </c>
      <c r="BW8" s="112">
        <f t="shared" si="25"/>
        <v>0</v>
      </c>
      <c r="BX8" s="112">
        <f t="shared" si="26"/>
        <v>0</v>
      </c>
      <c r="BY8" s="71">
        <f t="shared" si="27"/>
        <v>0</v>
      </c>
      <c r="BZ8" s="112">
        <f t="shared" si="28"/>
        <v>0</v>
      </c>
      <c r="CA8" s="159"/>
      <c r="CB8" s="159"/>
      <c r="CC8" s="71">
        <f t="shared" si="29"/>
        <v>0</v>
      </c>
      <c r="CD8" s="71">
        <f t="shared" si="35"/>
        <v>0</v>
      </c>
      <c r="CE8" s="71">
        <f t="shared" si="30"/>
        <v>0</v>
      </c>
      <c r="CF8" s="71">
        <f t="shared" si="31"/>
        <v>0</v>
      </c>
      <c r="CG8" s="71">
        <f t="shared" si="32"/>
        <v>0</v>
      </c>
      <c r="CH8" s="166">
        <f t="shared" si="33"/>
        <v>0</v>
      </c>
      <c r="CI8" s="263">
        <f t="shared" si="34"/>
        <v>0</v>
      </c>
      <c r="CJ8" s="52"/>
      <c r="CK8" s="78"/>
      <c r="CL8" s="245"/>
      <c r="CM8" s="245"/>
      <c r="CN8" s="246"/>
      <c r="CO8" s="246"/>
      <c r="CP8" s="244"/>
      <c r="CQ8" s="52"/>
      <c r="CR8" s="167" t="str">
        <f t="shared" ref="CR8:CR46" si="43">+A8</f>
        <v>ESPERANZA REY</v>
      </c>
      <c r="CS8" s="168" t="s">
        <v>170</v>
      </c>
      <c r="CT8" s="169">
        <f>+BN8</f>
        <v>0</v>
      </c>
      <c r="CU8" s="169">
        <f>+AW8</f>
        <v>0</v>
      </c>
      <c r="CV8" s="169"/>
      <c r="CW8" s="169">
        <f t="shared" si="38"/>
        <v>0</v>
      </c>
      <c r="CX8" s="307">
        <v>0</v>
      </c>
      <c r="CY8" s="307">
        <v>0</v>
      </c>
      <c r="CZ8" s="311">
        <f>+CX8*6500+CY8*3500</f>
        <v>0</v>
      </c>
      <c r="DA8" s="311"/>
      <c r="DB8" s="311">
        <f t="shared" si="40"/>
        <v>0</v>
      </c>
      <c r="DC8" s="311">
        <f>+CI8</f>
        <v>0</v>
      </c>
      <c r="DD8" s="312">
        <f>+CI8+CZ8+CW8</f>
        <v>0</v>
      </c>
    </row>
    <row r="9" spans="1:108" ht="15.75" x14ac:dyDescent="0.25">
      <c r="A9" s="50" t="str">
        <f>+'[1]SEMANA DEL 13 AL 20 '!A8</f>
        <v xml:space="preserve">ELIZABETH REYES SERRANO </v>
      </c>
      <c r="B9" s="190">
        <v>0</v>
      </c>
      <c r="C9" s="190">
        <v>0</v>
      </c>
      <c r="D9" s="190">
        <v>0</v>
      </c>
      <c r="E9" s="190">
        <v>0</v>
      </c>
      <c r="F9" s="260">
        <v>0</v>
      </c>
      <c r="G9" s="260">
        <v>0</v>
      </c>
      <c r="H9" s="260">
        <v>0</v>
      </c>
      <c r="I9" s="260">
        <v>0</v>
      </c>
      <c r="J9" s="260">
        <v>0</v>
      </c>
      <c r="K9" s="260">
        <v>0</v>
      </c>
      <c r="L9" s="260">
        <v>0</v>
      </c>
      <c r="M9" s="260">
        <v>0</v>
      </c>
      <c r="N9" s="260">
        <v>0</v>
      </c>
      <c r="O9" s="260">
        <v>0</v>
      </c>
      <c r="P9" s="260">
        <v>0</v>
      </c>
      <c r="Q9" s="260">
        <v>0</v>
      </c>
      <c r="R9" s="289">
        <v>7</v>
      </c>
      <c r="S9" s="289">
        <v>12.6</v>
      </c>
      <c r="T9" s="289">
        <v>49</v>
      </c>
      <c r="U9" s="289">
        <v>6</v>
      </c>
      <c r="V9" s="289"/>
      <c r="W9" s="289"/>
      <c r="X9" s="289"/>
      <c r="Y9" s="289"/>
      <c r="Z9" s="289"/>
      <c r="AA9" s="289"/>
      <c r="AB9" s="289"/>
      <c r="AC9" s="289"/>
      <c r="AD9" s="289"/>
      <c r="AE9" s="289"/>
      <c r="AF9" s="289"/>
      <c r="AG9" s="289"/>
      <c r="AH9" s="289">
        <v>7</v>
      </c>
      <c r="AI9" s="289">
        <v>12.6</v>
      </c>
      <c r="AJ9" s="289">
        <v>49</v>
      </c>
      <c r="AK9" s="289">
        <v>6</v>
      </c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7">
        <f t="shared" si="2"/>
        <v>0</v>
      </c>
      <c r="AY9" s="113">
        <f t="shared" si="3"/>
        <v>0</v>
      </c>
      <c r="AZ9" s="113">
        <f t="shared" si="4"/>
        <v>0</v>
      </c>
      <c r="BA9" s="113">
        <f t="shared" si="5"/>
        <v>0</v>
      </c>
      <c r="BB9" s="287">
        <f t="shared" si="6"/>
        <v>0</v>
      </c>
      <c r="BC9" s="113">
        <f t="shared" si="7"/>
        <v>0</v>
      </c>
      <c r="BD9" s="113">
        <f t="shared" si="8"/>
        <v>0</v>
      </c>
      <c r="BE9" s="113">
        <f t="shared" si="9"/>
        <v>0</v>
      </c>
      <c r="BF9" s="113">
        <f t="shared" si="10"/>
        <v>0</v>
      </c>
      <c r="BG9" s="113">
        <f t="shared" si="11"/>
        <v>0</v>
      </c>
      <c r="BH9" s="113">
        <f t="shared" si="12"/>
        <v>0</v>
      </c>
      <c r="BI9" s="113">
        <f t="shared" si="13"/>
        <v>0</v>
      </c>
      <c r="BJ9" s="113">
        <f t="shared" si="14"/>
        <v>0</v>
      </c>
      <c r="BK9" s="113">
        <f t="shared" si="15"/>
        <v>0</v>
      </c>
      <c r="BL9" s="288">
        <f t="shared" si="16"/>
        <v>0</v>
      </c>
      <c r="BM9" s="288">
        <f t="shared" si="17"/>
        <v>0</v>
      </c>
      <c r="BN9" s="190">
        <v>7000</v>
      </c>
      <c r="BO9" s="258">
        <f t="shared" si="18"/>
        <v>0</v>
      </c>
      <c r="BP9" s="71">
        <f t="shared" si="19"/>
        <v>0</v>
      </c>
      <c r="BQ9" s="112">
        <f t="shared" si="20"/>
        <v>0</v>
      </c>
      <c r="BR9" s="112">
        <f t="shared" si="21"/>
        <v>0</v>
      </c>
      <c r="BS9" s="112">
        <f t="shared" si="22"/>
        <v>0</v>
      </c>
      <c r="BT9" s="112">
        <f t="shared" si="1"/>
        <v>0</v>
      </c>
      <c r="BU9" s="112">
        <f t="shared" si="23"/>
        <v>0</v>
      </c>
      <c r="BV9" s="112">
        <f t="shared" si="24"/>
        <v>0</v>
      </c>
      <c r="BW9" s="112">
        <f t="shared" si="25"/>
        <v>0</v>
      </c>
      <c r="BX9" s="112">
        <f t="shared" si="26"/>
        <v>0</v>
      </c>
      <c r="BY9" s="71">
        <f t="shared" si="27"/>
        <v>0</v>
      </c>
      <c r="BZ9" s="112">
        <f t="shared" si="28"/>
        <v>0</v>
      </c>
      <c r="CA9" s="159">
        <v>50000</v>
      </c>
      <c r="CB9" s="159"/>
      <c r="CC9" s="71">
        <f t="shared" si="29"/>
        <v>112</v>
      </c>
      <c r="CD9" s="71">
        <f>+AI9*12+16.8</f>
        <v>168</v>
      </c>
      <c r="CE9" s="71">
        <f t="shared" si="30"/>
        <v>147</v>
      </c>
      <c r="CF9" s="71">
        <f t="shared" si="31"/>
        <v>427</v>
      </c>
      <c r="CG9" s="71">
        <f t="shared" si="32"/>
        <v>525427</v>
      </c>
      <c r="CH9" s="166">
        <f t="shared" si="33"/>
        <v>50000</v>
      </c>
      <c r="CI9" s="263">
        <f t="shared" si="34"/>
        <v>475000</v>
      </c>
      <c r="CJ9" s="52"/>
      <c r="CK9" s="78"/>
      <c r="CL9" s="245"/>
      <c r="CM9" s="245"/>
      <c r="CN9" s="246"/>
      <c r="CO9" s="246"/>
      <c r="CP9" s="244"/>
      <c r="CQ9" s="52"/>
      <c r="CR9" s="167" t="str">
        <f t="shared" si="43"/>
        <v xml:space="preserve">ELIZABETH REYES SERRANO </v>
      </c>
      <c r="CS9" s="168" t="s">
        <v>160</v>
      </c>
      <c r="CT9" s="169">
        <f>+BN9</f>
        <v>7000</v>
      </c>
      <c r="CU9" s="169">
        <f>+AW9</f>
        <v>0</v>
      </c>
      <c r="CV9" s="169"/>
      <c r="CW9" s="169">
        <f t="shared" si="38"/>
        <v>0</v>
      </c>
      <c r="CX9" s="307">
        <v>3</v>
      </c>
      <c r="CY9" s="307">
        <v>6.2</v>
      </c>
      <c r="CZ9" s="311">
        <f t="shared" si="39"/>
        <v>41200</v>
      </c>
      <c r="DA9" s="311"/>
      <c r="DB9" s="311">
        <f t="shared" si="40"/>
        <v>525000</v>
      </c>
      <c r="DC9" s="311">
        <f t="shared" si="41"/>
        <v>475000</v>
      </c>
      <c r="DD9" s="312">
        <f t="shared" si="42"/>
        <v>516200</v>
      </c>
    </row>
    <row r="10" spans="1:108" ht="15.75" x14ac:dyDescent="0.25">
      <c r="A10" s="50" t="str">
        <f>+'[1]SEMANA DEL 13 AL 20 '!A9</f>
        <v>ELVIRA LOPEZ</v>
      </c>
      <c r="B10" s="190">
        <v>0</v>
      </c>
      <c r="C10" s="190">
        <v>0</v>
      </c>
      <c r="D10" s="190">
        <v>0</v>
      </c>
      <c r="E10" s="19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89">
        <v>12</v>
      </c>
      <c r="S10" s="289">
        <v>21.6</v>
      </c>
      <c r="T10" s="289">
        <v>84</v>
      </c>
      <c r="U10" s="289">
        <v>10</v>
      </c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>
        <v>12</v>
      </c>
      <c r="AI10" s="289">
        <v>21.6</v>
      </c>
      <c r="AJ10" s="289">
        <v>84</v>
      </c>
      <c r="AK10" s="289">
        <v>10</v>
      </c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7">
        <f t="shared" si="2"/>
        <v>0</v>
      </c>
      <c r="AY10" s="113">
        <f t="shared" si="3"/>
        <v>0</v>
      </c>
      <c r="AZ10" s="113">
        <f t="shared" si="4"/>
        <v>0</v>
      </c>
      <c r="BA10" s="113">
        <f t="shared" si="5"/>
        <v>0</v>
      </c>
      <c r="BB10" s="287">
        <f t="shared" si="6"/>
        <v>0</v>
      </c>
      <c r="BC10" s="113">
        <f t="shared" si="7"/>
        <v>0</v>
      </c>
      <c r="BD10" s="113">
        <f t="shared" si="8"/>
        <v>0</v>
      </c>
      <c r="BE10" s="113">
        <f t="shared" si="9"/>
        <v>0</v>
      </c>
      <c r="BF10" s="113">
        <f t="shared" si="10"/>
        <v>0</v>
      </c>
      <c r="BG10" s="113">
        <f t="shared" si="11"/>
        <v>0</v>
      </c>
      <c r="BH10" s="113">
        <f t="shared" si="12"/>
        <v>0</v>
      </c>
      <c r="BI10" s="113">
        <f t="shared" si="13"/>
        <v>0</v>
      </c>
      <c r="BJ10" s="113">
        <f t="shared" si="14"/>
        <v>0</v>
      </c>
      <c r="BK10" s="113">
        <f t="shared" si="15"/>
        <v>0</v>
      </c>
      <c r="BL10" s="288">
        <f t="shared" si="16"/>
        <v>0</v>
      </c>
      <c r="BM10" s="288">
        <f t="shared" si="17"/>
        <v>0</v>
      </c>
      <c r="BN10" s="190">
        <v>12000</v>
      </c>
      <c r="BO10" s="258">
        <f t="shared" si="18"/>
        <v>0</v>
      </c>
      <c r="BP10" s="71">
        <f t="shared" si="19"/>
        <v>0</v>
      </c>
      <c r="BQ10" s="112">
        <f t="shared" si="20"/>
        <v>0</v>
      </c>
      <c r="BR10" s="112">
        <f t="shared" si="21"/>
        <v>0</v>
      </c>
      <c r="BS10" s="112">
        <f t="shared" si="22"/>
        <v>0</v>
      </c>
      <c r="BT10" s="112">
        <f t="shared" si="1"/>
        <v>0</v>
      </c>
      <c r="BU10" s="112">
        <f t="shared" si="23"/>
        <v>0</v>
      </c>
      <c r="BV10" s="112">
        <f t="shared" si="24"/>
        <v>0</v>
      </c>
      <c r="BW10" s="112">
        <f t="shared" si="25"/>
        <v>0</v>
      </c>
      <c r="BX10" s="112">
        <f t="shared" si="26"/>
        <v>0</v>
      </c>
      <c r="BY10" s="71">
        <f t="shared" si="27"/>
        <v>0</v>
      </c>
      <c r="BZ10" s="112">
        <f t="shared" si="28"/>
        <v>0</v>
      </c>
      <c r="CA10" s="159"/>
      <c r="CB10" s="159"/>
      <c r="CC10" s="71">
        <f t="shared" si="29"/>
        <v>192</v>
      </c>
      <c r="CD10" s="71">
        <f>+AI10*12+28.8</f>
        <v>288.00000000000006</v>
      </c>
      <c r="CE10" s="71">
        <f t="shared" si="30"/>
        <v>252</v>
      </c>
      <c r="CF10" s="71">
        <f t="shared" si="31"/>
        <v>732</v>
      </c>
      <c r="CG10" s="71">
        <f t="shared" si="32"/>
        <v>900732</v>
      </c>
      <c r="CH10" s="166">
        <f t="shared" si="33"/>
        <v>0</v>
      </c>
      <c r="CI10" s="263">
        <f t="shared" si="34"/>
        <v>900000</v>
      </c>
      <c r="CJ10" s="52"/>
      <c r="CK10" s="78"/>
      <c r="CL10" s="245"/>
      <c r="CM10" s="245"/>
      <c r="CN10" s="246"/>
      <c r="CO10" s="246"/>
      <c r="CP10" s="244"/>
      <c r="CQ10" s="52"/>
      <c r="CR10" s="167" t="str">
        <f t="shared" si="43"/>
        <v>ELVIRA LOPEZ</v>
      </c>
      <c r="CS10" s="168" t="s">
        <v>131</v>
      </c>
      <c r="CT10" s="169">
        <f>+BN10</f>
        <v>12000</v>
      </c>
      <c r="CU10" s="169">
        <f>+AW10</f>
        <v>0</v>
      </c>
      <c r="CV10" s="169">
        <v>750</v>
      </c>
      <c r="CW10" s="169">
        <f t="shared" si="38"/>
        <v>172500</v>
      </c>
      <c r="CX10" s="307">
        <v>4.3</v>
      </c>
      <c r="CY10" s="307">
        <v>9.8000000000000007</v>
      </c>
      <c r="CZ10" s="311">
        <f t="shared" si="39"/>
        <v>62250</v>
      </c>
      <c r="DA10" s="311"/>
      <c r="DB10" s="311">
        <f t="shared" si="40"/>
        <v>900000</v>
      </c>
      <c r="DC10" s="311">
        <f t="shared" si="41"/>
        <v>900000</v>
      </c>
      <c r="DD10" s="312">
        <f t="shared" si="42"/>
        <v>1134750</v>
      </c>
    </row>
    <row r="11" spans="1:108" ht="15.75" x14ac:dyDescent="0.25">
      <c r="A11" s="50" t="str">
        <f>+'[1]SEMANA DEL 13 AL 20 '!A10</f>
        <v>ERNESTO REYES</v>
      </c>
      <c r="B11" s="190">
        <v>0.20000000000000018</v>
      </c>
      <c r="C11" s="190">
        <v>0.36000000000000121</v>
      </c>
      <c r="D11" s="190">
        <v>1.3999999999999986</v>
      </c>
      <c r="E11" s="190">
        <v>0</v>
      </c>
      <c r="F11" s="260">
        <v>0</v>
      </c>
      <c r="G11" s="260">
        <v>0</v>
      </c>
      <c r="H11" s="260">
        <v>0</v>
      </c>
      <c r="I11" s="260">
        <v>0</v>
      </c>
      <c r="J11" s="260">
        <v>0</v>
      </c>
      <c r="K11" s="260">
        <v>0</v>
      </c>
      <c r="L11" s="260">
        <v>0</v>
      </c>
      <c r="M11" s="260">
        <v>0</v>
      </c>
      <c r="N11" s="260">
        <v>0</v>
      </c>
      <c r="O11" s="260">
        <v>0</v>
      </c>
      <c r="P11" s="260">
        <v>0</v>
      </c>
      <c r="Q11" s="260">
        <v>0</v>
      </c>
      <c r="R11" s="289">
        <v>3</v>
      </c>
      <c r="S11" s="289">
        <v>5.4</v>
      </c>
      <c r="T11" s="289">
        <v>21</v>
      </c>
      <c r="U11" s="289">
        <v>3</v>
      </c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89">
        <v>3</v>
      </c>
      <c r="AI11" s="289">
        <v>5.4</v>
      </c>
      <c r="AJ11" s="289">
        <v>21</v>
      </c>
      <c r="AK11" s="289">
        <v>3</v>
      </c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7">
        <f t="shared" si="2"/>
        <v>0.20000000000000018</v>
      </c>
      <c r="AY11" s="113">
        <f t="shared" si="3"/>
        <v>0.36000000000000121</v>
      </c>
      <c r="AZ11" s="113">
        <f t="shared" si="4"/>
        <v>1.3999999999999986</v>
      </c>
      <c r="BA11" s="113">
        <f t="shared" si="5"/>
        <v>0</v>
      </c>
      <c r="BB11" s="287">
        <f t="shared" si="6"/>
        <v>0</v>
      </c>
      <c r="BC11" s="113">
        <f t="shared" si="7"/>
        <v>0</v>
      </c>
      <c r="BD11" s="113">
        <f t="shared" si="8"/>
        <v>0</v>
      </c>
      <c r="BE11" s="113">
        <f t="shared" si="9"/>
        <v>0</v>
      </c>
      <c r="BF11" s="113">
        <f t="shared" si="10"/>
        <v>0</v>
      </c>
      <c r="BG11" s="113">
        <f t="shared" si="11"/>
        <v>0</v>
      </c>
      <c r="BH11" s="113">
        <f t="shared" si="12"/>
        <v>0</v>
      </c>
      <c r="BI11" s="113">
        <f t="shared" si="13"/>
        <v>0</v>
      </c>
      <c r="BJ11" s="113">
        <f t="shared" si="14"/>
        <v>0</v>
      </c>
      <c r="BK11" s="113">
        <f t="shared" si="15"/>
        <v>0</v>
      </c>
      <c r="BL11" s="288">
        <f t="shared" si="16"/>
        <v>0</v>
      </c>
      <c r="BM11" s="288">
        <f t="shared" si="17"/>
        <v>0</v>
      </c>
      <c r="BN11" s="190">
        <v>3000</v>
      </c>
      <c r="BO11" s="258">
        <f t="shared" si="18"/>
        <v>0</v>
      </c>
      <c r="BP11" s="71">
        <f t="shared" si="19"/>
        <v>0</v>
      </c>
      <c r="BQ11" s="112">
        <f t="shared" si="20"/>
        <v>0</v>
      </c>
      <c r="BR11" s="112">
        <f t="shared" si="21"/>
        <v>0</v>
      </c>
      <c r="BS11" s="112">
        <f t="shared" si="22"/>
        <v>0</v>
      </c>
      <c r="BT11" s="112">
        <f t="shared" si="1"/>
        <v>0</v>
      </c>
      <c r="BU11" s="112">
        <f t="shared" si="23"/>
        <v>0</v>
      </c>
      <c r="BV11" s="112">
        <f t="shared" si="24"/>
        <v>0</v>
      </c>
      <c r="BW11" s="112">
        <f t="shared" si="25"/>
        <v>0</v>
      </c>
      <c r="BX11" s="112">
        <f t="shared" si="26"/>
        <v>0</v>
      </c>
      <c r="BY11" s="71">
        <f t="shared" si="27"/>
        <v>0</v>
      </c>
      <c r="BZ11" s="112">
        <f t="shared" si="28"/>
        <v>0</v>
      </c>
      <c r="CA11" s="159"/>
      <c r="CB11" s="159"/>
      <c r="CC11" s="71">
        <f t="shared" si="29"/>
        <v>48</v>
      </c>
      <c r="CD11" s="71">
        <f>+AI11*12+7.2</f>
        <v>72.000000000000014</v>
      </c>
      <c r="CE11" s="71">
        <f t="shared" si="30"/>
        <v>63</v>
      </c>
      <c r="CF11" s="71">
        <f t="shared" si="31"/>
        <v>183</v>
      </c>
      <c r="CG11" s="71">
        <f t="shared" si="32"/>
        <v>225183</v>
      </c>
      <c r="CH11" s="166">
        <f t="shared" si="33"/>
        <v>0</v>
      </c>
      <c r="CI11" s="263">
        <f t="shared" si="34"/>
        <v>225000</v>
      </c>
      <c r="CJ11" s="52"/>
      <c r="CK11" s="78"/>
      <c r="CL11" s="245"/>
      <c r="CM11" s="245"/>
      <c r="CN11" s="246"/>
      <c r="CO11" s="246"/>
      <c r="CP11" s="244"/>
      <c r="CQ11" s="52"/>
      <c r="CR11" s="167" t="str">
        <f t="shared" si="43"/>
        <v>ERNESTO REYES</v>
      </c>
      <c r="CS11" s="168" t="s">
        <v>132</v>
      </c>
      <c r="CT11" s="169">
        <f t="shared" si="36"/>
        <v>3000</v>
      </c>
      <c r="CU11" s="169">
        <f t="shared" si="37"/>
        <v>0</v>
      </c>
      <c r="CV11" s="169"/>
      <c r="CW11" s="169">
        <f t="shared" si="38"/>
        <v>0</v>
      </c>
      <c r="CX11" s="307">
        <v>2.2999999999999998</v>
      </c>
      <c r="CY11" s="307">
        <v>2.9</v>
      </c>
      <c r="CZ11" s="311">
        <f t="shared" si="39"/>
        <v>25100</v>
      </c>
      <c r="DA11" s="311"/>
      <c r="DB11" s="311">
        <f t="shared" si="40"/>
        <v>225000</v>
      </c>
      <c r="DC11" s="311">
        <f t="shared" si="41"/>
        <v>225000</v>
      </c>
      <c r="DD11" s="312">
        <f t="shared" si="42"/>
        <v>250100</v>
      </c>
    </row>
    <row r="12" spans="1:108" ht="15.75" x14ac:dyDescent="0.25">
      <c r="A12" s="50" t="str">
        <f>+'[1]SEMANA DEL 13 AL 20 '!A11</f>
        <v xml:space="preserve">GUILLERMO ZAMBRANO </v>
      </c>
      <c r="B12" s="190">
        <v>0.34999999999999964</v>
      </c>
      <c r="C12" s="190">
        <v>1.6300000000000008</v>
      </c>
      <c r="D12" s="190">
        <v>4.4500000000000028</v>
      </c>
      <c r="E12" s="190">
        <v>0</v>
      </c>
      <c r="F12" s="260">
        <v>0</v>
      </c>
      <c r="G12" s="260">
        <v>0</v>
      </c>
      <c r="H12" s="260">
        <v>0</v>
      </c>
      <c r="I12" s="260">
        <v>0</v>
      </c>
      <c r="J12" s="260">
        <v>0</v>
      </c>
      <c r="K12" s="260">
        <v>0</v>
      </c>
      <c r="L12" s="260">
        <v>0</v>
      </c>
      <c r="M12" s="260">
        <v>0</v>
      </c>
      <c r="N12" s="260">
        <v>0</v>
      </c>
      <c r="O12" s="260">
        <v>0</v>
      </c>
      <c r="P12" s="260">
        <v>0</v>
      </c>
      <c r="Q12" s="260">
        <v>0</v>
      </c>
      <c r="R12" s="289">
        <v>0</v>
      </c>
      <c r="S12" s="289">
        <v>0</v>
      </c>
      <c r="T12" s="289">
        <v>0</v>
      </c>
      <c r="U12" s="289">
        <v>0</v>
      </c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>
        <v>0</v>
      </c>
      <c r="AI12" s="289">
        <v>0</v>
      </c>
      <c r="AJ12" s="289">
        <v>0</v>
      </c>
      <c r="AK12" s="289">
        <v>0</v>
      </c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7">
        <f t="shared" si="2"/>
        <v>0.34999999999999964</v>
      </c>
      <c r="AY12" s="113">
        <f t="shared" si="3"/>
        <v>1.6300000000000008</v>
      </c>
      <c r="AZ12" s="113">
        <f t="shared" si="4"/>
        <v>4.4500000000000028</v>
      </c>
      <c r="BA12" s="113">
        <f t="shared" si="5"/>
        <v>0</v>
      </c>
      <c r="BB12" s="287">
        <f t="shared" si="6"/>
        <v>0</v>
      </c>
      <c r="BC12" s="113">
        <f t="shared" si="7"/>
        <v>0</v>
      </c>
      <c r="BD12" s="113">
        <f t="shared" si="8"/>
        <v>0</v>
      </c>
      <c r="BE12" s="113">
        <f t="shared" si="9"/>
        <v>0</v>
      </c>
      <c r="BF12" s="113">
        <f t="shared" si="10"/>
        <v>0</v>
      </c>
      <c r="BG12" s="113">
        <f t="shared" si="11"/>
        <v>0</v>
      </c>
      <c r="BH12" s="113">
        <f t="shared" si="12"/>
        <v>0</v>
      </c>
      <c r="BI12" s="113">
        <f t="shared" si="13"/>
        <v>0</v>
      </c>
      <c r="BJ12" s="113">
        <f t="shared" si="14"/>
        <v>0</v>
      </c>
      <c r="BK12" s="113">
        <f t="shared" si="15"/>
        <v>0</v>
      </c>
      <c r="BL12" s="288">
        <f t="shared" si="16"/>
        <v>0</v>
      </c>
      <c r="BM12" s="288">
        <f t="shared" si="17"/>
        <v>0</v>
      </c>
      <c r="BN12" s="190">
        <v>0</v>
      </c>
      <c r="BO12" s="258">
        <f t="shared" si="18"/>
        <v>0</v>
      </c>
      <c r="BP12" s="71">
        <f t="shared" si="19"/>
        <v>0</v>
      </c>
      <c r="BQ12" s="112">
        <f t="shared" si="20"/>
        <v>0</v>
      </c>
      <c r="BR12" s="112">
        <f t="shared" si="21"/>
        <v>0</v>
      </c>
      <c r="BS12" s="112">
        <f t="shared" si="22"/>
        <v>0</v>
      </c>
      <c r="BT12" s="112">
        <f t="shared" si="1"/>
        <v>0</v>
      </c>
      <c r="BU12" s="112">
        <f t="shared" si="23"/>
        <v>0</v>
      </c>
      <c r="BV12" s="112">
        <f t="shared" si="24"/>
        <v>0</v>
      </c>
      <c r="BW12" s="112">
        <f t="shared" si="25"/>
        <v>0</v>
      </c>
      <c r="BX12" s="112">
        <f t="shared" si="26"/>
        <v>0</v>
      </c>
      <c r="BY12" s="71">
        <f t="shared" si="27"/>
        <v>0</v>
      </c>
      <c r="BZ12" s="112">
        <f t="shared" si="28"/>
        <v>0</v>
      </c>
      <c r="CA12" s="159"/>
      <c r="CB12" s="159"/>
      <c r="CC12" s="71">
        <f t="shared" si="29"/>
        <v>0</v>
      </c>
      <c r="CD12" s="71">
        <f t="shared" si="35"/>
        <v>0</v>
      </c>
      <c r="CE12" s="71">
        <f t="shared" si="30"/>
        <v>0</v>
      </c>
      <c r="CF12" s="71">
        <f t="shared" si="31"/>
        <v>0</v>
      </c>
      <c r="CG12" s="71">
        <f t="shared" si="32"/>
        <v>0</v>
      </c>
      <c r="CH12" s="166">
        <f t="shared" si="33"/>
        <v>0</v>
      </c>
      <c r="CI12" s="263">
        <f t="shared" si="34"/>
        <v>0</v>
      </c>
      <c r="CJ12" s="52"/>
      <c r="CK12" s="78"/>
      <c r="CL12" s="245"/>
      <c r="CM12" s="245"/>
      <c r="CN12" s="246"/>
      <c r="CO12" s="246"/>
      <c r="CP12" s="244"/>
      <c r="CQ12" s="52"/>
      <c r="CR12" s="167" t="str">
        <f t="shared" si="43"/>
        <v xml:space="preserve">GUILLERMO ZAMBRANO </v>
      </c>
      <c r="CS12" s="168" t="s">
        <v>133</v>
      </c>
      <c r="CT12" s="169">
        <f t="shared" si="36"/>
        <v>0</v>
      </c>
      <c r="CU12" s="169">
        <f t="shared" si="37"/>
        <v>0</v>
      </c>
      <c r="CV12" s="169"/>
      <c r="CW12" s="169">
        <f t="shared" si="38"/>
        <v>0</v>
      </c>
      <c r="CX12" s="307">
        <v>0</v>
      </c>
      <c r="CY12" s="307">
        <v>0</v>
      </c>
      <c r="CZ12" s="311">
        <f t="shared" si="39"/>
        <v>0</v>
      </c>
      <c r="DA12" s="311"/>
      <c r="DB12" s="311">
        <f t="shared" si="40"/>
        <v>0</v>
      </c>
      <c r="DC12" s="311">
        <f t="shared" si="41"/>
        <v>0</v>
      </c>
      <c r="DD12" s="312">
        <f t="shared" si="42"/>
        <v>0</v>
      </c>
    </row>
    <row r="13" spans="1:108" ht="15.75" x14ac:dyDescent="0.25">
      <c r="A13" s="50" t="str">
        <f>+'[1]SEMANA DEL 13 AL 20 '!A13</f>
        <v>HUGO ALMEIDA</v>
      </c>
      <c r="B13" s="190">
        <v>0</v>
      </c>
      <c r="C13" s="190">
        <v>0</v>
      </c>
      <c r="D13" s="190">
        <v>0</v>
      </c>
      <c r="E13" s="190">
        <v>0</v>
      </c>
      <c r="F13" s="260">
        <v>0</v>
      </c>
      <c r="G13" s="260">
        <v>0</v>
      </c>
      <c r="H13" s="260">
        <v>0</v>
      </c>
      <c r="I13" s="260">
        <v>0</v>
      </c>
      <c r="J13" s="260">
        <v>0</v>
      </c>
      <c r="K13" s="260">
        <v>0</v>
      </c>
      <c r="L13" s="260">
        <v>0</v>
      </c>
      <c r="M13" s="260">
        <v>0</v>
      </c>
      <c r="N13" s="260">
        <v>0</v>
      </c>
      <c r="O13" s="260">
        <v>0</v>
      </c>
      <c r="P13" s="260">
        <v>0</v>
      </c>
      <c r="Q13" s="260">
        <v>0</v>
      </c>
      <c r="R13" s="289">
        <v>5</v>
      </c>
      <c r="S13" s="289">
        <v>9</v>
      </c>
      <c r="T13" s="289">
        <v>35</v>
      </c>
      <c r="U13" s="289">
        <v>4</v>
      </c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>
        <v>5</v>
      </c>
      <c r="AI13" s="289">
        <v>9</v>
      </c>
      <c r="AJ13" s="289">
        <v>35</v>
      </c>
      <c r="AK13" s="289">
        <v>4</v>
      </c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7">
        <f t="shared" si="2"/>
        <v>0</v>
      </c>
      <c r="AY13" s="113">
        <f t="shared" si="3"/>
        <v>0</v>
      </c>
      <c r="AZ13" s="113">
        <f t="shared" si="4"/>
        <v>0</v>
      </c>
      <c r="BA13" s="113">
        <f t="shared" si="5"/>
        <v>0</v>
      </c>
      <c r="BB13" s="287">
        <f t="shared" si="6"/>
        <v>0</v>
      </c>
      <c r="BC13" s="113">
        <f t="shared" si="7"/>
        <v>0</v>
      </c>
      <c r="BD13" s="113">
        <f t="shared" si="8"/>
        <v>0</v>
      </c>
      <c r="BE13" s="113">
        <f t="shared" si="9"/>
        <v>0</v>
      </c>
      <c r="BF13" s="113">
        <f t="shared" si="10"/>
        <v>0</v>
      </c>
      <c r="BG13" s="113">
        <f t="shared" si="11"/>
        <v>0</v>
      </c>
      <c r="BH13" s="113">
        <f t="shared" si="12"/>
        <v>0</v>
      </c>
      <c r="BI13" s="113">
        <f t="shared" si="13"/>
        <v>0</v>
      </c>
      <c r="BJ13" s="113">
        <f t="shared" si="14"/>
        <v>0</v>
      </c>
      <c r="BK13" s="113">
        <f t="shared" si="15"/>
        <v>0</v>
      </c>
      <c r="BL13" s="288">
        <f t="shared" si="16"/>
        <v>0</v>
      </c>
      <c r="BM13" s="288">
        <f t="shared" si="17"/>
        <v>0</v>
      </c>
      <c r="BN13" s="190">
        <v>5000</v>
      </c>
      <c r="BO13" s="258">
        <f t="shared" si="18"/>
        <v>0</v>
      </c>
      <c r="BP13" s="71">
        <f t="shared" si="19"/>
        <v>0</v>
      </c>
      <c r="BQ13" s="112">
        <f t="shared" si="20"/>
        <v>0</v>
      </c>
      <c r="BR13" s="112">
        <f t="shared" si="21"/>
        <v>0</v>
      </c>
      <c r="BS13" s="112">
        <f t="shared" si="22"/>
        <v>0</v>
      </c>
      <c r="BT13" s="112">
        <f t="shared" si="1"/>
        <v>0</v>
      </c>
      <c r="BU13" s="112">
        <f t="shared" si="23"/>
        <v>0</v>
      </c>
      <c r="BV13" s="112">
        <f t="shared" si="24"/>
        <v>0</v>
      </c>
      <c r="BW13" s="112">
        <f t="shared" si="25"/>
        <v>0</v>
      </c>
      <c r="BX13" s="112">
        <f t="shared" si="26"/>
        <v>0</v>
      </c>
      <c r="BY13" s="71">
        <f t="shared" si="27"/>
        <v>0</v>
      </c>
      <c r="BZ13" s="112">
        <f t="shared" si="28"/>
        <v>0</v>
      </c>
      <c r="CA13" s="159"/>
      <c r="CB13" s="159"/>
      <c r="CC13" s="71">
        <f t="shared" si="29"/>
        <v>80</v>
      </c>
      <c r="CD13" s="71">
        <f>+AI13*12+12</f>
        <v>120</v>
      </c>
      <c r="CE13" s="71">
        <f t="shared" si="30"/>
        <v>105</v>
      </c>
      <c r="CF13" s="71">
        <f t="shared" si="31"/>
        <v>305</v>
      </c>
      <c r="CG13" s="71">
        <f t="shared" si="32"/>
        <v>375305</v>
      </c>
      <c r="CH13" s="166">
        <f t="shared" si="33"/>
        <v>0</v>
      </c>
      <c r="CI13" s="263">
        <f t="shared" si="34"/>
        <v>375000</v>
      </c>
      <c r="CJ13" s="52"/>
      <c r="CK13" s="78"/>
      <c r="CL13" s="245"/>
      <c r="CM13" s="245"/>
      <c r="CN13" s="246"/>
      <c r="CO13" s="246"/>
      <c r="CP13" s="244"/>
      <c r="CQ13" s="52"/>
      <c r="CR13" s="167" t="str">
        <f t="shared" si="43"/>
        <v>HUGO ALMEIDA</v>
      </c>
      <c r="CS13" s="168" t="s">
        <v>141</v>
      </c>
      <c r="CT13" s="169">
        <f t="shared" si="36"/>
        <v>5000</v>
      </c>
      <c r="CU13" s="169">
        <f t="shared" si="37"/>
        <v>0</v>
      </c>
      <c r="CV13" s="169"/>
      <c r="CW13" s="169">
        <f t="shared" si="38"/>
        <v>0</v>
      </c>
      <c r="CX13" s="307">
        <v>4</v>
      </c>
      <c r="CY13" s="307">
        <v>3.1</v>
      </c>
      <c r="CZ13" s="311">
        <f t="shared" si="39"/>
        <v>36850</v>
      </c>
      <c r="DA13" s="311"/>
      <c r="DB13" s="311">
        <f t="shared" si="40"/>
        <v>375000</v>
      </c>
      <c r="DC13" s="311">
        <f t="shared" si="41"/>
        <v>375000</v>
      </c>
      <c r="DD13" s="312">
        <f t="shared" si="42"/>
        <v>411850</v>
      </c>
    </row>
    <row r="14" spans="1:108" ht="15.75" x14ac:dyDescent="0.25">
      <c r="A14" s="50" t="str">
        <f>+'[1]SEMANA DEL 13 AL 20 '!A14</f>
        <v>HILDA SERRANO</v>
      </c>
      <c r="B14" s="190">
        <v>1</v>
      </c>
      <c r="C14" s="190">
        <v>1.8000000000000007</v>
      </c>
      <c r="D14" s="190">
        <v>7</v>
      </c>
      <c r="E14" s="190">
        <v>0</v>
      </c>
      <c r="F14" s="260">
        <v>0</v>
      </c>
      <c r="G14" s="260">
        <v>0</v>
      </c>
      <c r="H14" s="260">
        <v>0</v>
      </c>
      <c r="I14" s="260">
        <v>0</v>
      </c>
      <c r="J14" s="260">
        <v>0</v>
      </c>
      <c r="K14" s="260">
        <v>0</v>
      </c>
      <c r="L14" s="260">
        <v>0</v>
      </c>
      <c r="M14" s="260">
        <v>0</v>
      </c>
      <c r="N14" s="260">
        <v>0</v>
      </c>
      <c r="O14" s="260">
        <v>0</v>
      </c>
      <c r="P14" s="260">
        <v>0</v>
      </c>
      <c r="Q14" s="260">
        <v>0</v>
      </c>
      <c r="R14" s="289">
        <v>7</v>
      </c>
      <c r="S14" s="289">
        <v>12.6</v>
      </c>
      <c r="T14" s="289">
        <v>49</v>
      </c>
      <c r="U14" s="289">
        <v>7</v>
      </c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>
        <v>7</v>
      </c>
      <c r="AI14" s="289">
        <v>12.6</v>
      </c>
      <c r="AJ14" s="289">
        <v>49</v>
      </c>
      <c r="AK14" s="289">
        <v>6</v>
      </c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7">
        <f t="shared" si="2"/>
        <v>1</v>
      </c>
      <c r="AY14" s="113">
        <f t="shared" si="3"/>
        <v>1.8000000000000007</v>
      </c>
      <c r="AZ14" s="113">
        <f t="shared" si="4"/>
        <v>7</v>
      </c>
      <c r="BA14" s="113">
        <f t="shared" si="5"/>
        <v>1</v>
      </c>
      <c r="BB14" s="287">
        <f t="shared" si="6"/>
        <v>0</v>
      </c>
      <c r="BC14" s="113">
        <f t="shared" si="7"/>
        <v>0</v>
      </c>
      <c r="BD14" s="113">
        <f t="shared" si="8"/>
        <v>0</v>
      </c>
      <c r="BE14" s="113">
        <f t="shared" si="9"/>
        <v>0</v>
      </c>
      <c r="BF14" s="113">
        <f t="shared" si="10"/>
        <v>0</v>
      </c>
      <c r="BG14" s="113">
        <f t="shared" si="11"/>
        <v>0</v>
      </c>
      <c r="BH14" s="113">
        <f t="shared" si="12"/>
        <v>0</v>
      </c>
      <c r="BI14" s="113">
        <f t="shared" si="13"/>
        <v>0</v>
      </c>
      <c r="BJ14" s="113">
        <f t="shared" si="14"/>
        <v>0</v>
      </c>
      <c r="BK14" s="113">
        <f t="shared" si="15"/>
        <v>0</v>
      </c>
      <c r="BL14" s="288">
        <f t="shared" si="16"/>
        <v>0</v>
      </c>
      <c r="BM14" s="288">
        <f t="shared" si="17"/>
        <v>0</v>
      </c>
      <c r="BN14" s="190">
        <v>7000</v>
      </c>
      <c r="BO14" s="258">
        <f t="shared" si="18"/>
        <v>0</v>
      </c>
      <c r="BP14" s="71">
        <f t="shared" si="19"/>
        <v>0</v>
      </c>
      <c r="BQ14" s="112">
        <f t="shared" si="20"/>
        <v>0</v>
      </c>
      <c r="BR14" s="112">
        <f t="shared" si="21"/>
        <v>0</v>
      </c>
      <c r="BS14" s="112">
        <f t="shared" si="22"/>
        <v>0</v>
      </c>
      <c r="BT14" s="112">
        <f t="shared" si="1"/>
        <v>0</v>
      </c>
      <c r="BU14" s="112">
        <f t="shared" si="23"/>
        <v>0</v>
      </c>
      <c r="BV14" s="112">
        <f t="shared" si="24"/>
        <v>0</v>
      </c>
      <c r="BW14" s="112">
        <f t="shared" si="25"/>
        <v>0</v>
      </c>
      <c r="BX14" s="112">
        <f t="shared" si="26"/>
        <v>0</v>
      </c>
      <c r="BY14" s="71">
        <f t="shared" si="27"/>
        <v>0</v>
      </c>
      <c r="BZ14" s="112">
        <f t="shared" si="28"/>
        <v>0</v>
      </c>
      <c r="CA14" s="159">
        <v>20000</v>
      </c>
      <c r="CB14" s="159"/>
      <c r="CC14" s="71">
        <f t="shared" si="29"/>
        <v>112</v>
      </c>
      <c r="CD14" s="71">
        <f>+AI14*12+16.8</f>
        <v>168</v>
      </c>
      <c r="CE14" s="71">
        <f t="shared" si="30"/>
        <v>147</v>
      </c>
      <c r="CF14" s="71">
        <f t="shared" si="31"/>
        <v>427</v>
      </c>
      <c r="CG14" s="71">
        <f t="shared" si="32"/>
        <v>525427</v>
      </c>
      <c r="CH14" s="166">
        <f t="shared" si="33"/>
        <v>20000</v>
      </c>
      <c r="CI14" s="263">
        <f t="shared" si="34"/>
        <v>505000</v>
      </c>
      <c r="CJ14" s="52"/>
      <c r="CK14" s="78"/>
      <c r="CL14" s="245"/>
      <c r="CM14" s="245"/>
      <c r="CN14" s="246"/>
      <c r="CO14" s="246"/>
      <c r="CP14" s="244"/>
      <c r="CQ14" s="52"/>
      <c r="CR14" s="167" t="str">
        <f t="shared" si="43"/>
        <v>HILDA SERRANO</v>
      </c>
      <c r="CS14" s="168" t="s">
        <v>121</v>
      </c>
      <c r="CT14" s="169">
        <f t="shared" si="36"/>
        <v>7000</v>
      </c>
      <c r="CU14" s="169">
        <f t="shared" si="37"/>
        <v>0</v>
      </c>
      <c r="CV14" s="169"/>
      <c r="CW14" s="169">
        <f t="shared" si="38"/>
        <v>0</v>
      </c>
      <c r="CX14" s="307">
        <v>4.9000000000000004</v>
      </c>
      <c r="CY14" s="307">
        <v>4.3</v>
      </c>
      <c r="CZ14" s="311">
        <f t="shared" si="39"/>
        <v>46900</v>
      </c>
      <c r="DA14" s="311"/>
      <c r="DB14" s="311">
        <f t="shared" si="40"/>
        <v>525000</v>
      </c>
      <c r="DC14" s="311">
        <f t="shared" si="41"/>
        <v>505000</v>
      </c>
      <c r="DD14" s="312">
        <f t="shared" si="42"/>
        <v>551900</v>
      </c>
    </row>
    <row r="15" spans="1:108" ht="15.75" x14ac:dyDescent="0.25">
      <c r="A15" s="50" t="str">
        <f>+'[1]SEMANA DEL 13 AL 20 '!A15</f>
        <v xml:space="preserve">HUMBERTO LUNA </v>
      </c>
      <c r="B15" s="190">
        <v>0</v>
      </c>
      <c r="C15" s="190">
        <v>0</v>
      </c>
      <c r="D15" s="190">
        <v>0</v>
      </c>
      <c r="E15" s="190">
        <v>0</v>
      </c>
      <c r="F15" s="260">
        <v>0</v>
      </c>
      <c r="G15" s="260">
        <v>0</v>
      </c>
      <c r="H15" s="260">
        <v>0</v>
      </c>
      <c r="I15" s="260">
        <v>0</v>
      </c>
      <c r="J15" s="260">
        <v>0</v>
      </c>
      <c r="K15" s="260">
        <v>0</v>
      </c>
      <c r="L15" s="260">
        <v>0</v>
      </c>
      <c r="M15" s="260">
        <v>0</v>
      </c>
      <c r="N15" s="260">
        <v>0</v>
      </c>
      <c r="O15" s="260">
        <v>0</v>
      </c>
      <c r="P15" s="260">
        <v>0</v>
      </c>
      <c r="Q15" s="260">
        <v>0</v>
      </c>
      <c r="R15" s="289">
        <v>10</v>
      </c>
      <c r="S15" s="289">
        <v>18</v>
      </c>
      <c r="T15" s="289">
        <v>70</v>
      </c>
      <c r="U15" s="289">
        <v>8</v>
      </c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>
        <v>10</v>
      </c>
      <c r="AI15" s="289">
        <v>18</v>
      </c>
      <c r="AJ15" s="289">
        <v>70</v>
      </c>
      <c r="AK15" s="289">
        <v>8</v>
      </c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7">
        <f t="shared" si="2"/>
        <v>0</v>
      </c>
      <c r="AY15" s="113">
        <f t="shared" si="3"/>
        <v>0</v>
      </c>
      <c r="AZ15" s="113">
        <f t="shared" si="4"/>
        <v>0</v>
      </c>
      <c r="BA15" s="113">
        <f t="shared" si="5"/>
        <v>0</v>
      </c>
      <c r="BB15" s="287">
        <f t="shared" si="6"/>
        <v>0</v>
      </c>
      <c r="BC15" s="113">
        <f t="shared" si="7"/>
        <v>0</v>
      </c>
      <c r="BD15" s="113">
        <f t="shared" si="8"/>
        <v>0</v>
      </c>
      <c r="BE15" s="113">
        <f t="shared" si="9"/>
        <v>0</v>
      </c>
      <c r="BF15" s="113">
        <f t="shared" si="10"/>
        <v>0</v>
      </c>
      <c r="BG15" s="113">
        <f t="shared" si="11"/>
        <v>0</v>
      </c>
      <c r="BH15" s="113">
        <f t="shared" si="12"/>
        <v>0</v>
      </c>
      <c r="BI15" s="113">
        <f t="shared" si="13"/>
        <v>0</v>
      </c>
      <c r="BJ15" s="113">
        <f t="shared" si="14"/>
        <v>0</v>
      </c>
      <c r="BK15" s="113">
        <f t="shared" si="15"/>
        <v>0</v>
      </c>
      <c r="BL15" s="288">
        <f t="shared" si="16"/>
        <v>0</v>
      </c>
      <c r="BM15" s="288">
        <f t="shared" si="17"/>
        <v>0</v>
      </c>
      <c r="BN15" s="190">
        <v>10000</v>
      </c>
      <c r="BO15" s="258">
        <f t="shared" si="18"/>
        <v>0</v>
      </c>
      <c r="BP15" s="71">
        <f t="shared" si="19"/>
        <v>0</v>
      </c>
      <c r="BQ15" s="112">
        <f t="shared" si="20"/>
        <v>0</v>
      </c>
      <c r="BR15" s="112">
        <f t="shared" si="21"/>
        <v>0</v>
      </c>
      <c r="BS15" s="112">
        <f t="shared" si="22"/>
        <v>0</v>
      </c>
      <c r="BT15" s="112">
        <f t="shared" si="1"/>
        <v>0</v>
      </c>
      <c r="BU15" s="112">
        <f t="shared" si="23"/>
        <v>0</v>
      </c>
      <c r="BV15" s="112">
        <f t="shared" si="24"/>
        <v>0</v>
      </c>
      <c r="BW15" s="112">
        <f t="shared" si="25"/>
        <v>0</v>
      </c>
      <c r="BX15" s="112">
        <f t="shared" si="26"/>
        <v>0</v>
      </c>
      <c r="BY15" s="71">
        <f t="shared" si="27"/>
        <v>0</v>
      </c>
      <c r="BZ15" s="112">
        <f t="shared" si="28"/>
        <v>0</v>
      </c>
      <c r="CA15" s="159"/>
      <c r="CB15" s="159"/>
      <c r="CC15" s="71">
        <f t="shared" si="29"/>
        <v>160</v>
      </c>
      <c r="CD15" s="71">
        <f>+AI15*12+24</f>
        <v>240</v>
      </c>
      <c r="CE15" s="71">
        <f t="shared" si="30"/>
        <v>210</v>
      </c>
      <c r="CF15" s="71">
        <f t="shared" si="31"/>
        <v>610</v>
      </c>
      <c r="CG15" s="71">
        <f t="shared" si="32"/>
        <v>750610</v>
      </c>
      <c r="CH15" s="166">
        <f t="shared" si="33"/>
        <v>0</v>
      </c>
      <c r="CI15" s="263">
        <f t="shared" si="34"/>
        <v>750000</v>
      </c>
      <c r="CJ15" s="52"/>
      <c r="CK15" s="78"/>
      <c r="CL15" s="245"/>
      <c r="CM15" s="245"/>
      <c r="CN15" s="246"/>
      <c r="CO15" s="246"/>
      <c r="CP15" s="244"/>
      <c r="CQ15" s="52"/>
      <c r="CR15" s="167" t="str">
        <f t="shared" si="43"/>
        <v xml:space="preserve">HUMBERTO LUNA </v>
      </c>
      <c r="CS15" s="168" t="s">
        <v>171</v>
      </c>
      <c r="CT15" s="169">
        <f>+BN15</f>
        <v>10000</v>
      </c>
      <c r="CU15" s="169">
        <f>+AW15</f>
        <v>0</v>
      </c>
      <c r="CV15" s="169">
        <v>600</v>
      </c>
      <c r="CW15" s="169">
        <f t="shared" si="38"/>
        <v>138000</v>
      </c>
      <c r="CX15" s="307">
        <v>3.8</v>
      </c>
      <c r="CY15" s="307">
        <v>7.8</v>
      </c>
      <c r="CZ15" s="311">
        <f>+CX15*6500+CY15*3500</f>
        <v>52000</v>
      </c>
      <c r="DA15" s="311"/>
      <c r="DB15" s="311">
        <f t="shared" si="40"/>
        <v>750000</v>
      </c>
      <c r="DC15" s="311">
        <f>+CI15</f>
        <v>750000</v>
      </c>
      <c r="DD15" s="312">
        <f>+CI15+CZ15+CW15</f>
        <v>940000</v>
      </c>
    </row>
    <row r="16" spans="1:108" ht="15.75" x14ac:dyDescent="0.25">
      <c r="A16" s="50" t="str">
        <f>+'[1]SEMANA DEL 13 AL 20 '!A16</f>
        <v>JOSE EBLAN GIRON</v>
      </c>
      <c r="B16" s="190">
        <v>0.20000000000000018</v>
      </c>
      <c r="C16" s="190">
        <v>0.35999999999999943</v>
      </c>
      <c r="D16" s="190">
        <v>1.3999999999999986</v>
      </c>
      <c r="E16" s="190">
        <v>1</v>
      </c>
      <c r="F16" s="260">
        <v>0</v>
      </c>
      <c r="G16" s="260">
        <v>0</v>
      </c>
      <c r="H16" s="260">
        <v>0</v>
      </c>
      <c r="I16" s="260">
        <v>1</v>
      </c>
      <c r="J16" s="260">
        <v>0</v>
      </c>
      <c r="K16" s="260">
        <v>0</v>
      </c>
      <c r="L16" s="260">
        <v>0</v>
      </c>
      <c r="M16" s="260">
        <v>0</v>
      </c>
      <c r="N16" s="260">
        <v>0</v>
      </c>
      <c r="O16" s="260">
        <v>0</v>
      </c>
      <c r="P16" s="260">
        <v>0</v>
      </c>
      <c r="Q16" s="260">
        <v>0</v>
      </c>
      <c r="R16" s="289">
        <v>5</v>
      </c>
      <c r="S16" s="289">
        <v>9</v>
      </c>
      <c r="T16" s="289">
        <v>35</v>
      </c>
      <c r="U16" s="289">
        <v>4</v>
      </c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>
        <v>4</v>
      </c>
      <c r="AI16" s="289">
        <v>7.2</v>
      </c>
      <c r="AJ16" s="289">
        <v>28</v>
      </c>
      <c r="AK16" s="289">
        <v>3</v>
      </c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7">
        <f t="shared" si="2"/>
        <v>1.2000000000000002</v>
      </c>
      <c r="AY16" s="113">
        <f t="shared" si="3"/>
        <v>2.1599999999999993</v>
      </c>
      <c r="AZ16" s="113">
        <f t="shared" si="4"/>
        <v>8.3999999999999986</v>
      </c>
      <c r="BA16" s="113">
        <f t="shared" si="5"/>
        <v>2</v>
      </c>
      <c r="BB16" s="287">
        <f t="shared" si="6"/>
        <v>0</v>
      </c>
      <c r="BC16" s="113">
        <f t="shared" si="7"/>
        <v>0</v>
      </c>
      <c r="BD16" s="113">
        <f t="shared" si="8"/>
        <v>0</v>
      </c>
      <c r="BE16" s="113">
        <f t="shared" si="9"/>
        <v>1</v>
      </c>
      <c r="BF16" s="113">
        <f t="shared" si="10"/>
        <v>0</v>
      </c>
      <c r="BG16" s="113">
        <f t="shared" si="11"/>
        <v>0</v>
      </c>
      <c r="BH16" s="113">
        <f t="shared" si="12"/>
        <v>0</v>
      </c>
      <c r="BI16" s="113">
        <f t="shared" si="13"/>
        <v>0</v>
      </c>
      <c r="BJ16" s="113">
        <f t="shared" si="14"/>
        <v>0</v>
      </c>
      <c r="BK16" s="113">
        <f t="shared" si="15"/>
        <v>0</v>
      </c>
      <c r="BL16" s="288">
        <f t="shared" si="16"/>
        <v>0</v>
      </c>
      <c r="BM16" s="288">
        <f t="shared" si="17"/>
        <v>0</v>
      </c>
      <c r="BN16" s="190">
        <v>4000</v>
      </c>
      <c r="BO16" s="258">
        <f t="shared" si="18"/>
        <v>0</v>
      </c>
      <c r="BP16" s="71">
        <f t="shared" si="19"/>
        <v>0</v>
      </c>
      <c r="BQ16" s="112">
        <f t="shared" si="20"/>
        <v>0</v>
      </c>
      <c r="BR16" s="112">
        <f t="shared" si="21"/>
        <v>0</v>
      </c>
      <c r="BS16" s="112">
        <f t="shared" si="22"/>
        <v>0</v>
      </c>
      <c r="BT16" s="112">
        <f t="shared" si="1"/>
        <v>0</v>
      </c>
      <c r="BU16" s="112">
        <f t="shared" si="23"/>
        <v>0</v>
      </c>
      <c r="BV16" s="112">
        <f t="shared" si="24"/>
        <v>0</v>
      </c>
      <c r="BW16" s="112">
        <f t="shared" si="25"/>
        <v>0</v>
      </c>
      <c r="BX16" s="112">
        <f t="shared" si="26"/>
        <v>0</v>
      </c>
      <c r="BY16" s="71">
        <f t="shared" si="27"/>
        <v>0</v>
      </c>
      <c r="BZ16" s="112">
        <f t="shared" si="28"/>
        <v>0</v>
      </c>
      <c r="CA16" s="159"/>
      <c r="CB16" s="159"/>
      <c r="CC16" s="71">
        <f t="shared" si="29"/>
        <v>64</v>
      </c>
      <c r="CD16" s="71">
        <f>+AI16*12+9.6</f>
        <v>96</v>
      </c>
      <c r="CE16" s="71">
        <f t="shared" si="30"/>
        <v>84</v>
      </c>
      <c r="CF16" s="71">
        <f t="shared" si="31"/>
        <v>244</v>
      </c>
      <c r="CG16" s="71">
        <f t="shared" si="32"/>
        <v>300244</v>
      </c>
      <c r="CH16" s="166">
        <f t="shared" si="33"/>
        <v>0</v>
      </c>
      <c r="CI16" s="263">
        <f t="shared" si="34"/>
        <v>300000</v>
      </c>
      <c r="CJ16" s="52"/>
      <c r="CK16" s="172" t="s">
        <v>66</v>
      </c>
      <c r="CL16" s="247" t="e">
        <f>+#REF!</f>
        <v>#REF!</v>
      </c>
      <c r="CM16" s="247" t="e">
        <f>+#REF!</f>
        <v>#REF!</v>
      </c>
      <c r="CN16" s="248" t="e">
        <f>+CL16+CM16</f>
        <v>#REF!</v>
      </c>
      <c r="CO16" s="248" t="e">
        <f>+#REF!</f>
        <v>#REF!</v>
      </c>
      <c r="CP16" s="244" t="e">
        <f>CN16-CO16</f>
        <v>#REF!</v>
      </c>
      <c r="CQ16" s="52"/>
      <c r="CR16" s="167" t="str">
        <f t="shared" si="43"/>
        <v>JOSE EBLAN GIRON</v>
      </c>
      <c r="CS16" s="168" t="s">
        <v>128</v>
      </c>
      <c r="CT16" s="169">
        <f t="shared" si="36"/>
        <v>4000</v>
      </c>
      <c r="CU16" s="169">
        <f t="shared" si="37"/>
        <v>0</v>
      </c>
      <c r="CV16" s="169"/>
      <c r="CW16" s="169">
        <f t="shared" si="38"/>
        <v>0</v>
      </c>
      <c r="CX16" s="307">
        <v>2.9</v>
      </c>
      <c r="CY16" s="307">
        <v>3.4</v>
      </c>
      <c r="CZ16" s="311">
        <f t="shared" si="39"/>
        <v>30750</v>
      </c>
      <c r="DA16" s="311"/>
      <c r="DB16" s="311">
        <f t="shared" si="40"/>
        <v>300000</v>
      </c>
      <c r="DC16" s="311">
        <f t="shared" si="41"/>
        <v>300000</v>
      </c>
      <c r="DD16" s="312">
        <f t="shared" si="42"/>
        <v>330750</v>
      </c>
    </row>
    <row r="17" spans="1:108" ht="15.75" x14ac:dyDescent="0.25">
      <c r="A17" s="50" t="str">
        <f>+'[1]SEMANA DEL 13 AL 20 '!A17</f>
        <v xml:space="preserve">JOSE JURADO </v>
      </c>
      <c r="B17" s="190">
        <v>0</v>
      </c>
      <c r="C17" s="190">
        <v>0</v>
      </c>
      <c r="D17" s="190">
        <v>0</v>
      </c>
      <c r="E17" s="190">
        <v>0</v>
      </c>
      <c r="F17" s="260">
        <v>0</v>
      </c>
      <c r="G17" s="260">
        <v>0</v>
      </c>
      <c r="H17" s="260">
        <v>0</v>
      </c>
      <c r="I17" s="260">
        <v>0</v>
      </c>
      <c r="J17" s="260">
        <v>0</v>
      </c>
      <c r="K17" s="260">
        <v>0</v>
      </c>
      <c r="L17" s="260">
        <v>0</v>
      </c>
      <c r="M17" s="260">
        <v>0</v>
      </c>
      <c r="N17" s="260">
        <v>0</v>
      </c>
      <c r="O17" s="260">
        <v>0</v>
      </c>
      <c r="P17" s="260">
        <v>0</v>
      </c>
      <c r="Q17" s="260">
        <v>0</v>
      </c>
      <c r="R17" s="289">
        <v>5</v>
      </c>
      <c r="S17" s="289">
        <v>9</v>
      </c>
      <c r="T17" s="289">
        <v>35</v>
      </c>
      <c r="U17" s="289">
        <v>4</v>
      </c>
      <c r="V17" s="289"/>
      <c r="W17" s="289">
        <v>0.25</v>
      </c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>
        <v>5</v>
      </c>
      <c r="AI17" s="289">
        <v>9</v>
      </c>
      <c r="AJ17" s="289">
        <v>35</v>
      </c>
      <c r="AK17" s="289">
        <v>4</v>
      </c>
      <c r="AL17" s="289"/>
      <c r="AM17" s="289">
        <v>0.25</v>
      </c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7">
        <f t="shared" si="2"/>
        <v>0</v>
      </c>
      <c r="AY17" s="113">
        <f t="shared" si="3"/>
        <v>0</v>
      </c>
      <c r="AZ17" s="113">
        <f t="shared" si="4"/>
        <v>0</v>
      </c>
      <c r="BA17" s="113">
        <f t="shared" si="5"/>
        <v>0</v>
      </c>
      <c r="BB17" s="287">
        <f t="shared" si="6"/>
        <v>0</v>
      </c>
      <c r="BC17" s="113">
        <f t="shared" si="7"/>
        <v>0</v>
      </c>
      <c r="BD17" s="113">
        <f t="shared" si="8"/>
        <v>0</v>
      </c>
      <c r="BE17" s="113">
        <f t="shared" si="9"/>
        <v>0</v>
      </c>
      <c r="BF17" s="113">
        <f t="shared" si="10"/>
        <v>0</v>
      </c>
      <c r="BG17" s="113">
        <f t="shared" si="11"/>
        <v>0</v>
      </c>
      <c r="BH17" s="113">
        <f t="shared" si="12"/>
        <v>0</v>
      </c>
      <c r="BI17" s="113">
        <f t="shared" si="13"/>
        <v>0</v>
      </c>
      <c r="BJ17" s="113">
        <f t="shared" si="14"/>
        <v>0</v>
      </c>
      <c r="BK17" s="113">
        <f t="shared" si="15"/>
        <v>0</v>
      </c>
      <c r="BL17" s="288">
        <f t="shared" si="16"/>
        <v>0</v>
      </c>
      <c r="BM17" s="288">
        <f t="shared" si="17"/>
        <v>0</v>
      </c>
      <c r="BN17" s="190">
        <v>5000</v>
      </c>
      <c r="BO17" s="258">
        <f t="shared" si="18"/>
        <v>0</v>
      </c>
      <c r="BP17" s="71">
        <f t="shared" si="19"/>
        <v>15000</v>
      </c>
      <c r="BQ17" s="112">
        <f t="shared" si="20"/>
        <v>0</v>
      </c>
      <c r="BR17" s="112">
        <f t="shared" si="21"/>
        <v>0</v>
      </c>
      <c r="BS17" s="112">
        <f t="shared" si="22"/>
        <v>0</v>
      </c>
      <c r="BT17" s="112">
        <f t="shared" si="1"/>
        <v>0</v>
      </c>
      <c r="BU17" s="112">
        <f t="shared" si="23"/>
        <v>0</v>
      </c>
      <c r="BV17" s="112">
        <f t="shared" si="24"/>
        <v>0</v>
      </c>
      <c r="BW17" s="112">
        <f t="shared" si="25"/>
        <v>0</v>
      </c>
      <c r="BX17" s="112">
        <f t="shared" si="26"/>
        <v>0</v>
      </c>
      <c r="BY17" s="71">
        <f t="shared" si="27"/>
        <v>0</v>
      </c>
      <c r="BZ17" s="112">
        <f t="shared" si="28"/>
        <v>0</v>
      </c>
      <c r="CA17" s="159"/>
      <c r="CB17" s="159"/>
      <c r="CC17" s="71">
        <f t="shared" si="29"/>
        <v>80</v>
      </c>
      <c r="CD17" s="71">
        <f>+AI17*12+12</f>
        <v>120</v>
      </c>
      <c r="CE17" s="71">
        <f t="shared" si="30"/>
        <v>105</v>
      </c>
      <c r="CF17" s="71">
        <f t="shared" si="31"/>
        <v>305</v>
      </c>
      <c r="CG17" s="71">
        <f t="shared" si="32"/>
        <v>375305</v>
      </c>
      <c r="CH17" s="166">
        <f t="shared" si="33"/>
        <v>15000</v>
      </c>
      <c r="CI17" s="263">
        <f t="shared" si="34"/>
        <v>360000</v>
      </c>
      <c r="CJ17" s="52"/>
      <c r="CK17" s="172"/>
      <c r="CL17" s="247"/>
      <c r="CM17" s="247"/>
      <c r="CN17" s="248"/>
      <c r="CO17" s="248"/>
      <c r="CP17" s="244"/>
      <c r="CQ17" s="52"/>
      <c r="CR17" s="167" t="str">
        <f t="shared" si="43"/>
        <v xml:space="preserve">JOSE JURADO </v>
      </c>
      <c r="CS17" s="168" t="s">
        <v>146</v>
      </c>
      <c r="CT17" s="169">
        <f t="shared" si="36"/>
        <v>5000</v>
      </c>
      <c r="CU17" s="169">
        <f t="shared" si="37"/>
        <v>0</v>
      </c>
      <c r="CV17" s="169"/>
      <c r="CW17" s="169">
        <f t="shared" si="38"/>
        <v>0</v>
      </c>
      <c r="CX17" s="307">
        <v>2.1</v>
      </c>
      <c r="CY17" s="307">
        <v>4.3</v>
      </c>
      <c r="CZ17" s="311">
        <f t="shared" si="39"/>
        <v>28700</v>
      </c>
      <c r="DA17" s="311"/>
      <c r="DB17" s="311">
        <f t="shared" si="40"/>
        <v>375000</v>
      </c>
      <c r="DC17" s="311">
        <f t="shared" si="41"/>
        <v>360000</v>
      </c>
      <c r="DD17" s="312">
        <f t="shared" si="42"/>
        <v>388700</v>
      </c>
    </row>
    <row r="18" spans="1:108" ht="15.75" x14ac:dyDescent="0.25">
      <c r="A18" s="50" t="str">
        <f>+'[1]SEMANA DEL 13 AL 20 '!A18</f>
        <v xml:space="preserve">KARINA SILVA </v>
      </c>
      <c r="B18" s="190">
        <v>0.34999999999999964</v>
      </c>
      <c r="C18" s="190">
        <v>0.63000000000000078</v>
      </c>
      <c r="D18" s="190">
        <v>9.8000000000000043</v>
      </c>
      <c r="E18" s="190">
        <v>0</v>
      </c>
      <c r="F18" s="260">
        <v>0</v>
      </c>
      <c r="G18" s="260">
        <v>0</v>
      </c>
      <c r="H18" s="260">
        <v>0</v>
      </c>
      <c r="I18" s="260">
        <v>0</v>
      </c>
      <c r="J18" s="260">
        <v>0</v>
      </c>
      <c r="K18" s="260">
        <v>0</v>
      </c>
      <c r="L18" s="260">
        <v>0</v>
      </c>
      <c r="M18" s="260">
        <v>0</v>
      </c>
      <c r="N18" s="260">
        <v>0</v>
      </c>
      <c r="O18" s="260">
        <v>0</v>
      </c>
      <c r="P18" s="260">
        <v>0</v>
      </c>
      <c r="Q18" s="260">
        <v>0</v>
      </c>
      <c r="R18" s="289">
        <v>5</v>
      </c>
      <c r="S18" s="289">
        <v>9</v>
      </c>
      <c r="T18" s="289">
        <v>35</v>
      </c>
      <c r="U18" s="289">
        <v>4</v>
      </c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>
        <v>5.05</v>
      </c>
      <c r="AI18" s="289">
        <v>9.09</v>
      </c>
      <c r="AJ18" s="289">
        <v>35.35</v>
      </c>
      <c r="AK18" s="289">
        <v>4</v>
      </c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7">
        <f t="shared" si="2"/>
        <v>0.29999999999999982</v>
      </c>
      <c r="AY18" s="113">
        <f t="shared" si="3"/>
        <v>0.54000000000000092</v>
      </c>
      <c r="AZ18" s="113">
        <f t="shared" si="4"/>
        <v>9.4500000000000028</v>
      </c>
      <c r="BA18" s="113">
        <f t="shared" si="5"/>
        <v>0</v>
      </c>
      <c r="BB18" s="287">
        <f t="shared" si="6"/>
        <v>0</v>
      </c>
      <c r="BC18" s="113">
        <f t="shared" si="7"/>
        <v>0</v>
      </c>
      <c r="BD18" s="113">
        <f t="shared" si="8"/>
        <v>0</v>
      </c>
      <c r="BE18" s="113">
        <f t="shared" si="9"/>
        <v>0</v>
      </c>
      <c r="BF18" s="113">
        <f t="shared" si="10"/>
        <v>0</v>
      </c>
      <c r="BG18" s="113">
        <f t="shared" si="11"/>
        <v>0</v>
      </c>
      <c r="BH18" s="113">
        <f t="shared" si="12"/>
        <v>0</v>
      </c>
      <c r="BI18" s="113">
        <f t="shared" si="13"/>
        <v>0</v>
      </c>
      <c r="BJ18" s="113">
        <f t="shared" si="14"/>
        <v>0</v>
      </c>
      <c r="BK18" s="113">
        <f t="shared" si="15"/>
        <v>0</v>
      </c>
      <c r="BL18" s="288">
        <f t="shared" si="16"/>
        <v>0</v>
      </c>
      <c r="BM18" s="288">
        <f t="shared" si="17"/>
        <v>0</v>
      </c>
      <c r="BN18" s="190">
        <v>5050</v>
      </c>
      <c r="BO18" s="258">
        <f t="shared" si="18"/>
        <v>0</v>
      </c>
      <c r="BP18" s="71">
        <f t="shared" si="19"/>
        <v>0</v>
      </c>
      <c r="BQ18" s="112">
        <f t="shared" si="20"/>
        <v>0</v>
      </c>
      <c r="BR18" s="112">
        <f t="shared" si="21"/>
        <v>0</v>
      </c>
      <c r="BS18" s="112">
        <f t="shared" si="22"/>
        <v>0</v>
      </c>
      <c r="BT18" s="112">
        <f t="shared" si="1"/>
        <v>0</v>
      </c>
      <c r="BU18" s="112">
        <f t="shared" si="23"/>
        <v>0</v>
      </c>
      <c r="BV18" s="112">
        <f t="shared" si="24"/>
        <v>0</v>
      </c>
      <c r="BW18" s="112">
        <f t="shared" si="25"/>
        <v>0</v>
      </c>
      <c r="BX18" s="112">
        <f t="shared" si="26"/>
        <v>0</v>
      </c>
      <c r="BY18" s="71">
        <f t="shared" si="27"/>
        <v>0</v>
      </c>
      <c r="BZ18" s="112">
        <f t="shared" si="28"/>
        <v>0</v>
      </c>
      <c r="CA18" s="159"/>
      <c r="CB18" s="159"/>
      <c r="CC18" s="71">
        <f t="shared" si="29"/>
        <v>80.8</v>
      </c>
      <c r="CD18" s="71">
        <f>+AI18*12+12.12</f>
        <v>121.2</v>
      </c>
      <c r="CE18" s="71">
        <f t="shared" si="30"/>
        <v>106.05000000000001</v>
      </c>
      <c r="CF18" s="71">
        <f t="shared" si="31"/>
        <v>308.05</v>
      </c>
      <c r="CG18" s="71">
        <f t="shared" si="32"/>
        <v>379058.05</v>
      </c>
      <c r="CH18" s="166">
        <f t="shared" si="33"/>
        <v>0</v>
      </c>
      <c r="CI18" s="263">
        <f t="shared" si="34"/>
        <v>378750</v>
      </c>
      <c r="CJ18" s="52"/>
      <c r="CK18" s="172"/>
      <c r="CL18" s="247"/>
      <c r="CM18" s="247"/>
      <c r="CN18" s="248"/>
      <c r="CO18" s="248"/>
      <c r="CP18" s="244"/>
      <c r="CQ18" s="52"/>
      <c r="CR18" s="167" t="str">
        <f t="shared" si="43"/>
        <v xml:space="preserve">KARINA SILVA </v>
      </c>
      <c r="CS18" s="168" t="s">
        <v>172</v>
      </c>
      <c r="CT18" s="169">
        <f>+BN18</f>
        <v>5050</v>
      </c>
      <c r="CU18" s="169">
        <f>+AW18</f>
        <v>0</v>
      </c>
      <c r="CV18" s="169"/>
      <c r="CW18" s="169">
        <f>+CV18*230</f>
        <v>0</v>
      </c>
      <c r="CX18" s="307">
        <v>5.7</v>
      </c>
      <c r="CY18" s="307">
        <v>4.8</v>
      </c>
      <c r="CZ18" s="311">
        <f t="shared" si="39"/>
        <v>53850</v>
      </c>
      <c r="DA18" s="311"/>
      <c r="DB18" s="311">
        <f t="shared" si="40"/>
        <v>378750</v>
      </c>
      <c r="DC18" s="311">
        <f>+CI18</f>
        <v>378750</v>
      </c>
      <c r="DD18" s="312">
        <f>+CI18+CZ18+CW18</f>
        <v>432600</v>
      </c>
    </row>
    <row r="19" spans="1:108" ht="15.75" x14ac:dyDescent="0.25">
      <c r="A19" s="50" t="str">
        <f>+'[1]SEMANA DEL 13 AL 20 '!A19</f>
        <v>LUZ MERY ABAUNZA</v>
      </c>
      <c r="B19" s="190">
        <v>0</v>
      </c>
      <c r="C19" s="190">
        <v>0</v>
      </c>
      <c r="D19" s="190">
        <v>0</v>
      </c>
      <c r="E19" s="190">
        <v>0</v>
      </c>
      <c r="F19" s="260">
        <v>0</v>
      </c>
      <c r="G19" s="260">
        <v>0</v>
      </c>
      <c r="H19" s="260">
        <v>0</v>
      </c>
      <c r="I19" s="260">
        <v>0</v>
      </c>
      <c r="J19" s="260">
        <v>0</v>
      </c>
      <c r="K19" s="260">
        <v>0</v>
      </c>
      <c r="L19" s="260">
        <v>0</v>
      </c>
      <c r="M19" s="260">
        <v>0</v>
      </c>
      <c r="N19" s="260">
        <v>0</v>
      </c>
      <c r="O19" s="260">
        <v>0</v>
      </c>
      <c r="P19" s="260">
        <v>0</v>
      </c>
      <c r="Q19" s="260">
        <v>0</v>
      </c>
      <c r="R19" s="289">
        <v>5</v>
      </c>
      <c r="S19" s="289">
        <v>9</v>
      </c>
      <c r="T19" s="289">
        <v>35</v>
      </c>
      <c r="U19" s="289">
        <v>4</v>
      </c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>
        <v>5</v>
      </c>
      <c r="AI19" s="289">
        <v>9</v>
      </c>
      <c r="AJ19" s="289">
        <v>35</v>
      </c>
      <c r="AK19" s="289">
        <v>4</v>
      </c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7">
        <f t="shared" si="2"/>
        <v>0</v>
      </c>
      <c r="AY19" s="113">
        <f t="shared" si="3"/>
        <v>0</v>
      </c>
      <c r="AZ19" s="113">
        <f t="shared" si="4"/>
        <v>0</v>
      </c>
      <c r="BA19" s="113">
        <f t="shared" si="5"/>
        <v>0</v>
      </c>
      <c r="BB19" s="287">
        <f t="shared" si="6"/>
        <v>0</v>
      </c>
      <c r="BC19" s="113">
        <f t="shared" si="7"/>
        <v>0</v>
      </c>
      <c r="BD19" s="113">
        <f t="shared" si="8"/>
        <v>0</v>
      </c>
      <c r="BE19" s="113">
        <f t="shared" si="9"/>
        <v>0</v>
      </c>
      <c r="BF19" s="113">
        <f t="shared" si="10"/>
        <v>0</v>
      </c>
      <c r="BG19" s="113">
        <f t="shared" si="11"/>
        <v>0</v>
      </c>
      <c r="BH19" s="113">
        <f t="shared" si="12"/>
        <v>0</v>
      </c>
      <c r="BI19" s="113">
        <f t="shared" si="13"/>
        <v>0</v>
      </c>
      <c r="BJ19" s="113">
        <f t="shared" si="14"/>
        <v>0</v>
      </c>
      <c r="BK19" s="113">
        <f t="shared" si="15"/>
        <v>0</v>
      </c>
      <c r="BL19" s="288">
        <f t="shared" si="16"/>
        <v>0</v>
      </c>
      <c r="BM19" s="288">
        <f t="shared" si="17"/>
        <v>0</v>
      </c>
      <c r="BN19" s="190">
        <v>5000</v>
      </c>
      <c r="BO19" s="258">
        <f t="shared" si="18"/>
        <v>0</v>
      </c>
      <c r="BP19" s="71">
        <f t="shared" si="19"/>
        <v>0</v>
      </c>
      <c r="BQ19" s="112">
        <f t="shared" si="20"/>
        <v>0</v>
      </c>
      <c r="BR19" s="112">
        <f t="shared" si="21"/>
        <v>0</v>
      </c>
      <c r="BS19" s="112">
        <f t="shared" si="22"/>
        <v>0</v>
      </c>
      <c r="BT19" s="112">
        <f t="shared" si="1"/>
        <v>0</v>
      </c>
      <c r="BU19" s="112">
        <f t="shared" si="23"/>
        <v>0</v>
      </c>
      <c r="BV19" s="112">
        <f t="shared" si="24"/>
        <v>0</v>
      </c>
      <c r="BW19" s="112">
        <f t="shared" si="25"/>
        <v>0</v>
      </c>
      <c r="BX19" s="112">
        <f t="shared" si="26"/>
        <v>0</v>
      </c>
      <c r="BY19" s="71">
        <f t="shared" si="27"/>
        <v>0</v>
      </c>
      <c r="BZ19" s="112">
        <f t="shared" si="28"/>
        <v>0</v>
      </c>
      <c r="CA19" s="159">
        <v>50000</v>
      </c>
      <c r="CB19" s="159"/>
      <c r="CC19" s="71">
        <f t="shared" si="29"/>
        <v>80</v>
      </c>
      <c r="CD19" s="71">
        <f>+AI19*12+12</f>
        <v>120</v>
      </c>
      <c r="CE19" s="71">
        <f t="shared" si="30"/>
        <v>105</v>
      </c>
      <c r="CF19" s="71">
        <f t="shared" si="31"/>
        <v>305</v>
      </c>
      <c r="CG19" s="71">
        <f t="shared" si="32"/>
        <v>375305</v>
      </c>
      <c r="CH19" s="166">
        <f t="shared" si="33"/>
        <v>50000</v>
      </c>
      <c r="CI19" s="263">
        <f t="shared" si="34"/>
        <v>325000</v>
      </c>
      <c r="CJ19" s="52"/>
      <c r="CK19" s="172"/>
      <c r="CL19" s="247"/>
      <c r="CM19" s="247"/>
      <c r="CN19" s="248"/>
      <c r="CO19" s="248"/>
      <c r="CP19" s="244"/>
      <c r="CQ19" s="52"/>
      <c r="CR19" s="167" t="str">
        <f t="shared" si="43"/>
        <v>LUZ MERY ABAUNZA</v>
      </c>
      <c r="CS19" s="168" t="s">
        <v>173</v>
      </c>
      <c r="CT19" s="169">
        <f>+BN19</f>
        <v>5000</v>
      </c>
      <c r="CU19" s="169">
        <f>+AW19</f>
        <v>0</v>
      </c>
      <c r="CV19" s="169"/>
      <c r="CW19" s="169">
        <f>+CV19*230</f>
        <v>0</v>
      </c>
      <c r="CX19" s="307">
        <v>0</v>
      </c>
      <c r="CY19" s="307">
        <v>4.0999999999999996</v>
      </c>
      <c r="CZ19" s="311">
        <f>+CX19*6500+CY19*3500</f>
        <v>14349.999999999998</v>
      </c>
      <c r="DA19" s="311"/>
      <c r="DB19" s="311">
        <f t="shared" si="40"/>
        <v>375000</v>
      </c>
      <c r="DC19" s="311">
        <f>+CI19</f>
        <v>325000</v>
      </c>
      <c r="DD19" s="312">
        <f>+CI19+CZ19+CW19</f>
        <v>339350</v>
      </c>
    </row>
    <row r="20" spans="1:108" ht="15.75" x14ac:dyDescent="0.25">
      <c r="A20" s="50" t="str">
        <f>+'[1]SEMANA DEL 13 AL 20 '!A20</f>
        <v>LUIS ROJAS</v>
      </c>
      <c r="B20" s="190">
        <v>0</v>
      </c>
      <c r="C20" s="190">
        <v>0</v>
      </c>
      <c r="D20" s="190">
        <v>0</v>
      </c>
      <c r="E20" s="190">
        <v>0</v>
      </c>
      <c r="F20" s="260">
        <v>0</v>
      </c>
      <c r="G20" s="260">
        <v>0</v>
      </c>
      <c r="H20" s="260">
        <v>0</v>
      </c>
      <c r="I20" s="260">
        <v>0</v>
      </c>
      <c r="J20" s="260">
        <v>0</v>
      </c>
      <c r="K20" s="260">
        <v>0</v>
      </c>
      <c r="L20" s="260">
        <v>0</v>
      </c>
      <c r="M20" s="260">
        <v>0</v>
      </c>
      <c r="N20" s="260">
        <v>0</v>
      </c>
      <c r="O20" s="260">
        <v>0</v>
      </c>
      <c r="P20" s="260">
        <v>0</v>
      </c>
      <c r="Q20" s="260">
        <v>0</v>
      </c>
      <c r="R20" s="289">
        <v>0</v>
      </c>
      <c r="S20" s="289">
        <v>0</v>
      </c>
      <c r="T20" s="289">
        <v>0</v>
      </c>
      <c r="U20" s="289">
        <v>0</v>
      </c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>
        <v>0</v>
      </c>
      <c r="AI20" s="289">
        <v>0</v>
      </c>
      <c r="AJ20" s="289">
        <v>0</v>
      </c>
      <c r="AK20" s="289">
        <v>0</v>
      </c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7">
        <f t="shared" si="2"/>
        <v>0</v>
      </c>
      <c r="AY20" s="113">
        <f t="shared" si="3"/>
        <v>0</v>
      </c>
      <c r="AZ20" s="113">
        <f t="shared" si="4"/>
        <v>0</v>
      </c>
      <c r="BA20" s="113">
        <f t="shared" si="5"/>
        <v>0</v>
      </c>
      <c r="BB20" s="287">
        <f t="shared" si="6"/>
        <v>0</v>
      </c>
      <c r="BC20" s="113">
        <f t="shared" si="7"/>
        <v>0</v>
      </c>
      <c r="BD20" s="113">
        <f t="shared" si="8"/>
        <v>0</v>
      </c>
      <c r="BE20" s="113">
        <f t="shared" si="9"/>
        <v>0</v>
      </c>
      <c r="BF20" s="113">
        <f t="shared" si="10"/>
        <v>0</v>
      </c>
      <c r="BG20" s="113">
        <f t="shared" si="11"/>
        <v>0</v>
      </c>
      <c r="BH20" s="113">
        <f t="shared" si="12"/>
        <v>0</v>
      </c>
      <c r="BI20" s="113">
        <f t="shared" si="13"/>
        <v>0</v>
      </c>
      <c r="BJ20" s="113">
        <f t="shared" si="14"/>
        <v>0</v>
      </c>
      <c r="BK20" s="113">
        <f t="shared" si="15"/>
        <v>0</v>
      </c>
      <c r="BL20" s="288">
        <f t="shared" si="16"/>
        <v>0</v>
      </c>
      <c r="BM20" s="288">
        <f t="shared" si="17"/>
        <v>0</v>
      </c>
      <c r="BN20" s="190">
        <v>0</v>
      </c>
      <c r="BO20" s="258">
        <f t="shared" si="18"/>
        <v>0</v>
      </c>
      <c r="BP20" s="71">
        <f t="shared" si="19"/>
        <v>0</v>
      </c>
      <c r="BQ20" s="112">
        <f t="shared" si="20"/>
        <v>0</v>
      </c>
      <c r="BR20" s="112">
        <f t="shared" si="21"/>
        <v>0</v>
      </c>
      <c r="BS20" s="112">
        <f t="shared" si="22"/>
        <v>0</v>
      </c>
      <c r="BT20" s="112">
        <f t="shared" si="1"/>
        <v>0</v>
      </c>
      <c r="BU20" s="112">
        <f t="shared" si="23"/>
        <v>0</v>
      </c>
      <c r="BV20" s="112">
        <f t="shared" si="24"/>
        <v>0</v>
      </c>
      <c r="BW20" s="112">
        <f t="shared" si="25"/>
        <v>0</v>
      </c>
      <c r="BX20" s="112">
        <f t="shared" si="26"/>
        <v>0</v>
      </c>
      <c r="BY20" s="71">
        <f t="shared" si="27"/>
        <v>0</v>
      </c>
      <c r="BZ20" s="112">
        <f t="shared" si="28"/>
        <v>0</v>
      </c>
      <c r="CA20" s="159"/>
      <c r="CB20" s="159"/>
      <c r="CC20" s="71">
        <f t="shared" si="29"/>
        <v>0</v>
      </c>
      <c r="CD20" s="71">
        <f t="shared" si="35"/>
        <v>0</v>
      </c>
      <c r="CE20" s="71">
        <f t="shared" si="30"/>
        <v>0</v>
      </c>
      <c r="CF20" s="71">
        <f t="shared" si="31"/>
        <v>0</v>
      </c>
      <c r="CG20" s="71">
        <f t="shared" si="32"/>
        <v>0</v>
      </c>
      <c r="CH20" s="166">
        <f t="shared" si="33"/>
        <v>0</v>
      </c>
      <c r="CI20" s="263">
        <f t="shared" si="34"/>
        <v>0</v>
      </c>
      <c r="CJ20" s="52"/>
      <c r="CK20" s="172" t="s">
        <v>10</v>
      </c>
      <c r="CL20" s="247" t="e">
        <f>+#REF!</f>
        <v>#REF!</v>
      </c>
      <c r="CM20" s="247" t="e">
        <f>+#REF!</f>
        <v>#REF!</v>
      </c>
      <c r="CN20" s="248" t="e">
        <f>+CL20+CM20</f>
        <v>#REF!</v>
      </c>
      <c r="CO20" s="248" t="e">
        <f>+#REF!</f>
        <v>#REF!</v>
      </c>
      <c r="CP20" s="244" t="e">
        <f>CN20-CO20</f>
        <v>#REF!</v>
      </c>
      <c r="CQ20" s="114"/>
      <c r="CR20" s="167" t="str">
        <f t="shared" si="43"/>
        <v>LUIS ROJAS</v>
      </c>
      <c r="CS20" s="171" t="s">
        <v>134</v>
      </c>
      <c r="CT20" s="169">
        <f t="shared" si="36"/>
        <v>0</v>
      </c>
      <c r="CU20" s="169">
        <f t="shared" si="37"/>
        <v>0</v>
      </c>
      <c r="CV20" s="169"/>
      <c r="CW20" s="169">
        <f t="shared" si="38"/>
        <v>0</v>
      </c>
      <c r="CX20" s="307"/>
      <c r="CY20" s="307"/>
      <c r="CZ20" s="311">
        <f t="shared" si="39"/>
        <v>0</v>
      </c>
      <c r="DA20" s="311"/>
      <c r="DB20" s="311">
        <f t="shared" si="40"/>
        <v>0</v>
      </c>
      <c r="DC20" s="311">
        <f t="shared" si="41"/>
        <v>0</v>
      </c>
      <c r="DD20" s="312">
        <f t="shared" si="42"/>
        <v>0</v>
      </c>
    </row>
    <row r="21" spans="1:108" ht="15.75" x14ac:dyDescent="0.25">
      <c r="A21" s="50" t="str">
        <f>+'[1]SEMANA DEL 13 AL 20 '!A21</f>
        <v xml:space="preserve">LUIS VALDERRAMA </v>
      </c>
      <c r="B21" s="190">
        <v>0</v>
      </c>
      <c r="C21" s="190">
        <v>0</v>
      </c>
      <c r="D21" s="190">
        <v>0</v>
      </c>
      <c r="E21" s="190">
        <v>0</v>
      </c>
      <c r="F21" s="260">
        <v>0</v>
      </c>
      <c r="G21" s="260">
        <v>0</v>
      </c>
      <c r="H21" s="260">
        <v>0</v>
      </c>
      <c r="I21" s="260">
        <v>0</v>
      </c>
      <c r="J21" s="260">
        <v>0</v>
      </c>
      <c r="K21" s="260">
        <v>0</v>
      </c>
      <c r="L21" s="260">
        <v>0</v>
      </c>
      <c r="M21" s="260">
        <v>0</v>
      </c>
      <c r="N21" s="260">
        <v>0</v>
      </c>
      <c r="O21" s="260">
        <v>0</v>
      </c>
      <c r="P21" s="260">
        <v>0</v>
      </c>
      <c r="Q21" s="260">
        <v>0</v>
      </c>
      <c r="R21" s="289">
        <v>15</v>
      </c>
      <c r="S21" s="289">
        <v>27</v>
      </c>
      <c r="T21" s="289">
        <v>105</v>
      </c>
      <c r="U21" s="289">
        <v>12</v>
      </c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>
        <v>15</v>
      </c>
      <c r="AI21" s="289">
        <v>27</v>
      </c>
      <c r="AJ21" s="289">
        <v>105</v>
      </c>
      <c r="AK21" s="289">
        <v>12</v>
      </c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7">
        <f t="shared" si="2"/>
        <v>0</v>
      </c>
      <c r="AY21" s="113">
        <f t="shared" si="3"/>
        <v>0</v>
      </c>
      <c r="AZ21" s="113">
        <f t="shared" si="4"/>
        <v>0</v>
      </c>
      <c r="BA21" s="113">
        <f t="shared" si="5"/>
        <v>0</v>
      </c>
      <c r="BB21" s="287">
        <f t="shared" si="6"/>
        <v>0</v>
      </c>
      <c r="BC21" s="113">
        <f t="shared" si="7"/>
        <v>0</v>
      </c>
      <c r="BD21" s="113">
        <f t="shared" si="8"/>
        <v>0</v>
      </c>
      <c r="BE21" s="113">
        <f t="shared" si="9"/>
        <v>0</v>
      </c>
      <c r="BF21" s="113">
        <f t="shared" si="10"/>
        <v>0</v>
      </c>
      <c r="BG21" s="113">
        <f t="shared" si="11"/>
        <v>0</v>
      </c>
      <c r="BH21" s="113">
        <f t="shared" si="12"/>
        <v>0</v>
      </c>
      <c r="BI21" s="113">
        <f t="shared" si="13"/>
        <v>0</v>
      </c>
      <c r="BJ21" s="113">
        <f t="shared" si="14"/>
        <v>0</v>
      </c>
      <c r="BK21" s="113">
        <f t="shared" si="15"/>
        <v>0</v>
      </c>
      <c r="BL21" s="288">
        <f t="shared" si="16"/>
        <v>0</v>
      </c>
      <c r="BM21" s="288">
        <f t="shared" si="17"/>
        <v>0</v>
      </c>
      <c r="BN21" s="190">
        <v>15000</v>
      </c>
      <c r="BO21" s="258">
        <f t="shared" si="18"/>
        <v>0</v>
      </c>
      <c r="BP21" s="71">
        <f t="shared" si="19"/>
        <v>0</v>
      </c>
      <c r="BQ21" s="112">
        <f t="shared" si="20"/>
        <v>0</v>
      </c>
      <c r="BR21" s="112">
        <f t="shared" si="21"/>
        <v>0</v>
      </c>
      <c r="BS21" s="112">
        <f t="shared" si="22"/>
        <v>0</v>
      </c>
      <c r="BT21" s="112">
        <f t="shared" si="1"/>
        <v>0</v>
      </c>
      <c r="BU21" s="112">
        <f t="shared" si="23"/>
        <v>0</v>
      </c>
      <c r="BV21" s="112">
        <f t="shared" si="24"/>
        <v>0</v>
      </c>
      <c r="BW21" s="112">
        <f t="shared" si="25"/>
        <v>0</v>
      </c>
      <c r="BX21" s="112">
        <f t="shared" si="26"/>
        <v>0</v>
      </c>
      <c r="BY21" s="71">
        <f t="shared" si="27"/>
        <v>0</v>
      </c>
      <c r="BZ21" s="112">
        <f t="shared" si="28"/>
        <v>0</v>
      </c>
      <c r="CA21" s="159"/>
      <c r="CB21" s="159"/>
      <c r="CC21" s="71">
        <f t="shared" si="29"/>
        <v>240</v>
      </c>
      <c r="CD21" s="71">
        <f>+AI21*12+36</f>
        <v>360</v>
      </c>
      <c r="CE21" s="71">
        <f t="shared" si="30"/>
        <v>315</v>
      </c>
      <c r="CF21" s="71">
        <f t="shared" si="31"/>
        <v>915</v>
      </c>
      <c r="CG21" s="71">
        <f t="shared" si="32"/>
        <v>1125915</v>
      </c>
      <c r="CH21" s="166">
        <f t="shared" si="33"/>
        <v>0</v>
      </c>
      <c r="CI21" s="263">
        <f t="shared" si="34"/>
        <v>1125000</v>
      </c>
      <c r="CJ21" s="52"/>
      <c r="CK21" s="172" t="s">
        <v>114</v>
      </c>
      <c r="CL21" s="247" t="e">
        <f>+#REF!</f>
        <v>#REF!</v>
      </c>
      <c r="CM21" s="247" t="e">
        <f>+#REF!</f>
        <v>#REF!</v>
      </c>
      <c r="CN21" s="248" t="e">
        <f>+CL21+CM21</f>
        <v>#REF!</v>
      </c>
      <c r="CO21" s="248" t="e">
        <f>+#REF!</f>
        <v>#REF!</v>
      </c>
      <c r="CP21" s="244" t="e">
        <f>CN21-CO21</f>
        <v>#REF!</v>
      </c>
      <c r="CQ21" s="114"/>
      <c r="CR21" s="167" t="str">
        <f t="shared" si="43"/>
        <v xml:space="preserve">LUIS VALDERRAMA </v>
      </c>
      <c r="CS21" s="171" t="s">
        <v>135</v>
      </c>
      <c r="CT21" s="169">
        <f t="shared" si="36"/>
        <v>15000</v>
      </c>
      <c r="CU21" s="169">
        <f t="shared" si="37"/>
        <v>0</v>
      </c>
      <c r="CV21" s="169">
        <v>1000</v>
      </c>
      <c r="CW21" s="169">
        <f t="shared" si="38"/>
        <v>230000</v>
      </c>
      <c r="CX21" s="307">
        <v>7</v>
      </c>
      <c r="CY21" s="307">
        <v>9.5</v>
      </c>
      <c r="CZ21" s="311">
        <f t="shared" si="39"/>
        <v>78750</v>
      </c>
      <c r="DA21" s="311"/>
      <c r="DB21" s="311">
        <f t="shared" si="40"/>
        <v>1125000</v>
      </c>
      <c r="DC21" s="311">
        <f t="shared" si="41"/>
        <v>1125000</v>
      </c>
      <c r="DD21" s="312">
        <f t="shared" si="42"/>
        <v>1433750</v>
      </c>
    </row>
    <row r="22" spans="1:108" ht="15.75" x14ac:dyDescent="0.25">
      <c r="A22" s="50" t="str">
        <f>+'[1]SEMANA DEL 13 AL 20 '!A22</f>
        <v>LILIANA  VEGA</v>
      </c>
      <c r="B22" s="190">
        <v>0</v>
      </c>
      <c r="C22" s="190">
        <v>0</v>
      </c>
      <c r="D22" s="190">
        <v>0</v>
      </c>
      <c r="E22" s="190">
        <v>1</v>
      </c>
      <c r="F22" s="260">
        <v>0</v>
      </c>
      <c r="G22" s="260">
        <v>0</v>
      </c>
      <c r="H22" s="260">
        <v>0</v>
      </c>
      <c r="I22" s="260">
        <v>1</v>
      </c>
      <c r="J22" s="260">
        <v>0</v>
      </c>
      <c r="K22" s="260">
        <v>0</v>
      </c>
      <c r="L22" s="260">
        <v>0</v>
      </c>
      <c r="M22" s="260">
        <v>0</v>
      </c>
      <c r="N22" s="260">
        <v>0</v>
      </c>
      <c r="O22" s="260">
        <v>0</v>
      </c>
      <c r="P22" s="260">
        <v>0</v>
      </c>
      <c r="Q22" s="260">
        <v>0</v>
      </c>
      <c r="R22" s="289">
        <v>8</v>
      </c>
      <c r="S22" s="289">
        <v>14.4</v>
      </c>
      <c r="T22" s="289">
        <v>56</v>
      </c>
      <c r="U22" s="289">
        <v>6</v>
      </c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>
        <v>8</v>
      </c>
      <c r="AI22" s="289">
        <v>14.4</v>
      </c>
      <c r="AJ22" s="289">
        <v>56</v>
      </c>
      <c r="AK22" s="289">
        <v>7</v>
      </c>
      <c r="AL22" s="289"/>
      <c r="AM22" s="289"/>
      <c r="AN22" s="289"/>
      <c r="AO22" s="289">
        <v>1</v>
      </c>
      <c r="AP22" s="289"/>
      <c r="AQ22" s="289"/>
      <c r="AR22" s="289"/>
      <c r="AS22" s="289"/>
      <c r="AT22" s="289"/>
      <c r="AU22" s="289"/>
      <c r="AV22" s="289"/>
      <c r="AW22" s="289"/>
      <c r="AX22" s="287">
        <f t="shared" si="2"/>
        <v>0</v>
      </c>
      <c r="AY22" s="113">
        <f t="shared" si="3"/>
        <v>0</v>
      </c>
      <c r="AZ22" s="113">
        <f t="shared" si="4"/>
        <v>0</v>
      </c>
      <c r="BA22" s="113">
        <f t="shared" si="5"/>
        <v>0</v>
      </c>
      <c r="BB22" s="287">
        <f t="shared" si="6"/>
        <v>0</v>
      </c>
      <c r="BC22" s="113">
        <f t="shared" si="7"/>
        <v>0</v>
      </c>
      <c r="BD22" s="113">
        <f t="shared" si="8"/>
        <v>0</v>
      </c>
      <c r="BE22" s="113">
        <f t="shared" si="9"/>
        <v>0</v>
      </c>
      <c r="BF22" s="113">
        <f t="shared" si="10"/>
        <v>0</v>
      </c>
      <c r="BG22" s="113">
        <f t="shared" si="11"/>
        <v>0</v>
      </c>
      <c r="BH22" s="113">
        <f t="shared" si="12"/>
        <v>0</v>
      </c>
      <c r="BI22" s="113">
        <f t="shared" si="13"/>
        <v>0</v>
      </c>
      <c r="BJ22" s="113">
        <f t="shared" si="14"/>
        <v>0</v>
      </c>
      <c r="BK22" s="113">
        <f t="shared" si="15"/>
        <v>0</v>
      </c>
      <c r="BL22" s="288">
        <f t="shared" si="16"/>
        <v>0</v>
      </c>
      <c r="BM22" s="288">
        <f t="shared" si="17"/>
        <v>0</v>
      </c>
      <c r="BN22" s="190">
        <v>8000</v>
      </c>
      <c r="BO22" s="258">
        <f t="shared" si="18"/>
        <v>0</v>
      </c>
      <c r="BP22" s="71">
        <f t="shared" si="19"/>
        <v>0</v>
      </c>
      <c r="BQ22" s="112">
        <f t="shared" si="20"/>
        <v>0</v>
      </c>
      <c r="BR22" s="112">
        <f t="shared" si="21"/>
        <v>6000</v>
      </c>
      <c r="BS22" s="112">
        <f t="shared" si="22"/>
        <v>0</v>
      </c>
      <c r="BT22" s="112">
        <f t="shared" si="1"/>
        <v>0</v>
      </c>
      <c r="BU22" s="112">
        <f t="shared" si="23"/>
        <v>0</v>
      </c>
      <c r="BV22" s="112">
        <f t="shared" si="24"/>
        <v>0</v>
      </c>
      <c r="BW22" s="112">
        <f t="shared" si="25"/>
        <v>0</v>
      </c>
      <c r="BX22" s="112">
        <f t="shared" si="26"/>
        <v>0</v>
      </c>
      <c r="BY22" s="71">
        <f t="shared" si="27"/>
        <v>0</v>
      </c>
      <c r="BZ22" s="112">
        <f t="shared" si="28"/>
        <v>0</v>
      </c>
      <c r="CA22" s="159"/>
      <c r="CB22" s="159"/>
      <c r="CC22" s="71">
        <f t="shared" si="29"/>
        <v>128</v>
      </c>
      <c r="CD22" s="71">
        <f>+AI22*12+19.2</f>
        <v>192</v>
      </c>
      <c r="CE22" s="71">
        <f t="shared" si="30"/>
        <v>168</v>
      </c>
      <c r="CF22" s="71">
        <f t="shared" si="31"/>
        <v>488</v>
      </c>
      <c r="CG22" s="71">
        <f t="shared" si="32"/>
        <v>600488</v>
      </c>
      <c r="CH22" s="166">
        <f t="shared" si="33"/>
        <v>6000</v>
      </c>
      <c r="CI22" s="263">
        <f t="shared" si="34"/>
        <v>594000</v>
      </c>
      <c r="CJ22" s="52"/>
      <c r="CK22" s="172"/>
      <c r="CL22" s="247"/>
      <c r="CM22" s="247"/>
      <c r="CN22" s="248"/>
      <c r="CO22" s="248"/>
      <c r="CP22" s="244"/>
      <c r="CQ22" s="52"/>
      <c r="CR22" s="167" t="str">
        <f t="shared" si="43"/>
        <v>LILIANA  VEGA</v>
      </c>
      <c r="CS22" s="171" t="s">
        <v>136</v>
      </c>
      <c r="CT22" s="169">
        <f t="shared" si="36"/>
        <v>8000</v>
      </c>
      <c r="CU22" s="169">
        <f t="shared" si="37"/>
        <v>0</v>
      </c>
      <c r="CV22" s="169"/>
      <c r="CW22" s="169">
        <f t="shared" si="38"/>
        <v>0</v>
      </c>
      <c r="CX22" s="307">
        <v>6.6</v>
      </c>
      <c r="CY22" s="307">
        <v>6.4</v>
      </c>
      <c r="CZ22" s="311">
        <f t="shared" si="39"/>
        <v>65300</v>
      </c>
      <c r="DA22" s="311"/>
      <c r="DB22" s="311">
        <f t="shared" si="40"/>
        <v>600000</v>
      </c>
      <c r="DC22" s="311">
        <f t="shared" si="41"/>
        <v>594000</v>
      </c>
      <c r="DD22" s="312">
        <f t="shared" si="42"/>
        <v>659300</v>
      </c>
    </row>
    <row r="23" spans="1:108" ht="15.75" x14ac:dyDescent="0.25">
      <c r="A23" s="50" t="str">
        <f>+'[1]SEMANA DEL 13 AL 20 '!A23</f>
        <v xml:space="preserve">LUIS ERNESTO ALMEIDA </v>
      </c>
      <c r="B23" s="190">
        <v>0</v>
      </c>
      <c r="C23" s="190">
        <v>0</v>
      </c>
      <c r="D23" s="190">
        <v>0</v>
      </c>
      <c r="E23" s="190">
        <v>0</v>
      </c>
      <c r="F23" s="260">
        <v>0</v>
      </c>
      <c r="G23" s="260">
        <v>0</v>
      </c>
      <c r="H23" s="260">
        <v>0</v>
      </c>
      <c r="I23" s="260">
        <v>0</v>
      </c>
      <c r="J23" s="260">
        <v>0</v>
      </c>
      <c r="K23" s="260">
        <v>0</v>
      </c>
      <c r="L23" s="260">
        <v>0</v>
      </c>
      <c r="M23" s="260">
        <v>0</v>
      </c>
      <c r="N23" s="260">
        <v>0</v>
      </c>
      <c r="O23" s="260">
        <v>0</v>
      </c>
      <c r="P23" s="260">
        <v>0</v>
      </c>
      <c r="Q23" s="260">
        <v>0</v>
      </c>
      <c r="R23" s="289">
        <v>8</v>
      </c>
      <c r="S23" s="289">
        <v>14.4</v>
      </c>
      <c r="T23" s="289">
        <v>56</v>
      </c>
      <c r="U23" s="289">
        <v>7</v>
      </c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>
        <v>8</v>
      </c>
      <c r="AI23" s="289">
        <v>14.4</v>
      </c>
      <c r="AJ23" s="289">
        <v>56</v>
      </c>
      <c r="AK23" s="289">
        <v>7</v>
      </c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7">
        <f t="shared" si="2"/>
        <v>0</v>
      </c>
      <c r="AY23" s="113">
        <f t="shared" si="3"/>
        <v>0</v>
      </c>
      <c r="AZ23" s="113">
        <f t="shared" si="4"/>
        <v>0</v>
      </c>
      <c r="BA23" s="113">
        <f t="shared" si="5"/>
        <v>0</v>
      </c>
      <c r="BB23" s="287">
        <f t="shared" si="6"/>
        <v>0</v>
      </c>
      <c r="BC23" s="113">
        <f t="shared" si="7"/>
        <v>0</v>
      </c>
      <c r="BD23" s="113">
        <f t="shared" si="8"/>
        <v>0</v>
      </c>
      <c r="BE23" s="113">
        <f t="shared" si="9"/>
        <v>0</v>
      </c>
      <c r="BF23" s="113">
        <f t="shared" si="10"/>
        <v>0</v>
      </c>
      <c r="BG23" s="113">
        <f t="shared" si="11"/>
        <v>0</v>
      </c>
      <c r="BH23" s="113">
        <f t="shared" si="12"/>
        <v>0</v>
      </c>
      <c r="BI23" s="113">
        <f t="shared" si="13"/>
        <v>0</v>
      </c>
      <c r="BJ23" s="113">
        <f t="shared" si="14"/>
        <v>0</v>
      </c>
      <c r="BK23" s="113">
        <f t="shared" si="15"/>
        <v>0</v>
      </c>
      <c r="BL23" s="288">
        <f t="shared" si="16"/>
        <v>0</v>
      </c>
      <c r="BM23" s="288">
        <f t="shared" si="17"/>
        <v>0</v>
      </c>
      <c r="BN23" s="190">
        <v>8000</v>
      </c>
      <c r="BO23" s="258">
        <f t="shared" si="18"/>
        <v>0</v>
      </c>
      <c r="BP23" s="71">
        <f t="shared" si="19"/>
        <v>0</v>
      </c>
      <c r="BQ23" s="112">
        <f t="shared" si="20"/>
        <v>0</v>
      </c>
      <c r="BR23" s="112">
        <f t="shared" si="21"/>
        <v>0</v>
      </c>
      <c r="BS23" s="112">
        <f t="shared" si="22"/>
        <v>0</v>
      </c>
      <c r="BT23" s="112">
        <f t="shared" si="1"/>
        <v>0</v>
      </c>
      <c r="BU23" s="112">
        <f t="shared" si="23"/>
        <v>0</v>
      </c>
      <c r="BV23" s="112">
        <f t="shared" si="24"/>
        <v>0</v>
      </c>
      <c r="BW23" s="112">
        <f t="shared" si="25"/>
        <v>0</v>
      </c>
      <c r="BX23" s="112">
        <f t="shared" si="26"/>
        <v>0</v>
      </c>
      <c r="BY23" s="71">
        <f t="shared" si="27"/>
        <v>0</v>
      </c>
      <c r="BZ23" s="112">
        <f t="shared" si="28"/>
        <v>0</v>
      </c>
      <c r="CA23" s="159">
        <v>25000</v>
      </c>
      <c r="CB23" s="159"/>
      <c r="CC23" s="71">
        <f t="shared" si="29"/>
        <v>128</v>
      </c>
      <c r="CD23" s="71">
        <f>+AI23*12+19.2</f>
        <v>192</v>
      </c>
      <c r="CE23" s="71">
        <f t="shared" si="30"/>
        <v>168</v>
      </c>
      <c r="CF23" s="71">
        <f t="shared" si="31"/>
        <v>488</v>
      </c>
      <c r="CG23" s="71">
        <f t="shared" si="32"/>
        <v>600488</v>
      </c>
      <c r="CH23" s="166">
        <f t="shared" si="33"/>
        <v>25000</v>
      </c>
      <c r="CI23" s="263">
        <f t="shared" si="34"/>
        <v>575000</v>
      </c>
      <c r="CJ23" s="52"/>
      <c r="CK23" s="172"/>
      <c r="CL23" s="247"/>
      <c r="CM23" s="247"/>
      <c r="CN23" s="248"/>
      <c r="CO23" s="248"/>
      <c r="CP23" s="244"/>
      <c r="CQ23" s="52"/>
      <c r="CR23" s="167" t="str">
        <f t="shared" si="43"/>
        <v xml:space="preserve">LUIS ERNESTO ALMEIDA </v>
      </c>
      <c r="CS23" s="171" t="s">
        <v>152</v>
      </c>
      <c r="CT23" s="169">
        <f t="shared" si="36"/>
        <v>8000</v>
      </c>
      <c r="CU23" s="169">
        <f t="shared" si="37"/>
        <v>0</v>
      </c>
      <c r="CV23" s="169"/>
      <c r="CW23" s="169">
        <f t="shared" si="38"/>
        <v>0</v>
      </c>
      <c r="CX23" s="307">
        <v>6.5</v>
      </c>
      <c r="CY23" s="307">
        <v>2.9</v>
      </c>
      <c r="CZ23" s="311">
        <f t="shared" si="39"/>
        <v>52400</v>
      </c>
      <c r="DA23" s="311"/>
      <c r="DB23" s="311">
        <f t="shared" si="40"/>
        <v>600000</v>
      </c>
      <c r="DC23" s="311">
        <f t="shared" si="41"/>
        <v>575000</v>
      </c>
      <c r="DD23" s="312">
        <f t="shared" si="42"/>
        <v>627400</v>
      </c>
    </row>
    <row r="24" spans="1:108" ht="15.75" x14ac:dyDescent="0.25">
      <c r="A24" s="50" t="str">
        <f>+'[1]SEMANA DEL 13 AL 20 '!A24</f>
        <v xml:space="preserve">LEIDY SERRANO </v>
      </c>
      <c r="B24" s="190">
        <v>0</v>
      </c>
      <c r="C24" s="190">
        <v>0</v>
      </c>
      <c r="D24" s="190">
        <v>0</v>
      </c>
      <c r="E24" s="190">
        <v>0</v>
      </c>
      <c r="F24" s="260">
        <v>0</v>
      </c>
      <c r="G24" s="260">
        <v>0</v>
      </c>
      <c r="H24" s="260">
        <v>0</v>
      </c>
      <c r="I24" s="260">
        <v>0</v>
      </c>
      <c r="J24" s="260">
        <v>0</v>
      </c>
      <c r="K24" s="260">
        <v>0</v>
      </c>
      <c r="L24" s="260">
        <v>0</v>
      </c>
      <c r="M24" s="260">
        <v>0</v>
      </c>
      <c r="N24" s="260">
        <v>0</v>
      </c>
      <c r="O24" s="260">
        <v>0</v>
      </c>
      <c r="P24" s="260">
        <v>0</v>
      </c>
      <c r="Q24" s="260">
        <v>0</v>
      </c>
      <c r="R24" s="289">
        <v>5</v>
      </c>
      <c r="S24" s="289">
        <v>9</v>
      </c>
      <c r="T24" s="289">
        <v>35</v>
      </c>
      <c r="U24" s="289">
        <v>4</v>
      </c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>
        <v>5</v>
      </c>
      <c r="AI24" s="289">
        <v>9</v>
      </c>
      <c r="AJ24" s="289">
        <v>35</v>
      </c>
      <c r="AK24" s="289">
        <v>4</v>
      </c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7">
        <f t="shared" si="2"/>
        <v>0</v>
      </c>
      <c r="AY24" s="113">
        <f t="shared" si="3"/>
        <v>0</v>
      </c>
      <c r="AZ24" s="113">
        <f t="shared" si="4"/>
        <v>0</v>
      </c>
      <c r="BA24" s="113">
        <f t="shared" si="5"/>
        <v>0</v>
      </c>
      <c r="BB24" s="287">
        <f t="shared" si="6"/>
        <v>0</v>
      </c>
      <c r="BC24" s="113">
        <f t="shared" si="7"/>
        <v>0</v>
      </c>
      <c r="BD24" s="113">
        <f t="shared" si="8"/>
        <v>0</v>
      </c>
      <c r="BE24" s="113">
        <f t="shared" si="9"/>
        <v>0</v>
      </c>
      <c r="BF24" s="113">
        <f t="shared" si="10"/>
        <v>0</v>
      </c>
      <c r="BG24" s="113">
        <f t="shared" si="11"/>
        <v>0</v>
      </c>
      <c r="BH24" s="113">
        <f t="shared" si="12"/>
        <v>0</v>
      </c>
      <c r="BI24" s="113">
        <f t="shared" si="13"/>
        <v>0</v>
      </c>
      <c r="BJ24" s="113">
        <f t="shared" si="14"/>
        <v>0</v>
      </c>
      <c r="BK24" s="113">
        <f t="shared" si="15"/>
        <v>0</v>
      </c>
      <c r="BL24" s="288">
        <f t="shared" si="16"/>
        <v>0</v>
      </c>
      <c r="BM24" s="288">
        <f t="shared" si="17"/>
        <v>0</v>
      </c>
      <c r="BN24" s="190">
        <v>5000</v>
      </c>
      <c r="BO24" s="258">
        <f t="shared" si="18"/>
        <v>0</v>
      </c>
      <c r="BP24" s="71">
        <f t="shared" si="19"/>
        <v>0</v>
      </c>
      <c r="BQ24" s="112">
        <f t="shared" si="20"/>
        <v>0</v>
      </c>
      <c r="BR24" s="112">
        <f t="shared" si="21"/>
        <v>0</v>
      </c>
      <c r="BS24" s="112">
        <f t="shared" si="22"/>
        <v>0</v>
      </c>
      <c r="BT24" s="112">
        <f t="shared" si="1"/>
        <v>0</v>
      </c>
      <c r="BU24" s="112">
        <f t="shared" si="23"/>
        <v>0</v>
      </c>
      <c r="BV24" s="112">
        <f t="shared" si="24"/>
        <v>0</v>
      </c>
      <c r="BW24" s="112">
        <f t="shared" si="25"/>
        <v>0</v>
      </c>
      <c r="BX24" s="112">
        <f t="shared" si="26"/>
        <v>0</v>
      </c>
      <c r="BY24" s="71">
        <f t="shared" si="27"/>
        <v>0</v>
      </c>
      <c r="BZ24" s="112">
        <f t="shared" si="28"/>
        <v>0</v>
      </c>
      <c r="CA24" s="159"/>
      <c r="CB24" s="159"/>
      <c r="CC24" s="71">
        <f t="shared" si="29"/>
        <v>80</v>
      </c>
      <c r="CD24" s="71">
        <f>+AI24*12+12</f>
        <v>120</v>
      </c>
      <c r="CE24" s="71">
        <f t="shared" si="30"/>
        <v>105</v>
      </c>
      <c r="CF24" s="71">
        <f t="shared" si="31"/>
        <v>305</v>
      </c>
      <c r="CG24" s="71">
        <f t="shared" si="32"/>
        <v>375305</v>
      </c>
      <c r="CH24" s="166">
        <f t="shared" si="33"/>
        <v>0</v>
      </c>
      <c r="CI24" s="263">
        <f t="shared" si="34"/>
        <v>375000</v>
      </c>
      <c r="CJ24" s="52"/>
      <c r="CK24" s="172"/>
      <c r="CL24" s="247"/>
      <c r="CM24" s="247"/>
      <c r="CN24" s="248"/>
      <c r="CO24" s="248"/>
      <c r="CP24" s="244"/>
      <c r="CQ24" s="52"/>
      <c r="CR24" s="167" t="str">
        <f t="shared" si="43"/>
        <v xml:space="preserve">LEIDY SERRANO </v>
      </c>
      <c r="CS24" s="171" t="s">
        <v>174</v>
      </c>
      <c r="CT24" s="169">
        <f t="shared" si="36"/>
        <v>5000</v>
      </c>
      <c r="CU24" s="169">
        <f t="shared" si="37"/>
        <v>0</v>
      </c>
      <c r="CV24" s="169">
        <v>750</v>
      </c>
      <c r="CW24" s="169">
        <f t="shared" si="38"/>
        <v>172500</v>
      </c>
      <c r="CX24" s="307">
        <v>5.4</v>
      </c>
      <c r="CY24" s="307">
        <v>4.5999999999999996</v>
      </c>
      <c r="CZ24" s="311">
        <f t="shared" si="39"/>
        <v>51200</v>
      </c>
      <c r="DA24" s="311"/>
      <c r="DB24" s="311">
        <f t="shared" si="40"/>
        <v>375000</v>
      </c>
      <c r="DC24" s="311">
        <f>+CI24</f>
        <v>375000</v>
      </c>
      <c r="DD24" s="312">
        <f>+CI24+CZ24+CW24</f>
        <v>598700</v>
      </c>
    </row>
    <row r="25" spans="1:108" ht="15.75" x14ac:dyDescent="0.25">
      <c r="A25" s="50" t="str">
        <f>+'[1]SEMANA DEL 13 AL 20 '!A25</f>
        <v xml:space="preserve">MAYERLIN BOLIVAR </v>
      </c>
      <c r="B25" s="190">
        <v>0.30000000000000071</v>
      </c>
      <c r="C25" s="190">
        <v>1.3399999999999963</v>
      </c>
      <c r="D25" s="190">
        <v>2.0999999999999801</v>
      </c>
      <c r="E25" s="190">
        <v>0</v>
      </c>
      <c r="F25" s="260">
        <v>0</v>
      </c>
      <c r="G25" s="260">
        <v>0</v>
      </c>
      <c r="H25" s="260">
        <v>0</v>
      </c>
      <c r="I25" s="260">
        <v>0</v>
      </c>
      <c r="J25" s="260">
        <v>0</v>
      </c>
      <c r="K25" s="260">
        <v>0</v>
      </c>
      <c r="L25" s="260">
        <v>0</v>
      </c>
      <c r="M25" s="260">
        <v>0</v>
      </c>
      <c r="N25" s="260">
        <v>0</v>
      </c>
      <c r="O25" s="260">
        <v>0</v>
      </c>
      <c r="P25" s="260">
        <v>0</v>
      </c>
      <c r="Q25" s="260">
        <v>0</v>
      </c>
      <c r="R25" s="289">
        <v>15</v>
      </c>
      <c r="S25" s="289">
        <v>27</v>
      </c>
      <c r="T25" s="289">
        <v>105</v>
      </c>
      <c r="U25" s="289">
        <v>12</v>
      </c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>
        <v>15</v>
      </c>
      <c r="AI25" s="289">
        <v>27</v>
      </c>
      <c r="AJ25" s="289">
        <v>105</v>
      </c>
      <c r="AK25" s="289">
        <v>12</v>
      </c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  <c r="AX25" s="287">
        <f t="shared" si="2"/>
        <v>0.30000000000000071</v>
      </c>
      <c r="AY25" s="113">
        <f t="shared" si="3"/>
        <v>1.3399999999999963</v>
      </c>
      <c r="AZ25" s="113">
        <f t="shared" si="4"/>
        <v>2.0999999999999801</v>
      </c>
      <c r="BA25" s="113">
        <f t="shared" si="5"/>
        <v>0</v>
      </c>
      <c r="BB25" s="287">
        <f t="shared" si="6"/>
        <v>0</v>
      </c>
      <c r="BC25" s="113">
        <f t="shared" si="7"/>
        <v>0</v>
      </c>
      <c r="BD25" s="113">
        <f t="shared" si="8"/>
        <v>0</v>
      </c>
      <c r="BE25" s="113">
        <f t="shared" si="9"/>
        <v>0</v>
      </c>
      <c r="BF25" s="113">
        <f t="shared" si="10"/>
        <v>0</v>
      </c>
      <c r="BG25" s="113">
        <f t="shared" si="11"/>
        <v>0</v>
      </c>
      <c r="BH25" s="113">
        <f t="shared" si="12"/>
        <v>0</v>
      </c>
      <c r="BI25" s="113">
        <f t="shared" si="13"/>
        <v>0</v>
      </c>
      <c r="BJ25" s="113">
        <f t="shared" si="14"/>
        <v>0</v>
      </c>
      <c r="BK25" s="113">
        <f t="shared" si="15"/>
        <v>0</v>
      </c>
      <c r="BL25" s="288">
        <f t="shared" si="16"/>
        <v>0</v>
      </c>
      <c r="BM25" s="288">
        <f t="shared" si="17"/>
        <v>0</v>
      </c>
      <c r="BN25" s="190">
        <v>15000</v>
      </c>
      <c r="BO25" s="258">
        <f t="shared" si="18"/>
        <v>0</v>
      </c>
      <c r="BP25" s="71">
        <f t="shared" si="19"/>
        <v>0</v>
      </c>
      <c r="BQ25" s="112">
        <f t="shared" si="20"/>
        <v>0</v>
      </c>
      <c r="BR25" s="112">
        <f t="shared" si="21"/>
        <v>0</v>
      </c>
      <c r="BS25" s="112">
        <f t="shared" si="22"/>
        <v>0</v>
      </c>
      <c r="BT25" s="112">
        <f t="shared" si="1"/>
        <v>0</v>
      </c>
      <c r="BU25" s="112">
        <f t="shared" si="23"/>
        <v>0</v>
      </c>
      <c r="BV25" s="112">
        <f t="shared" si="24"/>
        <v>0</v>
      </c>
      <c r="BW25" s="112">
        <f t="shared" si="25"/>
        <v>0</v>
      </c>
      <c r="BX25" s="112">
        <f t="shared" si="26"/>
        <v>0</v>
      </c>
      <c r="BY25" s="71">
        <f t="shared" si="27"/>
        <v>0</v>
      </c>
      <c r="BZ25" s="112">
        <f t="shared" si="28"/>
        <v>0</v>
      </c>
      <c r="CA25" s="159"/>
      <c r="CB25" s="159"/>
      <c r="CC25" s="71">
        <f t="shared" si="29"/>
        <v>240</v>
      </c>
      <c r="CD25" s="71">
        <f>+AI25*12+36</f>
        <v>360</v>
      </c>
      <c r="CE25" s="71">
        <f t="shared" si="30"/>
        <v>315</v>
      </c>
      <c r="CF25" s="71">
        <f t="shared" si="31"/>
        <v>915</v>
      </c>
      <c r="CG25" s="71">
        <f t="shared" si="32"/>
        <v>1125915</v>
      </c>
      <c r="CH25" s="166">
        <f t="shared" si="33"/>
        <v>0</v>
      </c>
      <c r="CI25" s="263">
        <f t="shared" si="34"/>
        <v>1125000</v>
      </c>
      <c r="CJ25" s="315"/>
      <c r="CK25" s="172"/>
      <c r="CL25" s="247"/>
      <c r="CM25" s="247"/>
      <c r="CN25" s="248"/>
      <c r="CO25" s="248"/>
      <c r="CP25" s="244"/>
      <c r="CQ25" s="52"/>
      <c r="CR25" s="167" t="str">
        <f t="shared" si="43"/>
        <v xml:space="preserve">MAYERLIN BOLIVAR </v>
      </c>
      <c r="CS25" s="171" t="s">
        <v>153</v>
      </c>
      <c r="CT25" s="169">
        <f t="shared" si="36"/>
        <v>15000</v>
      </c>
      <c r="CU25" s="169">
        <f t="shared" si="37"/>
        <v>0</v>
      </c>
      <c r="CV25" s="169"/>
      <c r="CW25" s="169">
        <f t="shared" si="38"/>
        <v>0</v>
      </c>
      <c r="CX25" s="307">
        <v>3.5</v>
      </c>
      <c r="CY25" s="307">
        <v>8.4</v>
      </c>
      <c r="CZ25" s="311">
        <f t="shared" si="39"/>
        <v>52150</v>
      </c>
      <c r="DA25" s="311"/>
      <c r="DB25" s="311">
        <f t="shared" si="40"/>
        <v>1125000</v>
      </c>
      <c r="DC25" s="311">
        <f t="shared" si="41"/>
        <v>1125000</v>
      </c>
      <c r="DD25" s="312">
        <f t="shared" si="42"/>
        <v>1177150</v>
      </c>
    </row>
    <row r="26" spans="1:108" ht="15.75" x14ac:dyDescent="0.25">
      <c r="A26" s="50" t="str">
        <f>+'[1]SEMANA DEL 13 AL 20 '!A26</f>
        <v xml:space="preserve">MARTHA SILVA </v>
      </c>
      <c r="B26" s="190">
        <v>9.9999999999999645E-2</v>
      </c>
      <c r="C26" s="190">
        <v>0.17999999999999972</v>
      </c>
      <c r="D26" s="190">
        <v>12.000000000000021</v>
      </c>
      <c r="E26" s="190">
        <v>0</v>
      </c>
      <c r="F26" s="260">
        <v>0</v>
      </c>
      <c r="G26" s="260">
        <v>0</v>
      </c>
      <c r="H26" s="260">
        <v>0</v>
      </c>
      <c r="I26" s="260">
        <v>0</v>
      </c>
      <c r="J26" s="260">
        <v>0</v>
      </c>
      <c r="K26" s="260">
        <v>0</v>
      </c>
      <c r="L26" s="260">
        <v>0</v>
      </c>
      <c r="M26" s="260">
        <v>0</v>
      </c>
      <c r="N26" s="260">
        <v>0</v>
      </c>
      <c r="O26" s="260">
        <v>0</v>
      </c>
      <c r="P26" s="260">
        <v>0</v>
      </c>
      <c r="Q26" s="260">
        <v>0</v>
      </c>
      <c r="R26" s="289">
        <v>0</v>
      </c>
      <c r="S26" s="289">
        <v>0</v>
      </c>
      <c r="T26" s="289">
        <v>0</v>
      </c>
      <c r="U26" s="289">
        <v>0</v>
      </c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>
        <v>0</v>
      </c>
      <c r="AI26" s="289">
        <v>0</v>
      </c>
      <c r="AJ26" s="289">
        <v>0</v>
      </c>
      <c r="AK26" s="289">
        <v>0</v>
      </c>
      <c r="AL26" s="289"/>
      <c r="AM26" s="289"/>
      <c r="AN26" s="289"/>
      <c r="AO26" s="289"/>
      <c r="AP26" s="289"/>
      <c r="AQ26" s="289"/>
      <c r="AR26" s="289"/>
      <c r="AS26" s="289"/>
      <c r="AT26" s="289"/>
      <c r="AU26" s="289"/>
      <c r="AV26" s="289"/>
      <c r="AW26" s="289"/>
      <c r="AX26" s="287">
        <f t="shared" si="2"/>
        <v>9.9999999999999645E-2</v>
      </c>
      <c r="AY26" s="113">
        <f t="shared" si="3"/>
        <v>0.17999999999999972</v>
      </c>
      <c r="AZ26" s="113">
        <f t="shared" si="4"/>
        <v>12.000000000000021</v>
      </c>
      <c r="BA26" s="113">
        <f t="shared" si="5"/>
        <v>0</v>
      </c>
      <c r="BB26" s="287">
        <f t="shared" si="6"/>
        <v>0</v>
      </c>
      <c r="BC26" s="113">
        <f t="shared" si="7"/>
        <v>0</v>
      </c>
      <c r="BD26" s="113">
        <f t="shared" si="8"/>
        <v>0</v>
      </c>
      <c r="BE26" s="113">
        <f t="shared" si="9"/>
        <v>0</v>
      </c>
      <c r="BF26" s="113">
        <f t="shared" si="10"/>
        <v>0</v>
      </c>
      <c r="BG26" s="113">
        <f t="shared" si="11"/>
        <v>0</v>
      </c>
      <c r="BH26" s="113">
        <f t="shared" si="12"/>
        <v>0</v>
      </c>
      <c r="BI26" s="113">
        <f t="shared" si="13"/>
        <v>0</v>
      </c>
      <c r="BJ26" s="113">
        <f t="shared" si="14"/>
        <v>0</v>
      </c>
      <c r="BK26" s="113">
        <f t="shared" si="15"/>
        <v>0</v>
      </c>
      <c r="BL26" s="288">
        <f t="shared" si="16"/>
        <v>0</v>
      </c>
      <c r="BM26" s="288">
        <f t="shared" si="17"/>
        <v>0</v>
      </c>
      <c r="BN26" s="190">
        <v>0</v>
      </c>
      <c r="BO26" s="258">
        <f t="shared" si="18"/>
        <v>0</v>
      </c>
      <c r="BP26" s="71">
        <f t="shared" si="19"/>
        <v>0</v>
      </c>
      <c r="BQ26" s="112">
        <f t="shared" si="20"/>
        <v>0</v>
      </c>
      <c r="BR26" s="112">
        <f t="shared" si="21"/>
        <v>0</v>
      </c>
      <c r="BS26" s="112">
        <f t="shared" si="22"/>
        <v>0</v>
      </c>
      <c r="BT26" s="112">
        <f t="shared" si="1"/>
        <v>0</v>
      </c>
      <c r="BU26" s="112">
        <f t="shared" si="23"/>
        <v>0</v>
      </c>
      <c r="BV26" s="112">
        <f t="shared" si="24"/>
        <v>0</v>
      </c>
      <c r="BW26" s="112">
        <f t="shared" si="25"/>
        <v>0</v>
      </c>
      <c r="BX26" s="112">
        <f t="shared" si="26"/>
        <v>0</v>
      </c>
      <c r="BY26" s="71">
        <f t="shared" si="27"/>
        <v>0</v>
      </c>
      <c r="BZ26" s="112">
        <f t="shared" si="28"/>
        <v>0</v>
      </c>
      <c r="CA26" s="159"/>
      <c r="CB26" s="159"/>
      <c r="CC26" s="71">
        <f t="shared" si="29"/>
        <v>0</v>
      </c>
      <c r="CD26" s="71">
        <f t="shared" si="35"/>
        <v>0</v>
      </c>
      <c r="CE26" s="71">
        <f t="shared" si="30"/>
        <v>0</v>
      </c>
      <c r="CF26" s="71">
        <f t="shared" si="31"/>
        <v>0</v>
      </c>
      <c r="CG26" s="71">
        <f t="shared" si="32"/>
        <v>0</v>
      </c>
      <c r="CH26" s="166">
        <f t="shared" si="33"/>
        <v>0</v>
      </c>
      <c r="CI26" s="263">
        <f t="shared" si="34"/>
        <v>0</v>
      </c>
      <c r="CJ26" s="52"/>
      <c r="CK26" s="172" t="s">
        <v>65</v>
      </c>
      <c r="CL26" s="247" t="e">
        <f>+#REF!</f>
        <v>#REF!</v>
      </c>
      <c r="CM26" s="247" t="e">
        <f>+#REF!</f>
        <v>#REF!</v>
      </c>
      <c r="CN26" s="248" t="e">
        <f>+CL26+CM26</f>
        <v>#REF!</v>
      </c>
      <c r="CO26" s="248" t="e">
        <f>+#REF!</f>
        <v>#REF!</v>
      </c>
      <c r="CP26" s="244" t="e">
        <f>CN26-CO26</f>
        <v>#REF!</v>
      </c>
      <c r="CQ26" s="52"/>
      <c r="CR26" s="167" t="str">
        <f t="shared" si="43"/>
        <v xml:space="preserve">MARTHA SILVA </v>
      </c>
      <c r="CS26" s="171" t="s">
        <v>129</v>
      </c>
      <c r="CT26" s="169">
        <f t="shared" si="36"/>
        <v>0</v>
      </c>
      <c r="CU26" s="169">
        <f t="shared" si="37"/>
        <v>0</v>
      </c>
      <c r="CV26" s="169"/>
      <c r="CW26" s="169">
        <f t="shared" si="38"/>
        <v>0</v>
      </c>
      <c r="CX26" s="307">
        <v>0</v>
      </c>
      <c r="CY26" s="307">
        <v>0</v>
      </c>
      <c r="CZ26" s="311">
        <f t="shared" si="39"/>
        <v>0</v>
      </c>
      <c r="DA26" s="311"/>
      <c r="DB26" s="311">
        <f t="shared" si="40"/>
        <v>0</v>
      </c>
      <c r="DC26" s="311">
        <f t="shared" si="41"/>
        <v>0</v>
      </c>
      <c r="DD26" s="312">
        <f t="shared" si="42"/>
        <v>0</v>
      </c>
    </row>
    <row r="27" spans="1:108" ht="15.75" x14ac:dyDescent="0.25">
      <c r="A27" s="50" t="s">
        <v>248</v>
      </c>
      <c r="B27" s="190">
        <v>0</v>
      </c>
      <c r="C27" s="190">
        <v>-3.9999999999977831E-3</v>
      </c>
      <c r="D27" s="190">
        <v>0</v>
      </c>
      <c r="E27" s="190">
        <v>0</v>
      </c>
      <c r="F27" s="260">
        <v>0</v>
      </c>
      <c r="G27" s="260">
        <v>0</v>
      </c>
      <c r="H27" s="260">
        <v>0</v>
      </c>
      <c r="I27" s="260">
        <v>0</v>
      </c>
      <c r="J27" s="260">
        <v>0</v>
      </c>
      <c r="K27" s="260">
        <v>0</v>
      </c>
      <c r="L27" s="260">
        <v>0</v>
      </c>
      <c r="M27" s="260">
        <v>0</v>
      </c>
      <c r="N27" s="260">
        <v>0</v>
      </c>
      <c r="O27" s="260">
        <v>0</v>
      </c>
      <c r="P27" s="260">
        <v>0</v>
      </c>
      <c r="Q27" s="260">
        <v>0</v>
      </c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289"/>
      <c r="AU27" s="289"/>
      <c r="AV27" s="289"/>
      <c r="AW27" s="289"/>
      <c r="AX27" s="287">
        <f t="shared" si="2"/>
        <v>0</v>
      </c>
      <c r="AY27" s="113">
        <f t="shared" si="3"/>
        <v>-3.9999999999977831E-3</v>
      </c>
      <c r="AZ27" s="113">
        <f t="shared" si="4"/>
        <v>0</v>
      </c>
      <c r="BA27" s="113">
        <f t="shared" si="5"/>
        <v>0</v>
      </c>
      <c r="BB27" s="287">
        <f t="shared" si="6"/>
        <v>0</v>
      </c>
      <c r="BC27" s="113">
        <f t="shared" si="7"/>
        <v>0</v>
      </c>
      <c r="BD27" s="113">
        <f t="shared" si="8"/>
        <v>0</v>
      </c>
      <c r="BE27" s="113">
        <f t="shared" si="9"/>
        <v>0</v>
      </c>
      <c r="BF27" s="113">
        <f t="shared" si="10"/>
        <v>0</v>
      </c>
      <c r="BG27" s="113">
        <f t="shared" si="11"/>
        <v>0</v>
      </c>
      <c r="BH27" s="113">
        <f t="shared" si="12"/>
        <v>0</v>
      </c>
      <c r="BI27" s="113">
        <f t="shared" si="13"/>
        <v>0</v>
      </c>
      <c r="BJ27" s="113">
        <f t="shared" si="14"/>
        <v>0</v>
      </c>
      <c r="BK27" s="113">
        <f t="shared" si="15"/>
        <v>0</v>
      </c>
      <c r="BL27" s="288">
        <f t="shared" si="16"/>
        <v>0</v>
      </c>
      <c r="BM27" s="288">
        <f t="shared" si="17"/>
        <v>0</v>
      </c>
      <c r="BN27" s="190"/>
      <c r="BO27" s="258"/>
      <c r="BP27" s="71"/>
      <c r="BQ27" s="112"/>
      <c r="BR27" s="112"/>
      <c r="BS27" s="112"/>
      <c r="BT27" s="112"/>
      <c r="BU27" s="112"/>
      <c r="BV27" s="112"/>
      <c r="BW27" s="112"/>
      <c r="BX27" s="112"/>
      <c r="BY27" s="71"/>
      <c r="BZ27" s="112"/>
      <c r="CA27" s="159"/>
      <c r="CB27" s="159"/>
      <c r="CC27" s="71"/>
      <c r="CD27" s="71"/>
      <c r="CE27" s="71"/>
      <c r="CF27" s="71"/>
      <c r="CG27" s="71"/>
      <c r="CH27" s="166"/>
      <c r="CI27" s="263"/>
      <c r="CJ27" s="52"/>
      <c r="CK27" s="172"/>
      <c r="CL27" s="247"/>
      <c r="CM27" s="247"/>
      <c r="CN27" s="248"/>
      <c r="CO27" s="248"/>
      <c r="CP27" s="244"/>
      <c r="CQ27" s="52"/>
      <c r="CR27" s="167"/>
      <c r="CS27" s="171"/>
      <c r="CT27" s="169"/>
      <c r="CU27" s="169"/>
      <c r="CV27" s="169"/>
      <c r="CW27" s="169"/>
      <c r="CX27" s="307"/>
      <c r="CY27" s="307"/>
      <c r="CZ27" s="311"/>
      <c r="DA27" s="311"/>
      <c r="DB27" s="311"/>
      <c r="DC27" s="311"/>
      <c r="DD27" s="312"/>
    </row>
    <row r="28" spans="1:108" ht="15.75" x14ac:dyDescent="0.25">
      <c r="A28" s="50" t="s">
        <v>249</v>
      </c>
      <c r="B28" s="190">
        <v>0</v>
      </c>
      <c r="C28" s="190">
        <v>-3.9999999999977831E-3</v>
      </c>
      <c r="D28" s="190">
        <v>0</v>
      </c>
      <c r="E28" s="190">
        <v>0</v>
      </c>
      <c r="F28" s="260">
        <v>0</v>
      </c>
      <c r="G28" s="260">
        <v>0</v>
      </c>
      <c r="H28" s="260">
        <v>0</v>
      </c>
      <c r="I28" s="260">
        <v>0</v>
      </c>
      <c r="J28" s="260">
        <v>0</v>
      </c>
      <c r="K28" s="260">
        <v>0</v>
      </c>
      <c r="L28" s="260">
        <v>0</v>
      </c>
      <c r="M28" s="260">
        <v>0</v>
      </c>
      <c r="N28" s="260">
        <v>0</v>
      </c>
      <c r="O28" s="260">
        <v>0</v>
      </c>
      <c r="P28" s="260">
        <v>0</v>
      </c>
      <c r="Q28" s="260">
        <v>0</v>
      </c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89"/>
      <c r="AT28" s="289"/>
      <c r="AU28" s="289"/>
      <c r="AV28" s="289"/>
      <c r="AW28" s="289"/>
      <c r="AX28" s="287">
        <f t="shared" si="2"/>
        <v>0</v>
      </c>
      <c r="AY28" s="113">
        <f t="shared" si="3"/>
        <v>-3.9999999999977831E-3</v>
      </c>
      <c r="AZ28" s="113">
        <f t="shared" si="4"/>
        <v>0</v>
      </c>
      <c r="BA28" s="113">
        <f t="shared" si="5"/>
        <v>0</v>
      </c>
      <c r="BB28" s="287">
        <f t="shared" si="6"/>
        <v>0</v>
      </c>
      <c r="BC28" s="113">
        <f t="shared" si="7"/>
        <v>0</v>
      </c>
      <c r="BD28" s="113">
        <f t="shared" si="8"/>
        <v>0</v>
      </c>
      <c r="BE28" s="113">
        <f t="shared" si="9"/>
        <v>0</v>
      </c>
      <c r="BF28" s="113">
        <f t="shared" si="10"/>
        <v>0</v>
      </c>
      <c r="BG28" s="113">
        <f t="shared" si="11"/>
        <v>0</v>
      </c>
      <c r="BH28" s="113">
        <f t="shared" si="12"/>
        <v>0</v>
      </c>
      <c r="BI28" s="113">
        <f t="shared" si="13"/>
        <v>0</v>
      </c>
      <c r="BJ28" s="113">
        <f t="shared" si="14"/>
        <v>0</v>
      </c>
      <c r="BK28" s="113">
        <f t="shared" si="15"/>
        <v>0</v>
      </c>
      <c r="BL28" s="288">
        <f t="shared" si="16"/>
        <v>0</v>
      </c>
      <c r="BM28" s="288">
        <f t="shared" si="17"/>
        <v>0</v>
      </c>
      <c r="BN28" s="190"/>
      <c r="BO28" s="258"/>
      <c r="BP28" s="71"/>
      <c r="BQ28" s="112"/>
      <c r="BR28" s="112"/>
      <c r="BS28" s="112"/>
      <c r="BT28" s="112"/>
      <c r="BU28" s="112"/>
      <c r="BV28" s="112"/>
      <c r="BW28" s="112"/>
      <c r="BX28" s="112"/>
      <c r="BY28" s="71"/>
      <c r="BZ28" s="112"/>
      <c r="CA28" s="159"/>
      <c r="CB28" s="159"/>
      <c r="CC28" s="71"/>
      <c r="CD28" s="71"/>
      <c r="CE28" s="71"/>
      <c r="CF28" s="71"/>
      <c r="CG28" s="71"/>
      <c r="CH28" s="166"/>
      <c r="CI28" s="263"/>
      <c r="CJ28" s="52"/>
      <c r="CK28" s="172"/>
      <c r="CL28" s="247"/>
      <c r="CM28" s="247"/>
      <c r="CN28" s="248"/>
      <c r="CO28" s="248"/>
      <c r="CP28" s="244"/>
      <c r="CQ28" s="52"/>
      <c r="CR28" s="167"/>
      <c r="CS28" s="171"/>
      <c r="CT28" s="169"/>
      <c r="CU28" s="169"/>
      <c r="CV28" s="169"/>
      <c r="CW28" s="169"/>
      <c r="CX28" s="307"/>
      <c r="CY28" s="307"/>
      <c r="CZ28" s="311"/>
      <c r="DA28" s="311"/>
      <c r="DB28" s="311"/>
      <c r="DC28" s="311"/>
      <c r="DD28" s="312"/>
    </row>
    <row r="29" spans="1:108" ht="15.75" x14ac:dyDescent="0.25">
      <c r="A29" s="50" t="str">
        <f>+'[1]SEMANA DEL 13 AL 20 '!A27</f>
        <v xml:space="preserve">MARIA MEDINA </v>
      </c>
      <c r="B29" s="190">
        <v>0</v>
      </c>
      <c r="C29" s="190">
        <v>-3.9999999999977831E-3</v>
      </c>
      <c r="D29" s="190">
        <v>0</v>
      </c>
      <c r="E29" s="190">
        <v>0</v>
      </c>
      <c r="F29" s="260">
        <v>0</v>
      </c>
      <c r="G29" s="260">
        <v>0</v>
      </c>
      <c r="H29" s="260">
        <v>0</v>
      </c>
      <c r="I29" s="260">
        <v>0</v>
      </c>
      <c r="J29" s="260">
        <v>0</v>
      </c>
      <c r="K29" s="260">
        <v>0</v>
      </c>
      <c r="L29" s="260">
        <v>0</v>
      </c>
      <c r="M29" s="260">
        <v>0</v>
      </c>
      <c r="N29" s="260">
        <v>0</v>
      </c>
      <c r="O29" s="260">
        <v>0</v>
      </c>
      <c r="P29" s="260">
        <v>0</v>
      </c>
      <c r="Q29" s="260">
        <v>0</v>
      </c>
      <c r="R29" s="289">
        <v>5</v>
      </c>
      <c r="S29" s="289">
        <v>9</v>
      </c>
      <c r="T29" s="289">
        <v>35</v>
      </c>
      <c r="U29" s="289">
        <v>4</v>
      </c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>
        <v>5</v>
      </c>
      <c r="AI29" s="289">
        <v>9</v>
      </c>
      <c r="AJ29" s="289">
        <v>35</v>
      </c>
      <c r="AK29" s="289">
        <v>4</v>
      </c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287">
        <f t="shared" si="2"/>
        <v>0</v>
      </c>
      <c r="AY29" s="113">
        <f t="shared" si="3"/>
        <v>-3.9999999999977831E-3</v>
      </c>
      <c r="AZ29" s="113">
        <f t="shared" si="4"/>
        <v>0</v>
      </c>
      <c r="BA29" s="113">
        <f t="shared" si="5"/>
        <v>0</v>
      </c>
      <c r="BB29" s="287">
        <f t="shared" si="6"/>
        <v>0</v>
      </c>
      <c r="BC29" s="113">
        <f t="shared" si="7"/>
        <v>0</v>
      </c>
      <c r="BD29" s="113">
        <f t="shared" si="8"/>
        <v>0</v>
      </c>
      <c r="BE29" s="113">
        <f t="shared" si="9"/>
        <v>0</v>
      </c>
      <c r="BF29" s="113">
        <f t="shared" si="10"/>
        <v>0</v>
      </c>
      <c r="BG29" s="113">
        <f t="shared" si="11"/>
        <v>0</v>
      </c>
      <c r="BH29" s="113">
        <f t="shared" si="12"/>
        <v>0</v>
      </c>
      <c r="BI29" s="113">
        <f t="shared" si="13"/>
        <v>0</v>
      </c>
      <c r="BJ29" s="113">
        <f t="shared" si="14"/>
        <v>0</v>
      </c>
      <c r="BK29" s="113">
        <f t="shared" si="15"/>
        <v>0</v>
      </c>
      <c r="BL29" s="288">
        <f t="shared" si="16"/>
        <v>0</v>
      </c>
      <c r="BM29" s="288">
        <f t="shared" si="17"/>
        <v>0</v>
      </c>
      <c r="BN29" s="190">
        <v>5000</v>
      </c>
      <c r="BO29" s="258">
        <f t="shared" si="18"/>
        <v>0</v>
      </c>
      <c r="BP29" s="71">
        <f t="shared" si="19"/>
        <v>0</v>
      </c>
      <c r="BQ29" s="112">
        <f t="shared" si="20"/>
        <v>0</v>
      </c>
      <c r="BR29" s="112">
        <f t="shared" si="21"/>
        <v>0</v>
      </c>
      <c r="BS29" s="112">
        <f t="shared" si="22"/>
        <v>0</v>
      </c>
      <c r="BT29" s="112">
        <f t="shared" si="1"/>
        <v>0</v>
      </c>
      <c r="BU29" s="112">
        <f t="shared" si="23"/>
        <v>0</v>
      </c>
      <c r="BV29" s="112">
        <f t="shared" si="24"/>
        <v>0</v>
      </c>
      <c r="BW29" s="112">
        <f t="shared" si="25"/>
        <v>0</v>
      </c>
      <c r="BX29" s="112">
        <f t="shared" si="26"/>
        <v>0</v>
      </c>
      <c r="BY29" s="71">
        <f t="shared" si="27"/>
        <v>0</v>
      </c>
      <c r="BZ29" s="112">
        <f t="shared" si="28"/>
        <v>0</v>
      </c>
      <c r="CA29" s="159"/>
      <c r="CB29" s="159"/>
      <c r="CC29" s="71">
        <f t="shared" si="29"/>
        <v>80</v>
      </c>
      <c r="CD29" s="71">
        <f>+AI29*12+12</f>
        <v>120</v>
      </c>
      <c r="CE29" s="71">
        <f t="shared" si="30"/>
        <v>105</v>
      </c>
      <c r="CF29" s="71">
        <f t="shared" si="31"/>
        <v>305</v>
      </c>
      <c r="CG29" s="71">
        <f t="shared" si="32"/>
        <v>375305</v>
      </c>
      <c r="CH29" s="166">
        <f t="shared" si="33"/>
        <v>0</v>
      </c>
      <c r="CI29" s="263">
        <f t="shared" si="34"/>
        <v>375000</v>
      </c>
      <c r="CJ29" s="52"/>
      <c r="CK29" s="50"/>
      <c r="CL29" s="199"/>
      <c r="CM29" s="200"/>
      <c r="CN29" s="249"/>
      <c r="CO29" s="201"/>
      <c r="CP29" s="207"/>
      <c r="CQ29" s="52"/>
      <c r="CR29" s="167" t="str">
        <f t="shared" si="43"/>
        <v xml:space="preserve">MARIA MEDINA </v>
      </c>
      <c r="CS29" s="168" t="s">
        <v>175</v>
      </c>
      <c r="CT29" s="169">
        <f>+BN29</f>
        <v>5000</v>
      </c>
      <c r="CU29" s="169">
        <f>+AW29</f>
        <v>0</v>
      </c>
      <c r="CV29" s="169">
        <v>507</v>
      </c>
      <c r="CW29" s="169">
        <f>+CV29*230</f>
        <v>116610</v>
      </c>
      <c r="CX29" s="307">
        <v>1.2</v>
      </c>
      <c r="CY29" s="307">
        <v>1.7</v>
      </c>
      <c r="CZ29" s="311">
        <f>+CX29*6500+CY29*3500</f>
        <v>13750</v>
      </c>
      <c r="DA29" s="311"/>
      <c r="DB29" s="311">
        <f t="shared" si="40"/>
        <v>375000</v>
      </c>
      <c r="DC29" s="311">
        <f>+CI29</f>
        <v>375000</v>
      </c>
      <c r="DD29" s="312">
        <f>+CI29+CZ29+CW29</f>
        <v>505360</v>
      </c>
    </row>
    <row r="30" spans="1:108" ht="15.75" x14ac:dyDescent="0.25">
      <c r="A30" s="50" t="str">
        <f>+'[1]SEMANA DEL 13 AL 20 '!A30</f>
        <v xml:space="preserve">PETTER BENAVIDES </v>
      </c>
      <c r="B30" s="190">
        <v>0</v>
      </c>
      <c r="C30" s="190">
        <v>0</v>
      </c>
      <c r="D30" s="190">
        <v>0</v>
      </c>
      <c r="E30" s="190">
        <v>0</v>
      </c>
      <c r="F30" s="260">
        <v>0</v>
      </c>
      <c r="G30" s="260">
        <v>0</v>
      </c>
      <c r="H30" s="260">
        <v>0</v>
      </c>
      <c r="I30" s="260">
        <v>2</v>
      </c>
      <c r="J30" s="260">
        <v>0</v>
      </c>
      <c r="K30" s="260">
        <v>0</v>
      </c>
      <c r="L30" s="260">
        <v>0</v>
      </c>
      <c r="M30" s="260">
        <v>0</v>
      </c>
      <c r="N30" s="260">
        <v>0</v>
      </c>
      <c r="O30" s="260">
        <v>0</v>
      </c>
      <c r="P30" s="260">
        <v>0</v>
      </c>
      <c r="Q30" s="260">
        <v>0</v>
      </c>
      <c r="R30" s="289">
        <v>10</v>
      </c>
      <c r="S30" s="289">
        <v>18</v>
      </c>
      <c r="T30" s="289">
        <v>70</v>
      </c>
      <c r="U30" s="289">
        <v>8</v>
      </c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>
        <v>10</v>
      </c>
      <c r="AI30" s="289">
        <v>18</v>
      </c>
      <c r="AJ30" s="289">
        <v>70</v>
      </c>
      <c r="AK30" s="289">
        <v>8</v>
      </c>
      <c r="AL30" s="289"/>
      <c r="AM30" s="289"/>
      <c r="AN30" s="289"/>
      <c r="AO30" s="289"/>
      <c r="AP30" s="289"/>
      <c r="AQ30" s="289"/>
      <c r="AR30" s="289"/>
      <c r="AS30" s="289"/>
      <c r="AT30" s="289"/>
      <c r="AU30" s="289"/>
      <c r="AV30" s="289"/>
      <c r="AW30" s="289"/>
      <c r="AX30" s="287">
        <f t="shared" si="2"/>
        <v>0</v>
      </c>
      <c r="AY30" s="113">
        <f t="shared" si="3"/>
        <v>0</v>
      </c>
      <c r="AZ30" s="113">
        <f t="shared" si="4"/>
        <v>0</v>
      </c>
      <c r="BA30" s="113">
        <f t="shared" si="5"/>
        <v>0</v>
      </c>
      <c r="BB30" s="287">
        <f t="shared" si="6"/>
        <v>0</v>
      </c>
      <c r="BC30" s="113">
        <f t="shared" si="7"/>
        <v>0</v>
      </c>
      <c r="BD30" s="113">
        <f t="shared" si="8"/>
        <v>0</v>
      </c>
      <c r="BE30" s="113">
        <f t="shared" si="9"/>
        <v>2</v>
      </c>
      <c r="BF30" s="113">
        <f t="shared" si="10"/>
        <v>0</v>
      </c>
      <c r="BG30" s="113">
        <f t="shared" si="11"/>
        <v>0</v>
      </c>
      <c r="BH30" s="113">
        <f t="shared" si="12"/>
        <v>0</v>
      </c>
      <c r="BI30" s="113">
        <f t="shared" si="13"/>
        <v>0</v>
      </c>
      <c r="BJ30" s="113">
        <f t="shared" si="14"/>
        <v>0</v>
      </c>
      <c r="BK30" s="113">
        <f t="shared" si="15"/>
        <v>0</v>
      </c>
      <c r="BL30" s="288">
        <f t="shared" si="16"/>
        <v>0</v>
      </c>
      <c r="BM30" s="288">
        <f t="shared" si="17"/>
        <v>0</v>
      </c>
      <c r="BN30" s="190">
        <v>10000</v>
      </c>
      <c r="BO30" s="258">
        <f t="shared" si="18"/>
        <v>0</v>
      </c>
      <c r="BP30" s="71">
        <f t="shared" si="19"/>
        <v>0</v>
      </c>
      <c r="BQ30" s="112">
        <f t="shared" si="20"/>
        <v>0</v>
      </c>
      <c r="BR30" s="112">
        <f t="shared" si="21"/>
        <v>0</v>
      </c>
      <c r="BS30" s="112">
        <f t="shared" si="22"/>
        <v>0</v>
      </c>
      <c r="BT30" s="112">
        <f t="shared" si="1"/>
        <v>0</v>
      </c>
      <c r="BU30" s="112">
        <f t="shared" si="23"/>
        <v>0</v>
      </c>
      <c r="BV30" s="112">
        <f t="shared" si="24"/>
        <v>0</v>
      </c>
      <c r="BW30" s="112">
        <f t="shared" si="25"/>
        <v>0</v>
      </c>
      <c r="BX30" s="112">
        <f t="shared" si="26"/>
        <v>0</v>
      </c>
      <c r="BY30" s="71">
        <f t="shared" si="27"/>
        <v>0</v>
      </c>
      <c r="BZ30" s="112">
        <f t="shared" si="28"/>
        <v>0</v>
      </c>
      <c r="CA30" s="159"/>
      <c r="CB30" s="159"/>
      <c r="CC30" s="71">
        <f t="shared" si="29"/>
        <v>160</v>
      </c>
      <c r="CD30" s="71">
        <f>+AI30*12+24</f>
        <v>240</v>
      </c>
      <c r="CE30" s="71">
        <f t="shared" si="30"/>
        <v>210</v>
      </c>
      <c r="CF30" s="71">
        <f t="shared" si="31"/>
        <v>610</v>
      </c>
      <c r="CG30" s="71">
        <f t="shared" si="32"/>
        <v>750610</v>
      </c>
      <c r="CH30" s="166">
        <f t="shared" si="33"/>
        <v>0</v>
      </c>
      <c r="CI30" s="263">
        <f t="shared" si="34"/>
        <v>750000</v>
      </c>
      <c r="CJ30" s="52"/>
      <c r="CK30" s="50"/>
      <c r="CL30" s="199"/>
      <c r="CM30" s="200"/>
      <c r="CN30" s="249"/>
      <c r="CO30" s="201"/>
      <c r="CP30" s="207"/>
      <c r="CQ30" s="52"/>
      <c r="CR30" s="167" t="str">
        <f t="shared" si="43"/>
        <v xml:space="preserve">PETTER BENAVIDES </v>
      </c>
      <c r="CS30" s="168" t="s">
        <v>176</v>
      </c>
      <c r="CT30" s="169">
        <f>+BN30</f>
        <v>10000</v>
      </c>
      <c r="CU30" s="169">
        <f>+AW30</f>
        <v>0</v>
      </c>
      <c r="CV30" s="169"/>
      <c r="CW30" s="169">
        <f>+CV30*230</f>
        <v>0</v>
      </c>
      <c r="CX30" s="307">
        <v>8</v>
      </c>
      <c r="CY30" s="307">
        <v>5.9</v>
      </c>
      <c r="CZ30" s="311">
        <f>+CX30*6500+CY30*3500</f>
        <v>72650</v>
      </c>
      <c r="DA30" s="311"/>
      <c r="DB30" s="311">
        <f>+CT30*75</f>
        <v>750000</v>
      </c>
      <c r="DC30" s="311">
        <f>+CI30</f>
        <v>750000</v>
      </c>
      <c r="DD30" s="312">
        <f>+CI30+CZ30+CW30</f>
        <v>822650</v>
      </c>
    </row>
    <row r="31" spans="1:108" ht="15.75" x14ac:dyDescent="0.25">
      <c r="A31" s="50" t="str">
        <f>+'[1]SEMANA DEL 13 AL 20 '!A31</f>
        <v xml:space="preserve">RAMON PARRA </v>
      </c>
      <c r="B31" s="190">
        <v>0</v>
      </c>
      <c r="C31" s="190">
        <v>0</v>
      </c>
      <c r="D31" s="190">
        <v>0</v>
      </c>
      <c r="E31" s="190">
        <v>0</v>
      </c>
      <c r="F31" s="260">
        <v>0</v>
      </c>
      <c r="G31" s="260">
        <v>0</v>
      </c>
      <c r="H31" s="260">
        <v>0</v>
      </c>
      <c r="I31" s="260">
        <v>0</v>
      </c>
      <c r="J31" s="260">
        <v>0</v>
      </c>
      <c r="K31" s="260">
        <v>0</v>
      </c>
      <c r="L31" s="260">
        <v>0</v>
      </c>
      <c r="M31" s="260">
        <v>0</v>
      </c>
      <c r="N31" s="260">
        <v>0</v>
      </c>
      <c r="O31" s="260">
        <v>0</v>
      </c>
      <c r="P31" s="260">
        <v>0</v>
      </c>
      <c r="Q31" s="260">
        <v>0</v>
      </c>
      <c r="R31" s="289">
        <v>5</v>
      </c>
      <c r="S31" s="289">
        <v>9</v>
      </c>
      <c r="T31" s="289">
        <v>35</v>
      </c>
      <c r="U31" s="289">
        <v>4</v>
      </c>
      <c r="V31" s="289"/>
      <c r="W31" s="289"/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>
        <v>5</v>
      </c>
      <c r="AI31" s="289">
        <v>9</v>
      </c>
      <c r="AJ31" s="289">
        <v>35</v>
      </c>
      <c r="AK31" s="289">
        <v>4</v>
      </c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7">
        <f t="shared" si="2"/>
        <v>0</v>
      </c>
      <c r="AY31" s="113">
        <f t="shared" si="3"/>
        <v>0</v>
      </c>
      <c r="AZ31" s="113">
        <f t="shared" si="4"/>
        <v>0</v>
      </c>
      <c r="BA31" s="113">
        <f t="shared" si="5"/>
        <v>0</v>
      </c>
      <c r="BB31" s="287">
        <f t="shared" si="6"/>
        <v>0</v>
      </c>
      <c r="BC31" s="113">
        <f t="shared" si="7"/>
        <v>0</v>
      </c>
      <c r="BD31" s="113">
        <f t="shared" si="8"/>
        <v>0</v>
      </c>
      <c r="BE31" s="113">
        <f t="shared" si="9"/>
        <v>0</v>
      </c>
      <c r="BF31" s="113">
        <f t="shared" si="10"/>
        <v>0</v>
      </c>
      <c r="BG31" s="113">
        <f t="shared" si="11"/>
        <v>0</v>
      </c>
      <c r="BH31" s="113">
        <f t="shared" si="12"/>
        <v>0</v>
      </c>
      <c r="BI31" s="113">
        <f t="shared" si="13"/>
        <v>0</v>
      </c>
      <c r="BJ31" s="113">
        <f t="shared" si="14"/>
        <v>0</v>
      </c>
      <c r="BK31" s="113">
        <f t="shared" si="15"/>
        <v>0</v>
      </c>
      <c r="BL31" s="288">
        <f t="shared" si="16"/>
        <v>0</v>
      </c>
      <c r="BM31" s="288">
        <f t="shared" si="17"/>
        <v>0</v>
      </c>
      <c r="BN31" s="190">
        <v>5000</v>
      </c>
      <c r="BO31" s="258">
        <f t="shared" si="18"/>
        <v>0</v>
      </c>
      <c r="BP31" s="71">
        <f t="shared" si="19"/>
        <v>0</v>
      </c>
      <c r="BQ31" s="112">
        <f t="shared" si="20"/>
        <v>0</v>
      </c>
      <c r="BR31" s="112">
        <f t="shared" si="21"/>
        <v>0</v>
      </c>
      <c r="BS31" s="112">
        <f t="shared" si="22"/>
        <v>0</v>
      </c>
      <c r="BT31" s="112">
        <f t="shared" si="1"/>
        <v>0</v>
      </c>
      <c r="BU31" s="112">
        <f t="shared" si="23"/>
        <v>0</v>
      </c>
      <c r="BV31" s="112">
        <f t="shared" si="24"/>
        <v>0</v>
      </c>
      <c r="BW31" s="112">
        <f t="shared" si="25"/>
        <v>0</v>
      </c>
      <c r="BX31" s="112">
        <f t="shared" si="26"/>
        <v>0</v>
      </c>
      <c r="BY31" s="71">
        <f t="shared" si="27"/>
        <v>0</v>
      </c>
      <c r="BZ31" s="112">
        <f t="shared" si="28"/>
        <v>0</v>
      </c>
      <c r="CA31" s="159"/>
      <c r="CB31" s="159"/>
      <c r="CC31" s="71">
        <f t="shared" si="29"/>
        <v>80</v>
      </c>
      <c r="CD31" s="71">
        <f>+AI31*12+12</f>
        <v>120</v>
      </c>
      <c r="CE31" s="71">
        <f t="shared" si="30"/>
        <v>105</v>
      </c>
      <c r="CF31" s="71">
        <f t="shared" si="31"/>
        <v>305</v>
      </c>
      <c r="CG31" s="71">
        <f t="shared" si="32"/>
        <v>375305</v>
      </c>
      <c r="CH31" s="166">
        <f t="shared" si="33"/>
        <v>0</v>
      </c>
      <c r="CI31" s="263">
        <f t="shared" si="34"/>
        <v>375000</v>
      </c>
      <c r="CJ31" s="52"/>
      <c r="CK31" s="50"/>
      <c r="CL31" s="199"/>
      <c r="CM31" s="200"/>
      <c r="CN31" s="249"/>
      <c r="CO31" s="201"/>
      <c r="CP31" s="207"/>
      <c r="CQ31" s="52"/>
      <c r="CR31" s="167" t="str">
        <f t="shared" si="43"/>
        <v xml:space="preserve">RAMON PARRA </v>
      </c>
      <c r="CS31" s="168" t="s">
        <v>155</v>
      </c>
      <c r="CT31" s="169">
        <f>+BN31</f>
        <v>5000</v>
      </c>
      <c r="CU31" s="169">
        <f>+AW31</f>
        <v>0</v>
      </c>
      <c r="CV31" s="169"/>
      <c r="CW31" s="169">
        <f>+CV31*230</f>
        <v>0</v>
      </c>
      <c r="CX31" s="307">
        <v>1.9</v>
      </c>
      <c r="CY31" s="307">
        <v>4.2</v>
      </c>
      <c r="CZ31" s="311">
        <f t="shared" si="39"/>
        <v>27050</v>
      </c>
      <c r="DA31" s="311"/>
      <c r="DB31" s="311">
        <f t="shared" si="40"/>
        <v>375000</v>
      </c>
      <c r="DC31" s="311">
        <f t="shared" si="41"/>
        <v>375000</v>
      </c>
      <c r="DD31" s="312">
        <f t="shared" si="42"/>
        <v>402050</v>
      </c>
    </row>
    <row r="32" spans="1:108" ht="15.75" x14ac:dyDescent="0.25">
      <c r="A32" s="50" t="str">
        <f>+'[1]SEMANA DEL 13 AL 20 '!A32</f>
        <v>SULAY ALMEIDA</v>
      </c>
      <c r="B32" s="190">
        <v>1</v>
      </c>
      <c r="C32" s="190">
        <v>1.8099999999999996</v>
      </c>
      <c r="D32" s="190">
        <v>6.9500000000000028</v>
      </c>
      <c r="E32" s="190">
        <v>0</v>
      </c>
      <c r="F32" s="260">
        <v>0</v>
      </c>
      <c r="G32" s="260">
        <v>0</v>
      </c>
      <c r="H32" s="260">
        <v>0</v>
      </c>
      <c r="I32" s="260">
        <v>0</v>
      </c>
      <c r="J32" s="260">
        <v>0</v>
      </c>
      <c r="K32" s="260">
        <v>0</v>
      </c>
      <c r="L32" s="260">
        <v>0</v>
      </c>
      <c r="M32" s="260">
        <v>0</v>
      </c>
      <c r="N32" s="260">
        <v>0</v>
      </c>
      <c r="O32" s="260">
        <v>0</v>
      </c>
      <c r="P32" s="260">
        <v>0</v>
      </c>
      <c r="Q32" s="260">
        <v>0</v>
      </c>
      <c r="R32" s="289">
        <v>0</v>
      </c>
      <c r="S32" s="289">
        <v>0</v>
      </c>
      <c r="T32" s="289">
        <v>0</v>
      </c>
      <c r="U32" s="289">
        <v>0</v>
      </c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>
        <v>0</v>
      </c>
      <c r="AI32" s="289">
        <v>0</v>
      </c>
      <c r="AJ32" s="289">
        <v>0</v>
      </c>
      <c r="AK32" s="289">
        <v>0</v>
      </c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7">
        <f t="shared" si="2"/>
        <v>1</v>
      </c>
      <c r="AY32" s="113">
        <f t="shared" si="3"/>
        <v>1.8099999999999996</v>
      </c>
      <c r="AZ32" s="113">
        <f t="shared" si="4"/>
        <v>6.9500000000000028</v>
      </c>
      <c r="BA32" s="113">
        <f t="shared" si="5"/>
        <v>0</v>
      </c>
      <c r="BB32" s="287">
        <f t="shared" si="6"/>
        <v>0</v>
      </c>
      <c r="BC32" s="113">
        <f t="shared" si="7"/>
        <v>0</v>
      </c>
      <c r="BD32" s="113">
        <f t="shared" si="8"/>
        <v>0</v>
      </c>
      <c r="BE32" s="113">
        <f t="shared" si="9"/>
        <v>0</v>
      </c>
      <c r="BF32" s="113">
        <f t="shared" si="10"/>
        <v>0</v>
      </c>
      <c r="BG32" s="113">
        <f t="shared" si="11"/>
        <v>0</v>
      </c>
      <c r="BH32" s="113">
        <f t="shared" si="12"/>
        <v>0</v>
      </c>
      <c r="BI32" s="113">
        <f t="shared" si="13"/>
        <v>0</v>
      </c>
      <c r="BJ32" s="113">
        <f t="shared" si="14"/>
        <v>0</v>
      </c>
      <c r="BK32" s="113">
        <f t="shared" si="15"/>
        <v>0</v>
      </c>
      <c r="BL32" s="288">
        <f t="shared" si="16"/>
        <v>0</v>
      </c>
      <c r="BM32" s="288">
        <f t="shared" si="17"/>
        <v>0</v>
      </c>
      <c r="BN32" s="190">
        <v>0</v>
      </c>
      <c r="BO32" s="258">
        <f t="shared" si="18"/>
        <v>0</v>
      </c>
      <c r="BP32" s="71">
        <f t="shared" si="19"/>
        <v>0</v>
      </c>
      <c r="BQ32" s="112">
        <f t="shared" si="20"/>
        <v>0</v>
      </c>
      <c r="BR32" s="112">
        <f t="shared" si="21"/>
        <v>0</v>
      </c>
      <c r="BS32" s="112">
        <f t="shared" si="22"/>
        <v>0</v>
      </c>
      <c r="BT32" s="112">
        <f t="shared" si="1"/>
        <v>0</v>
      </c>
      <c r="BU32" s="112">
        <f t="shared" si="23"/>
        <v>0</v>
      </c>
      <c r="BV32" s="112">
        <f t="shared" si="24"/>
        <v>0</v>
      </c>
      <c r="BW32" s="112">
        <f t="shared" si="25"/>
        <v>0</v>
      </c>
      <c r="BX32" s="112">
        <f t="shared" si="26"/>
        <v>0</v>
      </c>
      <c r="BY32" s="71">
        <f t="shared" si="27"/>
        <v>0</v>
      </c>
      <c r="BZ32" s="112">
        <f t="shared" si="28"/>
        <v>0</v>
      </c>
      <c r="CA32" s="159"/>
      <c r="CB32" s="159"/>
      <c r="CC32" s="71">
        <f t="shared" si="29"/>
        <v>0</v>
      </c>
      <c r="CD32" s="71">
        <f t="shared" si="35"/>
        <v>0</v>
      </c>
      <c r="CE32" s="71">
        <f t="shared" si="30"/>
        <v>0</v>
      </c>
      <c r="CF32" s="71">
        <f t="shared" si="31"/>
        <v>0</v>
      </c>
      <c r="CG32" s="71">
        <f t="shared" si="32"/>
        <v>0</v>
      </c>
      <c r="CH32" s="166">
        <f t="shared" si="33"/>
        <v>0</v>
      </c>
      <c r="CI32" s="263">
        <f t="shared" si="34"/>
        <v>0</v>
      </c>
      <c r="CJ32" s="52"/>
      <c r="CK32" s="50"/>
      <c r="CL32" s="199"/>
      <c r="CM32" s="200"/>
      <c r="CN32" s="249"/>
      <c r="CO32" s="201"/>
      <c r="CP32" s="207"/>
      <c r="CQ32" s="52"/>
      <c r="CR32" s="167" t="str">
        <f t="shared" si="43"/>
        <v>SULAY ALMEIDA</v>
      </c>
      <c r="CS32" s="171" t="s">
        <v>123</v>
      </c>
      <c r="CT32" s="169">
        <f t="shared" si="36"/>
        <v>0</v>
      </c>
      <c r="CU32" s="169">
        <f t="shared" si="37"/>
        <v>0</v>
      </c>
      <c r="CV32" s="169"/>
      <c r="CW32" s="169">
        <f t="shared" si="38"/>
        <v>0</v>
      </c>
      <c r="CX32" s="307">
        <v>0</v>
      </c>
      <c r="CY32" s="307">
        <v>0</v>
      </c>
      <c r="CZ32" s="311">
        <f t="shared" si="39"/>
        <v>0</v>
      </c>
      <c r="DA32" s="311"/>
      <c r="DB32" s="311">
        <f t="shared" si="40"/>
        <v>0</v>
      </c>
      <c r="DC32" s="311">
        <f t="shared" si="41"/>
        <v>0</v>
      </c>
      <c r="DD32" s="312">
        <f t="shared" si="42"/>
        <v>0</v>
      </c>
    </row>
    <row r="33" spans="1:143" ht="15.75" x14ac:dyDescent="0.25">
      <c r="A33" s="50" t="str">
        <f>+'[1]SEMANA DEL 13 AL 20 '!A34</f>
        <v xml:space="preserve">RENE ALMEIDA </v>
      </c>
      <c r="B33" s="190">
        <v>1.3499999999999996</v>
      </c>
      <c r="C33" s="190">
        <v>1.4300000000000006</v>
      </c>
      <c r="D33" s="190">
        <v>12.75</v>
      </c>
      <c r="E33" s="190">
        <v>0</v>
      </c>
      <c r="F33" s="260">
        <v>0</v>
      </c>
      <c r="G33" s="260">
        <v>0</v>
      </c>
      <c r="H33" s="260">
        <v>0</v>
      </c>
      <c r="I33" s="260">
        <v>0</v>
      </c>
      <c r="J33" s="260">
        <v>0</v>
      </c>
      <c r="K33" s="260">
        <v>0</v>
      </c>
      <c r="L33" s="260">
        <v>0</v>
      </c>
      <c r="M33" s="260">
        <v>0</v>
      </c>
      <c r="N33" s="260">
        <v>0</v>
      </c>
      <c r="O33" s="260">
        <v>0</v>
      </c>
      <c r="P33" s="260">
        <v>0</v>
      </c>
      <c r="Q33" s="260">
        <v>0</v>
      </c>
      <c r="R33" s="289">
        <v>2.5</v>
      </c>
      <c r="S33" s="289">
        <v>3.5</v>
      </c>
      <c r="T33" s="289">
        <v>15</v>
      </c>
      <c r="U33" s="289">
        <v>2</v>
      </c>
      <c r="V33" s="289"/>
      <c r="W33" s="289"/>
      <c r="X33" s="289"/>
      <c r="Y33" s="289"/>
      <c r="Z33" s="289"/>
      <c r="AA33" s="289"/>
      <c r="AB33" s="289"/>
      <c r="AC33" s="289"/>
      <c r="AD33" s="289"/>
      <c r="AE33" s="289"/>
      <c r="AF33" s="289"/>
      <c r="AG33" s="289"/>
      <c r="AH33" s="289">
        <v>2.4500000000000002</v>
      </c>
      <c r="AI33" s="289">
        <v>4.41</v>
      </c>
      <c r="AJ33" s="289">
        <v>17.149999999999999</v>
      </c>
      <c r="AK33" s="289">
        <v>2</v>
      </c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7">
        <f t="shared" si="2"/>
        <v>1.3999999999999995</v>
      </c>
      <c r="AY33" s="113">
        <f t="shared" si="3"/>
        <v>0.52000000000000046</v>
      </c>
      <c r="AZ33" s="113">
        <f t="shared" si="4"/>
        <v>10.600000000000001</v>
      </c>
      <c r="BA33" s="113">
        <f t="shared" si="5"/>
        <v>0</v>
      </c>
      <c r="BB33" s="287">
        <f t="shared" si="6"/>
        <v>0</v>
      </c>
      <c r="BC33" s="113">
        <f t="shared" si="7"/>
        <v>0</v>
      </c>
      <c r="BD33" s="113">
        <f t="shared" si="8"/>
        <v>0</v>
      </c>
      <c r="BE33" s="113">
        <f t="shared" si="9"/>
        <v>0</v>
      </c>
      <c r="BF33" s="113">
        <f t="shared" si="10"/>
        <v>0</v>
      </c>
      <c r="BG33" s="113">
        <f t="shared" si="11"/>
        <v>0</v>
      </c>
      <c r="BH33" s="113">
        <f t="shared" si="12"/>
        <v>0</v>
      </c>
      <c r="BI33" s="113">
        <f t="shared" si="13"/>
        <v>0</v>
      </c>
      <c r="BJ33" s="113">
        <f t="shared" si="14"/>
        <v>0</v>
      </c>
      <c r="BK33" s="113">
        <f t="shared" si="15"/>
        <v>0</v>
      </c>
      <c r="BL33" s="288">
        <f t="shared" si="16"/>
        <v>0</v>
      </c>
      <c r="BM33" s="288">
        <f t="shared" si="17"/>
        <v>0</v>
      </c>
      <c r="BN33" s="190">
        <v>2450</v>
      </c>
      <c r="BO33" s="258">
        <f t="shared" si="18"/>
        <v>0</v>
      </c>
      <c r="BP33" s="71">
        <f t="shared" si="19"/>
        <v>0</v>
      </c>
      <c r="BQ33" s="112">
        <f t="shared" si="20"/>
        <v>0</v>
      </c>
      <c r="BR33" s="112">
        <f t="shared" si="21"/>
        <v>0</v>
      </c>
      <c r="BS33" s="112">
        <f t="shared" si="22"/>
        <v>0</v>
      </c>
      <c r="BT33" s="112">
        <f t="shared" si="1"/>
        <v>0</v>
      </c>
      <c r="BU33" s="112">
        <f t="shared" si="23"/>
        <v>0</v>
      </c>
      <c r="BV33" s="112">
        <f t="shared" si="24"/>
        <v>0</v>
      </c>
      <c r="BW33" s="112">
        <f t="shared" si="25"/>
        <v>0</v>
      </c>
      <c r="BX33" s="112">
        <f t="shared" si="26"/>
        <v>0</v>
      </c>
      <c r="BY33" s="71">
        <f t="shared" si="27"/>
        <v>0</v>
      </c>
      <c r="BZ33" s="112">
        <f t="shared" si="28"/>
        <v>0</v>
      </c>
      <c r="CA33" s="159"/>
      <c r="CB33" s="159"/>
      <c r="CC33" s="71">
        <f t="shared" si="29"/>
        <v>39.200000000000003</v>
      </c>
      <c r="CD33" s="71">
        <f>+AI33*12+5.88</f>
        <v>58.800000000000004</v>
      </c>
      <c r="CE33" s="71">
        <f t="shared" si="30"/>
        <v>51.449999999999996</v>
      </c>
      <c r="CF33" s="71">
        <f t="shared" si="31"/>
        <v>149.44999999999999</v>
      </c>
      <c r="CG33" s="71">
        <f t="shared" si="32"/>
        <v>183899.45</v>
      </c>
      <c r="CH33" s="166">
        <f t="shared" si="33"/>
        <v>0</v>
      </c>
      <c r="CI33" s="263">
        <f t="shared" si="34"/>
        <v>183750</v>
      </c>
      <c r="CJ33" s="52"/>
      <c r="CK33" s="50"/>
      <c r="CL33" s="199"/>
      <c r="CM33" s="200"/>
      <c r="CN33" s="249"/>
      <c r="CO33" s="201"/>
      <c r="CP33" s="207"/>
      <c r="CQ33" s="52"/>
      <c r="CR33" s="167" t="str">
        <f t="shared" si="43"/>
        <v xml:space="preserve">RENE ALMEIDA </v>
      </c>
      <c r="CS33" s="171" t="s">
        <v>154</v>
      </c>
      <c r="CT33" s="169">
        <f t="shared" si="36"/>
        <v>2450</v>
      </c>
      <c r="CU33" s="169">
        <f t="shared" si="37"/>
        <v>0</v>
      </c>
      <c r="CV33" s="169"/>
      <c r="CW33" s="169">
        <f t="shared" si="38"/>
        <v>0</v>
      </c>
      <c r="CX33" s="307">
        <v>2.2000000000000002</v>
      </c>
      <c r="CY33" s="307">
        <v>1.9</v>
      </c>
      <c r="CZ33" s="311">
        <f t="shared" si="39"/>
        <v>20950</v>
      </c>
      <c r="DA33" s="311"/>
      <c r="DB33" s="311">
        <f t="shared" si="40"/>
        <v>183750</v>
      </c>
      <c r="DC33" s="311">
        <f t="shared" si="41"/>
        <v>183750</v>
      </c>
      <c r="DD33" s="312">
        <f t="shared" si="42"/>
        <v>204700</v>
      </c>
    </row>
    <row r="34" spans="1:143" ht="15.75" x14ac:dyDescent="0.25">
      <c r="A34" s="50" t="str">
        <f>+'[1]SEMANA DEL 13 AL 20 '!A35</f>
        <v>RUBIELA MARTINEZ</v>
      </c>
      <c r="B34" s="190">
        <v>0</v>
      </c>
      <c r="C34" s="190">
        <v>1.5599999999999987</v>
      </c>
      <c r="D34" s="190">
        <v>-2.0000000000095497E-3</v>
      </c>
      <c r="E34" s="190">
        <v>0</v>
      </c>
      <c r="F34" s="260">
        <v>0</v>
      </c>
      <c r="G34" s="260">
        <v>0</v>
      </c>
      <c r="H34" s="260">
        <v>0</v>
      </c>
      <c r="I34" s="260">
        <v>0</v>
      </c>
      <c r="J34" s="260">
        <v>0</v>
      </c>
      <c r="K34" s="260">
        <v>0</v>
      </c>
      <c r="L34" s="260">
        <v>0</v>
      </c>
      <c r="M34" s="260">
        <v>0</v>
      </c>
      <c r="N34" s="260">
        <v>0</v>
      </c>
      <c r="O34" s="260">
        <v>0</v>
      </c>
      <c r="P34" s="260">
        <v>0</v>
      </c>
      <c r="Q34" s="260">
        <v>0</v>
      </c>
      <c r="R34" s="289">
        <v>10</v>
      </c>
      <c r="S34" s="289">
        <v>17.5</v>
      </c>
      <c r="T34" s="289">
        <v>70</v>
      </c>
      <c r="U34" s="289">
        <v>8</v>
      </c>
      <c r="V34" s="289"/>
      <c r="W34" s="289"/>
      <c r="X34" s="289"/>
      <c r="Y34" s="289"/>
      <c r="Z34" s="289"/>
      <c r="AA34" s="289"/>
      <c r="AB34" s="289"/>
      <c r="AC34" s="289"/>
      <c r="AD34" s="289"/>
      <c r="AE34" s="289"/>
      <c r="AF34" s="289"/>
      <c r="AG34" s="289"/>
      <c r="AH34" s="289">
        <v>10</v>
      </c>
      <c r="AI34" s="289">
        <v>18</v>
      </c>
      <c r="AJ34" s="289">
        <v>70</v>
      </c>
      <c r="AK34" s="289">
        <v>8</v>
      </c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7">
        <f t="shared" si="2"/>
        <v>0</v>
      </c>
      <c r="AY34" s="113">
        <f t="shared" si="3"/>
        <v>1.0599999999999987</v>
      </c>
      <c r="AZ34" s="113">
        <f t="shared" si="4"/>
        <v>-2.0000000000095497E-3</v>
      </c>
      <c r="BA34" s="113">
        <f t="shared" si="5"/>
        <v>0</v>
      </c>
      <c r="BB34" s="287">
        <f t="shared" si="6"/>
        <v>0</v>
      </c>
      <c r="BC34" s="113">
        <f t="shared" si="7"/>
        <v>0</v>
      </c>
      <c r="BD34" s="113">
        <f t="shared" si="8"/>
        <v>0</v>
      </c>
      <c r="BE34" s="113">
        <f t="shared" si="9"/>
        <v>0</v>
      </c>
      <c r="BF34" s="113">
        <f t="shared" si="10"/>
        <v>0</v>
      </c>
      <c r="BG34" s="113">
        <f t="shared" si="11"/>
        <v>0</v>
      </c>
      <c r="BH34" s="113">
        <f t="shared" si="12"/>
        <v>0</v>
      </c>
      <c r="BI34" s="113">
        <f t="shared" si="13"/>
        <v>0</v>
      </c>
      <c r="BJ34" s="113">
        <f t="shared" si="14"/>
        <v>0</v>
      </c>
      <c r="BK34" s="113">
        <f t="shared" si="15"/>
        <v>0</v>
      </c>
      <c r="BL34" s="288">
        <f t="shared" si="16"/>
        <v>0</v>
      </c>
      <c r="BM34" s="288">
        <f t="shared" si="17"/>
        <v>0</v>
      </c>
      <c r="BN34" s="190">
        <v>10000</v>
      </c>
      <c r="BO34" s="258">
        <f t="shared" si="18"/>
        <v>0</v>
      </c>
      <c r="BP34" s="71">
        <f t="shared" si="19"/>
        <v>0</v>
      </c>
      <c r="BQ34" s="112">
        <f t="shared" si="20"/>
        <v>0</v>
      </c>
      <c r="BR34" s="112">
        <f t="shared" si="21"/>
        <v>0</v>
      </c>
      <c r="BS34" s="112">
        <f t="shared" si="22"/>
        <v>0</v>
      </c>
      <c r="BT34" s="112">
        <f t="shared" si="1"/>
        <v>0</v>
      </c>
      <c r="BU34" s="112">
        <f t="shared" si="23"/>
        <v>0</v>
      </c>
      <c r="BV34" s="112">
        <f t="shared" si="24"/>
        <v>0</v>
      </c>
      <c r="BW34" s="112">
        <f t="shared" si="25"/>
        <v>0</v>
      </c>
      <c r="BX34" s="112">
        <f t="shared" si="26"/>
        <v>0</v>
      </c>
      <c r="BY34" s="71">
        <f t="shared" si="27"/>
        <v>0</v>
      </c>
      <c r="BZ34" s="112">
        <f t="shared" si="28"/>
        <v>0</v>
      </c>
      <c r="CA34" s="159"/>
      <c r="CB34" s="159"/>
      <c r="CC34" s="71">
        <f t="shared" si="29"/>
        <v>160</v>
      </c>
      <c r="CD34" s="71">
        <f>+AI34*12+24</f>
        <v>240</v>
      </c>
      <c r="CE34" s="71">
        <f t="shared" si="30"/>
        <v>210</v>
      </c>
      <c r="CF34" s="71">
        <f t="shared" si="31"/>
        <v>610</v>
      </c>
      <c r="CG34" s="71">
        <f t="shared" si="32"/>
        <v>750610</v>
      </c>
      <c r="CH34" s="166">
        <f t="shared" si="33"/>
        <v>0</v>
      </c>
      <c r="CI34" s="263">
        <f t="shared" si="34"/>
        <v>750000</v>
      </c>
      <c r="CJ34" s="52"/>
      <c r="CK34" s="50"/>
      <c r="CL34" s="199"/>
      <c r="CM34" s="200"/>
      <c r="CN34" s="249"/>
      <c r="CO34" s="201"/>
      <c r="CP34" s="207"/>
      <c r="CQ34" s="52"/>
      <c r="CR34" s="167" t="str">
        <f t="shared" si="43"/>
        <v>RUBIELA MARTINEZ</v>
      </c>
      <c r="CS34" s="171" t="s">
        <v>137</v>
      </c>
      <c r="CT34" s="169">
        <f t="shared" si="36"/>
        <v>10000</v>
      </c>
      <c r="CU34" s="169">
        <f t="shared" si="37"/>
        <v>0</v>
      </c>
      <c r="CV34" s="169"/>
      <c r="CW34" s="169">
        <f t="shared" si="38"/>
        <v>0</v>
      </c>
      <c r="CX34" s="307">
        <v>5</v>
      </c>
      <c r="CY34" s="307">
        <v>3.8</v>
      </c>
      <c r="CZ34" s="311">
        <f t="shared" si="39"/>
        <v>45800</v>
      </c>
      <c r="DA34" s="311"/>
      <c r="DB34" s="311">
        <f t="shared" si="40"/>
        <v>750000</v>
      </c>
      <c r="DC34" s="311">
        <f t="shared" si="41"/>
        <v>750000</v>
      </c>
      <c r="DD34" s="312">
        <f t="shared" si="42"/>
        <v>795800</v>
      </c>
    </row>
    <row r="35" spans="1:143" ht="15.75" x14ac:dyDescent="0.25">
      <c r="A35" s="50" t="str">
        <f>+'[1]SEMANA DEL 13 AL 20 '!A36</f>
        <v xml:space="preserve">ROSMIRA DURAN </v>
      </c>
      <c r="B35" s="190">
        <v>0.99600000000000044</v>
      </c>
      <c r="C35" s="190">
        <v>0.90000000000000036</v>
      </c>
      <c r="D35" s="190">
        <v>3.5</v>
      </c>
      <c r="E35" s="190">
        <v>1</v>
      </c>
      <c r="F35" s="260">
        <v>0</v>
      </c>
      <c r="G35" s="260">
        <v>0</v>
      </c>
      <c r="H35" s="260">
        <v>0</v>
      </c>
      <c r="I35" s="260">
        <v>0</v>
      </c>
      <c r="J35" s="260">
        <v>0</v>
      </c>
      <c r="K35" s="260">
        <v>0</v>
      </c>
      <c r="L35" s="260">
        <v>0</v>
      </c>
      <c r="M35" s="260">
        <v>0</v>
      </c>
      <c r="N35" s="260">
        <v>0</v>
      </c>
      <c r="O35" s="260">
        <v>0</v>
      </c>
      <c r="P35" s="260">
        <v>0</v>
      </c>
      <c r="Q35" s="260">
        <v>0</v>
      </c>
      <c r="R35" s="289">
        <v>2</v>
      </c>
      <c r="S35" s="289">
        <v>3</v>
      </c>
      <c r="T35" s="289">
        <v>14</v>
      </c>
      <c r="U35" s="289">
        <v>2</v>
      </c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89">
        <v>3</v>
      </c>
      <c r="AI35" s="289">
        <v>3.9</v>
      </c>
      <c r="AJ35" s="289">
        <v>17.5</v>
      </c>
      <c r="AK35" s="289">
        <v>2</v>
      </c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287">
        <f t="shared" si="2"/>
        <v>-3.9999999999995595E-3</v>
      </c>
      <c r="AY35" s="113">
        <f t="shared" si="3"/>
        <v>0</v>
      </c>
      <c r="AZ35" s="113">
        <f t="shared" si="4"/>
        <v>0</v>
      </c>
      <c r="BA35" s="113">
        <f t="shared" si="5"/>
        <v>1</v>
      </c>
      <c r="BB35" s="287">
        <f t="shared" si="6"/>
        <v>0</v>
      </c>
      <c r="BC35" s="113">
        <f t="shared" si="7"/>
        <v>0</v>
      </c>
      <c r="BD35" s="113">
        <f t="shared" si="8"/>
        <v>0</v>
      </c>
      <c r="BE35" s="113">
        <f t="shared" si="9"/>
        <v>0</v>
      </c>
      <c r="BF35" s="113">
        <f t="shared" si="10"/>
        <v>0</v>
      </c>
      <c r="BG35" s="113">
        <f t="shared" si="11"/>
        <v>0</v>
      </c>
      <c r="BH35" s="113">
        <f t="shared" si="12"/>
        <v>0</v>
      </c>
      <c r="BI35" s="113">
        <f t="shared" si="13"/>
        <v>0</v>
      </c>
      <c r="BJ35" s="113">
        <f t="shared" si="14"/>
        <v>0</v>
      </c>
      <c r="BK35" s="113">
        <f t="shared" si="15"/>
        <v>0</v>
      </c>
      <c r="BL35" s="288">
        <f t="shared" si="16"/>
        <v>0</v>
      </c>
      <c r="BM35" s="288">
        <f t="shared" si="17"/>
        <v>0</v>
      </c>
      <c r="BN35" s="190">
        <v>2500</v>
      </c>
      <c r="BO35" s="258">
        <f t="shared" si="18"/>
        <v>0</v>
      </c>
      <c r="BP35" s="71">
        <f t="shared" si="19"/>
        <v>0</v>
      </c>
      <c r="BQ35" s="112">
        <f t="shared" si="20"/>
        <v>0</v>
      </c>
      <c r="BR35" s="112">
        <f t="shared" si="21"/>
        <v>0</v>
      </c>
      <c r="BS35" s="112">
        <f t="shared" si="22"/>
        <v>0</v>
      </c>
      <c r="BT35" s="112">
        <f t="shared" si="1"/>
        <v>0</v>
      </c>
      <c r="BU35" s="112">
        <f t="shared" si="23"/>
        <v>0</v>
      </c>
      <c r="BV35" s="112">
        <f t="shared" si="24"/>
        <v>0</v>
      </c>
      <c r="BW35" s="112">
        <f t="shared" si="25"/>
        <v>0</v>
      </c>
      <c r="BX35" s="112">
        <f t="shared" si="26"/>
        <v>0</v>
      </c>
      <c r="BY35" s="71">
        <f t="shared" si="27"/>
        <v>0</v>
      </c>
      <c r="BZ35" s="112">
        <f t="shared" si="28"/>
        <v>0</v>
      </c>
      <c r="CA35" s="159"/>
      <c r="CB35" s="159"/>
      <c r="CC35" s="71">
        <f t="shared" si="29"/>
        <v>48</v>
      </c>
      <c r="CD35" s="71">
        <f>+AI35*12+5.2</f>
        <v>52</v>
      </c>
      <c r="CE35" s="71">
        <f t="shared" si="30"/>
        <v>52.5</v>
      </c>
      <c r="CF35" s="71">
        <f t="shared" si="31"/>
        <v>152.5</v>
      </c>
      <c r="CG35" s="71">
        <f t="shared" si="32"/>
        <v>187652.5</v>
      </c>
      <c r="CH35" s="166">
        <f t="shared" si="33"/>
        <v>0</v>
      </c>
      <c r="CI35" s="263">
        <f t="shared" si="34"/>
        <v>187500</v>
      </c>
      <c r="CJ35" s="52"/>
      <c r="CK35" s="50"/>
      <c r="CL35" s="199"/>
      <c r="CM35" s="200"/>
      <c r="CN35" s="249"/>
      <c r="CO35" s="201"/>
      <c r="CP35" s="207"/>
      <c r="CQ35" s="52"/>
      <c r="CR35" s="167" t="str">
        <f t="shared" si="43"/>
        <v xml:space="preserve">ROSMIRA DURAN </v>
      </c>
      <c r="CS35" s="171" t="s">
        <v>138</v>
      </c>
      <c r="CT35" s="169">
        <f t="shared" si="36"/>
        <v>2500</v>
      </c>
      <c r="CU35" s="169">
        <f t="shared" si="37"/>
        <v>0</v>
      </c>
      <c r="CV35" s="169"/>
      <c r="CW35" s="169">
        <f t="shared" si="38"/>
        <v>0</v>
      </c>
      <c r="CX35" s="307">
        <v>1.5</v>
      </c>
      <c r="CY35" s="307">
        <v>1.4</v>
      </c>
      <c r="CZ35" s="311">
        <f t="shared" si="39"/>
        <v>14650</v>
      </c>
      <c r="DA35" s="311"/>
      <c r="DB35" s="311">
        <f t="shared" si="40"/>
        <v>187500</v>
      </c>
      <c r="DC35" s="311">
        <f t="shared" si="41"/>
        <v>187500</v>
      </c>
      <c r="DD35" s="312">
        <f t="shared" si="42"/>
        <v>202150</v>
      </c>
    </row>
    <row r="36" spans="1:143" ht="15.75" x14ac:dyDescent="0.25">
      <c r="A36" s="50" t="str">
        <f>+'[1]SEMANA DEL 13 AL 20 '!A38</f>
        <v xml:space="preserve">ROSALBA MATAGIRA </v>
      </c>
      <c r="B36" s="190">
        <v>0</v>
      </c>
      <c r="C36" s="190">
        <v>0</v>
      </c>
      <c r="D36" s="190">
        <v>0</v>
      </c>
      <c r="E36" s="190">
        <v>0</v>
      </c>
      <c r="F36" s="260">
        <v>0</v>
      </c>
      <c r="G36" s="260">
        <v>0</v>
      </c>
      <c r="H36" s="260">
        <v>0</v>
      </c>
      <c r="I36" s="260">
        <v>0</v>
      </c>
      <c r="J36" s="260">
        <v>0</v>
      </c>
      <c r="K36" s="260">
        <v>0</v>
      </c>
      <c r="L36" s="260">
        <v>0</v>
      </c>
      <c r="M36" s="260">
        <v>0</v>
      </c>
      <c r="N36" s="260">
        <v>0</v>
      </c>
      <c r="O36" s="260">
        <v>0</v>
      </c>
      <c r="P36" s="260">
        <v>0</v>
      </c>
      <c r="Q36" s="260">
        <v>0</v>
      </c>
      <c r="R36" s="289">
        <v>11</v>
      </c>
      <c r="S36" s="289">
        <v>19.8</v>
      </c>
      <c r="T36" s="289">
        <v>77</v>
      </c>
      <c r="U36" s="289">
        <v>9</v>
      </c>
      <c r="V36" s="289"/>
      <c r="W36" s="289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>
        <v>11</v>
      </c>
      <c r="AI36" s="289">
        <v>19.8</v>
      </c>
      <c r="AJ36" s="289">
        <v>77</v>
      </c>
      <c r="AK36" s="289">
        <v>9</v>
      </c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287">
        <f t="shared" si="2"/>
        <v>0</v>
      </c>
      <c r="AY36" s="113">
        <f t="shared" si="3"/>
        <v>0</v>
      </c>
      <c r="AZ36" s="113">
        <f t="shared" si="4"/>
        <v>0</v>
      </c>
      <c r="BA36" s="113">
        <f t="shared" si="5"/>
        <v>0</v>
      </c>
      <c r="BB36" s="287">
        <f t="shared" si="6"/>
        <v>0</v>
      </c>
      <c r="BC36" s="113">
        <f t="shared" si="7"/>
        <v>0</v>
      </c>
      <c r="BD36" s="113">
        <f t="shared" si="8"/>
        <v>0</v>
      </c>
      <c r="BE36" s="113">
        <f t="shared" si="9"/>
        <v>0</v>
      </c>
      <c r="BF36" s="113">
        <f t="shared" si="10"/>
        <v>0</v>
      </c>
      <c r="BG36" s="113">
        <f t="shared" si="11"/>
        <v>0</v>
      </c>
      <c r="BH36" s="113">
        <f t="shared" si="12"/>
        <v>0</v>
      </c>
      <c r="BI36" s="113">
        <f t="shared" si="13"/>
        <v>0</v>
      </c>
      <c r="BJ36" s="113">
        <f t="shared" si="14"/>
        <v>0</v>
      </c>
      <c r="BK36" s="113">
        <f t="shared" si="15"/>
        <v>0</v>
      </c>
      <c r="BL36" s="288">
        <f t="shared" si="16"/>
        <v>0</v>
      </c>
      <c r="BM36" s="288">
        <f t="shared" si="17"/>
        <v>0</v>
      </c>
      <c r="BN36" s="190">
        <v>11000</v>
      </c>
      <c r="BO36" s="258">
        <f t="shared" si="18"/>
        <v>0</v>
      </c>
      <c r="BP36" s="71">
        <f t="shared" si="19"/>
        <v>0</v>
      </c>
      <c r="BQ36" s="112">
        <f t="shared" si="20"/>
        <v>0</v>
      </c>
      <c r="BR36" s="112">
        <f t="shared" si="21"/>
        <v>0</v>
      </c>
      <c r="BS36" s="112">
        <f t="shared" si="22"/>
        <v>0</v>
      </c>
      <c r="BT36" s="112">
        <f t="shared" si="1"/>
        <v>0</v>
      </c>
      <c r="BU36" s="112">
        <f t="shared" si="23"/>
        <v>0</v>
      </c>
      <c r="BV36" s="112">
        <f t="shared" si="24"/>
        <v>0</v>
      </c>
      <c r="BW36" s="112">
        <f t="shared" si="25"/>
        <v>0</v>
      </c>
      <c r="BX36" s="112">
        <f t="shared" si="26"/>
        <v>0</v>
      </c>
      <c r="BY36" s="71">
        <f t="shared" si="27"/>
        <v>0</v>
      </c>
      <c r="BZ36" s="112">
        <f t="shared" si="28"/>
        <v>0</v>
      </c>
      <c r="CA36" s="159"/>
      <c r="CB36" s="159"/>
      <c r="CC36" s="71">
        <f t="shared" si="29"/>
        <v>176</v>
      </c>
      <c r="CD36" s="71">
        <f>+AI36*12+26.4</f>
        <v>264</v>
      </c>
      <c r="CE36" s="71">
        <f t="shared" si="30"/>
        <v>231</v>
      </c>
      <c r="CF36" s="71">
        <f t="shared" si="31"/>
        <v>671</v>
      </c>
      <c r="CG36" s="71">
        <f t="shared" si="32"/>
        <v>825671</v>
      </c>
      <c r="CH36" s="166">
        <f t="shared" si="33"/>
        <v>0</v>
      </c>
      <c r="CI36" s="263">
        <f t="shared" si="34"/>
        <v>825000</v>
      </c>
      <c r="CJ36" s="52"/>
      <c r="CK36" s="50"/>
      <c r="CL36" s="199"/>
      <c r="CM36" s="200"/>
      <c r="CN36" s="249"/>
      <c r="CO36" s="201"/>
      <c r="CP36" s="207"/>
      <c r="CQ36" s="52"/>
      <c r="CR36" s="167" t="str">
        <f t="shared" si="43"/>
        <v xml:space="preserve">ROSALBA MATAGIRA </v>
      </c>
      <c r="CS36" s="171" t="s">
        <v>139</v>
      </c>
      <c r="CT36" s="169">
        <f t="shared" si="36"/>
        <v>11000</v>
      </c>
      <c r="CU36" s="169">
        <f t="shared" si="37"/>
        <v>0</v>
      </c>
      <c r="CV36" s="169"/>
      <c r="CW36" s="169">
        <f t="shared" si="38"/>
        <v>0</v>
      </c>
      <c r="CX36" s="307">
        <v>8</v>
      </c>
      <c r="CY36" s="307">
        <v>8.1999999999999993</v>
      </c>
      <c r="CZ36" s="311">
        <f t="shared" si="39"/>
        <v>80700</v>
      </c>
      <c r="DA36" s="311"/>
      <c r="DB36" s="311">
        <f t="shared" si="40"/>
        <v>825000</v>
      </c>
      <c r="DC36" s="311">
        <f t="shared" si="41"/>
        <v>825000</v>
      </c>
      <c r="DD36" s="312">
        <f t="shared" si="42"/>
        <v>905700</v>
      </c>
    </row>
    <row r="37" spans="1:143" ht="15.75" x14ac:dyDescent="0.25">
      <c r="A37" s="50" t="str">
        <f>+'[1]SEMANA DEL 13 AL 20 '!A40</f>
        <v>STELLA SILVA</v>
      </c>
      <c r="B37" s="190">
        <v>0</v>
      </c>
      <c r="C37" s="190">
        <v>0</v>
      </c>
      <c r="D37" s="190">
        <v>0</v>
      </c>
      <c r="E37" s="19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89">
        <v>4</v>
      </c>
      <c r="S37" s="289">
        <v>7.2</v>
      </c>
      <c r="T37" s="289">
        <v>28</v>
      </c>
      <c r="U37" s="289">
        <v>3</v>
      </c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>
        <v>4</v>
      </c>
      <c r="AI37" s="289">
        <v>7.2</v>
      </c>
      <c r="AJ37" s="289">
        <v>28</v>
      </c>
      <c r="AK37" s="289">
        <v>3</v>
      </c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7">
        <f t="shared" si="2"/>
        <v>0</v>
      </c>
      <c r="AY37" s="113">
        <f t="shared" si="3"/>
        <v>0</v>
      </c>
      <c r="AZ37" s="113">
        <f t="shared" si="4"/>
        <v>0</v>
      </c>
      <c r="BA37" s="113">
        <f t="shared" si="5"/>
        <v>0</v>
      </c>
      <c r="BB37" s="287">
        <f t="shared" si="6"/>
        <v>0</v>
      </c>
      <c r="BC37" s="113">
        <f t="shared" si="7"/>
        <v>0</v>
      </c>
      <c r="BD37" s="113">
        <f t="shared" si="8"/>
        <v>0</v>
      </c>
      <c r="BE37" s="113">
        <f t="shared" si="9"/>
        <v>0</v>
      </c>
      <c r="BF37" s="113">
        <f t="shared" si="10"/>
        <v>0</v>
      </c>
      <c r="BG37" s="113">
        <f t="shared" si="11"/>
        <v>0</v>
      </c>
      <c r="BH37" s="113">
        <f t="shared" si="12"/>
        <v>0</v>
      </c>
      <c r="BI37" s="113">
        <f t="shared" si="13"/>
        <v>0</v>
      </c>
      <c r="BJ37" s="113">
        <f t="shared" si="14"/>
        <v>0</v>
      </c>
      <c r="BK37" s="113">
        <f t="shared" si="15"/>
        <v>0</v>
      </c>
      <c r="BL37" s="288">
        <f t="shared" si="16"/>
        <v>0</v>
      </c>
      <c r="BM37" s="288">
        <f t="shared" si="17"/>
        <v>0</v>
      </c>
      <c r="BN37" s="190">
        <v>4000</v>
      </c>
      <c r="BO37" s="258">
        <f t="shared" si="18"/>
        <v>0</v>
      </c>
      <c r="BP37" s="71">
        <f t="shared" si="19"/>
        <v>0</v>
      </c>
      <c r="BQ37" s="112">
        <f t="shared" si="20"/>
        <v>0</v>
      </c>
      <c r="BR37" s="112">
        <f t="shared" si="21"/>
        <v>0</v>
      </c>
      <c r="BS37" s="112">
        <f t="shared" si="22"/>
        <v>0</v>
      </c>
      <c r="BT37" s="112">
        <f t="shared" si="1"/>
        <v>0</v>
      </c>
      <c r="BU37" s="112">
        <f t="shared" si="23"/>
        <v>0</v>
      </c>
      <c r="BV37" s="112">
        <f t="shared" si="24"/>
        <v>0</v>
      </c>
      <c r="BW37" s="112">
        <f t="shared" si="25"/>
        <v>0</v>
      </c>
      <c r="BX37" s="112">
        <f t="shared" si="26"/>
        <v>0</v>
      </c>
      <c r="BY37" s="71">
        <f t="shared" si="27"/>
        <v>0</v>
      </c>
      <c r="BZ37" s="112">
        <f t="shared" si="28"/>
        <v>0</v>
      </c>
      <c r="CA37" s="159">
        <v>30000</v>
      </c>
      <c r="CB37" s="159"/>
      <c r="CC37" s="71">
        <f t="shared" si="29"/>
        <v>64</v>
      </c>
      <c r="CD37" s="71">
        <f>+AI37*12+9.6</f>
        <v>96</v>
      </c>
      <c r="CE37" s="71">
        <f t="shared" si="30"/>
        <v>84</v>
      </c>
      <c r="CF37" s="71">
        <f t="shared" si="31"/>
        <v>244</v>
      </c>
      <c r="CG37" s="71">
        <f t="shared" si="32"/>
        <v>300244</v>
      </c>
      <c r="CH37" s="166">
        <f t="shared" si="33"/>
        <v>30000</v>
      </c>
      <c r="CI37" s="263">
        <f t="shared" si="34"/>
        <v>270000</v>
      </c>
      <c r="CJ37" s="52"/>
      <c r="CK37" s="50"/>
      <c r="CL37" s="199"/>
      <c r="CM37" s="200"/>
      <c r="CN37" s="249"/>
      <c r="CO37" s="201"/>
      <c r="CP37" s="207"/>
      <c r="CQ37" s="52"/>
      <c r="CR37" s="167" t="str">
        <f t="shared" si="43"/>
        <v>STELLA SILVA</v>
      </c>
      <c r="CS37" s="171" t="s">
        <v>147</v>
      </c>
      <c r="CT37" s="169">
        <f t="shared" si="36"/>
        <v>4000</v>
      </c>
      <c r="CU37" s="169">
        <f t="shared" si="37"/>
        <v>0</v>
      </c>
      <c r="CV37" s="169"/>
      <c r="CW37" s="169">
        <f t="shared" si="38"/>
        <v>0</v>
      </c>
      <c r="CX37" s="307">
        <v>3.1</v>
      </c>
      <c r="CY37" s="307">
        <v>2.7</v>
      </c>
      <c r="CZ37" s="311">
        <f t="shared" si="39"/>
        <v>29600</v>
      </c>
      <c r="DA37" s="311"/>
      <c r="DB37" s="311">
        <f t="shared" si="40"/>
        <v>300000</v>
      </c>
      <c r="DC37" s="311">
        <f t="shared" si="41"/>
        <v>270000</v>
      </c>
      <c r="DD37" s="312">
        <f t="shared" si="42"/>
        <v>299600</v>
      </c>
    </row>
    <row r="38" spans="1:143" ht="15.75" x14ac:dyDescent="0.25">
      <c r="A38" s="50" t="s">
        <v>247</v>
      </c>
      <c r="B38" s="190">
        <v>0</v>
      </c>
      <c r="C38" s="190">
        <v>0</v>
      </c>
      <c r="D38" s="190">
        <v>0</v>
      </c>
      <c r="E38" s="190">
        <v>0</v>
      </c>
      <c r="F38" s="260">
        <v>0</v>
      </c>
      <c r="G38" s="260">
        <v>0</v>
      </c>
      <c r="H38" s="260">
        <v>0</v>
      </c>
      <c r="I38" s="260">
        <v>0</v>
      </c>
      <c r="J38" s="260">
        <v>0</v>
      </c>
      <c r="K38" s="260">
        <v>0</v>
      </c>
      <c r="L38" s="260">
        <v>0</v>
      </c>
      <c r="M38" s="260">
        <v>0</v>
      </c>
      <c r="N38" s="260">
        <v>0</v>
      </c>
      <c r="O38" s="260">
        <v>0</v>
      </c>
      <c r="P38" s="260">
        <v>0</v>
      </c>
      <c r="Q38" s="260">
        <v>0</v>
      </c>
      <c r="R38" s="289">
        <v>5</v>
      </c>
      <c r="S38" s="289">
        <v>9</v>
      </c>
      <c r="T38" s="289">
        <v>35</v>
      </c>
      <c r="U38" s="289">
        <v>4</v>
      </c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>
        <v>5</v>
      </c>
      <c r="AI38" s="289">
        <v>9</v>
      </c>
      <c r="AJ38" s="289">
        <v>35</v>
      </c>
      <c r="AK38" s="289">
        <v>4</v>
      </c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7">
        <f t="shared" si="2"/>
        <v>0</v>
      </c>
      <c r="AY38" s="113">
        <f t="shared" si="3"/>
        <v>0</v>
      </c>
      <c r="AZ38" s="113">
        <f t="shared" si="4"/>
        <v>0</v>
      </c>
      <c r="BA38" s="113">
        <f t="shared" si="5"/>
        <v>0</v>
      </c>
      <c r="BB38" s="287">
        <f t="shared" si="6"/>
        <v>0</v>
      </c>
      <c r="BC38" s="113">
        <f t="shared" si="7"/>
        <v>0</v>
      </c>
      <c r="BD38" s="113">
        <f t="shared" si="8"/>
        <v>0</v>
      </c>
      <c r="BE38" s="113">
        <f t="shared" si="9"/>
        <v>0</v>
      </c>
      <c r="BF38" s="113">
        <f t="shared" si="10"/>
        <v>0</v>
      </c>
      <c r="BG38" s="113">
        <f t="shared" si="11"/>
        <v>0</v>
      </c>
      <c r="BH38" s="113">
        <f t="shared" si="12"/>
        <v>0</v>
      </c>
      <c r="BI38" s="113">
        <f t="shared" si="13"/>
        <v>0</v>
      </c>
      <c r="BJ38" s="113">
        <f t="shared" si="14"/>
        <v>0</v>
      </c>
      <c r="BK38" s="113">
        <f t="shared" si="15"/>
        <v>0</v>
      </c>
      <c r="BL38" s="288">
        <f t="shared" si="16"/>
        <v>0</v>
      </c>
      <c r="BM38" s="288">
        <f t="shared" si="17"/>
        <v>0</v>
      </c>
      <c r="BN38" s="190">
        <v>5000</v>
      </c>
      <c r="BO38" s="258">
        <f t="shared" ref="BO38" si="44">+AL38*2500</f>
        <v>0</v>
      </c>
      <c r="BP38" s="71">
        <f t="shared" ref="BP38" si="45">+AM38*60000</f>
        <v>0</v>
      </c>
      <c r="BQ38" s="112">
        <f t="shared" ref="BQ38" si="46">+AN38*3000</f>
        <v>0</v>
      </c>
      <c r="BR38" s="112">
        <f t="shared" ref="BR38" si="47">+AO38*6000</f>
        <v>0</v>
      </c>
      <c r="BS38" s="112">
        <f t="shared" ref="BS38" si="48">+AP38*8000</f>
        <v>0</v>
      </c>
      <c r="BT38" s="112">
        <f t="shared" ref="BT38" si="49">+AQ38*8000</f>
        <v>0</v>
      </c>
      <c r="BU38" s="112">
        <f t="shared" ref="BU38" si="50">+AR38*150000</f>
        <v>0</v>
      </c>
      <c r="BV38" s="112">
        <f t="shared" ref="BV38" si="51">+AS38*3000</f>
        <v>0</v>
      </c>
      <c r="BW38" s="112">
        <f t="shared" ref="BW38" si="52">+AT38*25000</f>
        <v>0</v>
      </c>
      <c r="BX38" s="112">
        <f t="shared" ref="BX38" si="53">+AU38*200000</f>
        <v>0</v>
      </c>
      <c r="BY38" s="71">
        <f t="shared" ref="BY38" si="54">+AV38*8000</f>
        <v>0</v>
      </c>
      <c r="BZ38" s="112">
        <f t="shared" ref="BZ38" si="55">+AW38*1.5</f>
        <v>0</v>
      </c>
      <c r="CA38" s="159"/>
      <c r="CB38" s="159"/>
      <c r="CC38" s="71">
        <f t="shared" ref="CC38" si="56">+AH38*16</f>
        <v>80</v>
      </c>
      <c r="CD38" s="71">
        <f>+AI38*12+12</f>
        <v>120</v>
      </c>
      <c r="CE38" s="71">
        <f t="shared" ref="CE38" si="57">+AJ38*3</f>
        <v>105</v>
      </c>
      <c r="CF38" s="71">
        <f t="shared" ref="CF38" si="58">+CC38+CD38+CE38</f>
        <v>305</v>
      </c>
      <c r="CG38" s="71">
        <f t="shared" ref="CG38" si="59">+BN38*75061/1000</f>
        <v>375305</v>
      </c>
      <c r="CH38" s="166">
        <f t="shared" ref="CH38" si="60">+BO38+BP38+BQ38+BR38+BS38+BT38+BU38+BV38+BW38+BX38+BY38+CA38+CB38</f>
        <v>0</v>
      </c>
      <c r="CI38" s="263">
        <f t="shared" ref="CI38" si="61">+CG38-CF38-CH38</f>
        <v>375000</v>
      </c>
      <c r="CJ38" s="52"/>
      <c r="CK38" s="50"/>
      <c r="CL38" s="199"/>
      <c r="CM38" s="200"/>
      <c r="CN38" s="249"/>
      <c r="CO38" s="201"/>
      <c r="CP38" s="207"/>
      <c r="CQ38" s="52"/>
      <c r="CR38" s="167" t="str">
        <f t="shared" si="43"/>
        <v>SANDRA MILENA ANTOLINES</v>
      </c>
      <c r="CS38" s="171" t="s">
        <v>246</v>
      </c>
      <c r="CT38" s="169">
        <f t="shared" ref="CT38:CT39" si="62">+BN38</f>
        <v>5000</v>
      </c>
      <c r="CU38" s="169">
        <f t="shared" ref="CU38" si="63">+AW38</f>
        <v>0</v>
      </c>
      <c r="CV38" s="169"/>
      <c r="CW38" s="169">
        <f t="shared" ref="CW38" si="64">+CV38*230</f>
        <v>0</v>
      </c>
      <c r="CX38" s="307">
        <v>3.2</v>
      </c>
      <c r="CY38" s="307">
        <v>2.6</v>
      </c>
      <c r="CZ38" s="311">
        <f t="shared" ref="CZ38" si="65">+CX38*6500+CY38*3500</f>
        <v>29900</v>
      </c>
      <c r="DA38" s="311"/>
      <c r="DB38" s="311">
        <f t="shared" ref="DB38" si="66">+CT38*75</f>
        <v>375000</v>
      </c>
      <c r="DC38" s="311">
        <f t="shared" ref="DC38" si="67">+CI38</f>
        <v>375000</v>
      </c>
      <c r="DD38" s="312">
        <f t="shared" ref="DD38" si="68">+CI38+CZ38+CW38</f>
        <v>404900</v>
      </c>
    </row>
    <row r="39" spans="1:143" ht="15.75" x14ac:dyDescent="0.25">
      <c r="A39" s="50" t="s">
        <v>231</v>
      </c>
      <c r="B39" s="190">
        <v>0.95000000000000018</v>
      </c>
      <c r="C39" s="190">
        <v>0.8100000000000005</v>
      </c>
      <c r="D39" s="190">
        <v>3.1499999999999986</v>
      </c>
      <c r="E39" s="190">
        <v>0</v>
      </c>
      <c r="F39" s="190">
        <v>0</v>
      </c>
      <c r="G39" s="19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89">
        <v>5</v>
      </c>
      <c r="S39" s="289">
        <v>9</v>
      </c>
      <c r="T39" s="289">
        <v>35</v>
      </c>
      <c r="U39" s="289">
        <v>4</v>
      </c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190">
        <v>5.2</v>
      </c>
      <c r="AI39" s="190">
        <v>9.36</v>
      </c>
      <c r="AJ39" s="190">
        <v>36.4</v>
      </c>
      <c r="AK39" s="190">
        <v>4</v>
      </c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7">
        <f t="shared" si="2"/>
        <v>0.75</v>
      </c>
      <c r="AY39" s="113">
        <f t="shared" si="3"/>
        <v>0.45000000000000107</v>
      </c>
      <c r="AZ39" s="113">
        <f t="shared" si="4"/>
        <v>1.75</v>
      </c>
      <c r="BA39" s="113">
        <f t="shared" si="5"/>
        <v>0</v>
      </c>
      <c r="BB39" s="287">
        <f t="shared" si="6"/>
        <v>0</v>
      </c>
      <c r="BC39" s="113">
        <f t="shared" si="7"/>
        <v>0</v>
      </c>
      <c r="BD39" s="113">
        <f t="shared" si="8"/>
        <v>0</v>
      </c>
      <c r="BE39" s="113">
        <f t="shared" si="9"/>
        <v>0</v>
      </c>
      <c r="BF39" s="113">
        <f t="shared" si="10"/>
        <v>0</v>
      </c>
      <c r="BG39" s="113">
        <f t="shared" si="11"/>
        <v>0</v>
      </c>
      <c r="BH39" s="113">
        <f t="shared" si="12"/>
        <v>0</v>
      </c>
      <c r="BI39" s="113">
        <f t="shared" si="13"/>
        <v>0</v>
      </c>
      <c r="BJ39" s="113">
        <f t="shared" si="14"/>
        <v>0</v>
      </c>
      <c r="BK39" s="113">
        <f t="shared" si="15"/>
        <v>0</v>
      </c>
      <c r="BL39" s="288">
        <f t="shared" si="16"/>
        <v>0</v>
      </c>
      <c r="BM39" s="288">
        <f t="shared" si="17"/>
        <v>0</v>
      </c>
      <c r="BN39" s="190">
        <v>5200</v>
      </c>
      <c r="BO39" s="258">
        <f t="shared" ref="BO39" si="69">+AL39*2500</f>
        <v>0</v>
      </c>
      <c r="BP39" s="71">
        <f t="shared" ref="BP39" si="70">+AM39*60000</f>
        <v>0</v>
      </c>
      <c r="BQ39" s="112">
        <f t="shared" ref="BQ39" si="71">+AN39*3000</f>
        <v>0</v>
      </c>
      <c r="BR39" s="112">
        <f t="shared" ref="BR39" si="72">+AO39*6000</f>
        <v>0</v>
      </c>
      <c r="BS39" s="112">
        <f t="shared" ref="BS39" si="73">+AP39*8000</f>
        <v>0</v>
      </c>
      <c r="BT39" s="112">
        <f t="shared" ref="BT39" si="74">+AQ39*8000</f>
        <v>0</v>
      </c>
      <c r="BU39" s="112">
        <f t="shared" ref="BU39" si="75">+AR39*150000</f>
        <v>0</v>
      </c>
      <c r="BV39" s="112">
        <f t="shared" ref="BV39" si="76">+AS39*3000</f>
        <v>0</v>
      </c>
      <c r="BW39" s="112">
        <f t="shared" ref="BW39" si="77">+AT39*25000</f>
        <v>0</v>
      </c>
      <c r="BX39" s="112">
        <f t="shared" ref="BX39" si="78">+AU39*200000</f>
        <v>0</v>
      </c>
      <c r="BY39" s="71">
        <f t="shared" ref="BY39" si="79">+AV39*8000</f>
        <v>0</v>
      </c>
      <c r="BZ39" s="112">
        <f t="shared" ref="BZ39" si="80">+AW39*1.5</f>
        <v>0</v>
      </c>
      <c r="CA39" s="159"/>
      <c r="CB39" s="159"/>
      <c r="CC39" s="71">
        <f t="shared" si="29"/>
        <v>83.2</v>
      </c>
      <c r="CD39" s="71">
        <f>+AI39*12+12.48</f>
        <v>124.8</v>
      </c>
      <c r="CE39" s="71">
        <f t="shared" si="30"/>
        <v>109.19999999999999</v>
      </c>
      <c r="CF39" s="71">
        <f t="shared" si="31"/>
        <v>317.2</v>
      </c>
      <c r="CG39" s="71">
        <f t="shared" si="32"/>
        <v>390317.2</v>
      </c>
      <c r="CH39" s="166">
        <f t="shared" si="33"/>
        <v>0</v>
      </c>
      <c r="CI39" s="263">
        <f t="shared" si="34"/>
        <v>390000</v>
      </c>
      <c r="CJ39" s="52"/>
      <c r="CK39" s="50"/>
      <c r="CL39" s="199"/>
      <c r="CM39" s="200"/>
      <c r="CN39" s="249"/>
      <c r="CO39" s="201"/>
      <c r="CP39" s="207"/>
      <c r="CQ39" s="52"/>
      <c r="CR39" s="167" t="str">
        <f t="shared" si="43"/>
        <v xml:space="preserve">SANDRA MORENO </v>
      </c>
      <c r="CS39" s="171" t="s">
        <v>232</v>
      </c>
      <c r="CT39" s="169">
        <f t="shared" si="62"/>
        <v>5200</v>
      </c>
      <c r="CU39" s="169">
        <f t="shared" ref="CU39" si="81">+AW39</f>
        <v>0</v>
      </c>
      <c r="CV39" s="169"/>
      <c r="CW39" s="169">
        <f t="shared" ref="CW39" si="82">+CV39*230</f>
        <v>0</v>
      </c>
      <c r="CX39" s="307">
        <v>2.6</v>
      </c>
      <c r="CY39" s="307">
        <v>4.0999999999999996</v>
      </c>
      <c r="CZ39" s="311">
        <f t="shared" si="39"/>
        <v>31250</v>
      </c>
      <c r="DA39" s="311"/>
      <c r="DB39" s="311">
        <f t="shared" ref="DB39" si="83">+CT39*75</f>
        <v>390000</v>
      </c>
      <c r="DC39" s="311">
        <f t="shared" ref="DC39" si="84">+CI39</f>
        <v>390000</v>
      </c>
      <c r="DD39" s="312">
        <f t="shared" ref="DD39" si="85">+CI39+CZ39+CW39</f>
        <v>421250</v>
      </c>
    </row>
    <row r="40" spans="1:143" ht="15.75" x14ac:dyDescent="0.25">
      <c r="A40" s="50" t="str">
        <f>+'[1]SEMANA DEL 13 AL 20 '!A43</f>
        <v xml:space="preserve">YENDER PADILLA </v>
      </c>
      <c r="B40" s="190">
        <v>0</v>
      </c>
      <c r="C40" s="190">
        <v>0</v>
      </c>
      <c r="D40" s="190">
        <v>0</v>
      </c>
      <c r="E40" s="190">
        <v>0</v>
      </c>
      <c r="F40" s="260">
        <v>0</v>
      </c>
      <c r="G40" s="260">
        <v>0</v>
      </c>
      <c r="H40" s="260">
        <v>0</v>
      </c>
      <c r="I40" s="260">
        <v>0</v>
      </c>
      <c r="J40" s="260">
        <v>0</v>
      </c>
      <c r="K40" s="260">
        <v>0</v>
      </c>
      <c r="L40" s="260">
        <v>0</v>
      </c>
      <c r="M40" s="260">
        <v>0</v>
      </c>
      <c r="N40" s="260">
        <v>0</v>
      </c>
      <c r="O40" s="260">
        <v>0</v>
      </c>
      <c r="P40" s="260">
        <v>0</v>
      </c>
      <c r="Q40" s="260">
        <v>0</v>
      </c>
      <c r="R40" s="289">
        <v>5</v>
      </c>
      <c r="S40" s="289">
        <v>9</v>
      </c>
      <c r="T40" s="289">
        <v>35</v>
      </c>
      <c r="U40" s="289">
        <v>4</v>
      </c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>
        <v>5</v>
      </c>
      <c r="AI40" s="289">
        <v>9</v>
      </c>
      <c r="AJ40" s="289">
        <v>35</v>
      </c>
      <c r="AK40" s="289">
        <v>4</v>
      </c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7">
        <f t="shared" si="2"/>
        <v>0</v>
      </c>
      <c r="AY40" s="113">
        <f t="shared" si="3"/>
        <v>0</v>
      </c>
      <c r="AZ40" s="113">
        <f t="shared" si="4"/>
        <v>0</v>
      </c>
      <c r="BA40" s="113">
        <f t="shared" si="5"/>
        <v>0</v>
      </c>
      <c r="BB40" s="287">
        <f t="shared" si="6"/>
        <v>0</v>
      </c>
      <c r="BC40" s="113">
        <f t="shared" si="7"/>
        <v>0</v>
      </c>
      <c r="BD40" s="113">
        <f t="shared" si="8"/>
        <v>0</v>
      </c>
      <c r="BE40" s="113">
        <f t="shared" si="9"/>
        <v>0</v>
      </c>
      <c r="BF40" s="113">
        <f t="shared" si="10"/>
        <v>0</v>
      </c>
      <c r="BG40" s="113">
        <f t="shared" si="11"/>
        <v>0</v>
      </c>
      <c r="BH40" s="113">
        <f t="shared" si="12"/>
        <v>0</v>
      </c>
      <c r="BI40" s="113">
        <f t="shared" si="13"/>
        <v>0</v>
      </c>
      <c r="BJ40" s="113">
        <f t="shared" si="14"/>
        <v>0</v>
      </c>
      <c r="BK40" s="113">
        <f t="shared" si="15"/>
        <v>0</v>
      </c>
      <c r="BL40" s="288">
        <f t="shared" si="16"/>
        <v>0</v>
      </c>
      <c r="BM40" s="288">
        <f t="shared" si="17"/>
        <v>0</v>
      </c>
      <c r="BN40" s="190">
        <v>5000</v>
      </c>
      <c r="BO40" s="258">
        <f t="shared" si="18"/>
        <v>0</v>
      </c>
      <c r="BP40" s="71">
        <f t="shared" si="19"/>
        <v>0</v>
      </c>
      <c r="BQ40" s="112">
        <f t="shared" si="20"/>
        <v>0</v>
      </c>
      <c r="BR40" s="112">
        <f t="shared" si="21"/>
        <v>0</v>
      </c>
      <c r="BS40" s="112">
        <f t="shared" si="22"/>
        <v>0</v>
      </c>
      <c r="BT40" s="112">
        <f t="shared" si="1"/>
        <v>0</v>
      </c>
      <c r="BU40" s="112">
        <f t="shared" si="23"/>
        <v>0</v>
      </c>
      <c r="BV40" s="112">
        <f t="shared" si="24"/>
        <v>0</v>
      </c>
      <c r="BW40" s="112">
        <f t="shared" si="25"/>
        <v>0</v>
      </c>
      <c r="BX40" s="112">
        <f t="shared" si="26"/>
        <v>0</v>
      </c>
      <c r="BY40" s="71">
        <f t="shared" si="27"/>
        <v>0</v>
      </c>
      <c r="BZ40" s="112">
        <f t="shared" si="28"/>
        <v>0</v>
      </c>
      <c r="CA40" s="159"/>
      <c r="CB40" s="159"/>
      <c r="CC40" s="71">
        <f t="shared" si="29"/>
        <v>80</v>
      </c>
      <c r="CD40" s="71">
        <f>+AI40*12+12</f>
        <v>120</v>
      </c>
      <c r="CE40" s="71">
        <f t="shared" si="30"/>
        <v>105</v>
      </c>
      <c r="CF40" s="71">
        <f t="shared" si="31"/>
        <v>305</v>
      </c>
      <c r="CG40" s="71">
        <f t="shared" si="32"/>
        <v>375305</v>
      </c>
      <c r="CH40" s="166">
        <f t="shared" si="33"/>
        <v>0</v>
      </c>
      <c r="CI40" s="263">
        <f t="shared" si="34"/>
        <v>375000</v>
      </c>
      <c r="CJ40" s="52"/>
      <c r="CK40" s="50"/>
      <c r="CL40" s="199"/>
      <c r="CM40" s="200"/>
      <c r="CN40" s="249"/>
      <c r="CO40" s="201"/>
      <c r="CP40" s="249"/>
      <c r="CQ40" s="52"/>
      <c r="CR40" s="167" t="str">
        <f>+A40</f>
        <v xml:space="preserve">YENDER PADILLA </v>
      </c>
      <c r="CS40" s="171" t="s">
        <v>177</v>
      </c>
      <c r="CT40" s="169">
        <f>+BN40</f>
        <v>5000</v>
      </c>
      <c r="CU40" s="169">
        <f>+AW40</f>
        <v>0</v>
      </c>
      <c r="CV40" s="169"/>
      <c r="CW40" s="169">
        <f t="shared" si="38"/>
        <v>0</v>
      </c>
      <c r="CX40" s="307">
        <v>3.8</v>
      </c>
      <c r="CY40" s="307">
        <v>5.7</v>
      </c>
      <c r="CZ40" s="311">
        <f>+CX40*6500+CY40*3500</f>
        <v>44650</v>
      </c>
      <c r="DA40" s="311"/>
      <c r="DB40" s="311">
        <f>+CT40*75</f>
        <v>375000</v>
      </c>
      <c r="DC40" s="311">
        <f>+CI40</f>
        <v>375000</v>
      </c>
      <c r="DD40" s="312">
        <f>+CI40+CZ40+CW40</f>
        <v>419650</v>
      </c>
    </row>
    <row r="41" spans="1:143" ht="15.75" x14ac:dyDescent="0.25">
      <c r="A41" s="50" t="s">
        <v>250</v>
      </c>
      <c r="B41" s="190"/>
      <c r="C41" s="190"/>
      <c r="D41" s="190"/>
      <c r="E41" s="190">
        <v>0</v>
      </c>
      <c r="F41" s="260">
        <v>0</v>
      </c>
      <c r="G41" s="260">
        <v>0</v>
      </c>
      <c r="H41" s="260">
        <v>0</v>
      </c>
      <c r="I41" s="260">
        <v>0</v>
      </c>
      <c r="J41" s="260">
        <v>0</v>
      </c>
      <c r="K41" s="260">
        <v>0</v>
      </c>
      <c r="L41" s="260">
        <v>0</v>
      </c>
      <c r="M41" s="260">
        <v>0</v>
      </c>
      <c r="N41" s="260">
        <v>0</v>
      </c>
      <c r="O41" s="260">
        <v>0</v>
      </c>
      <c r="P41" s="260">
        <v>0</v>
      </c>
      <c r="Q41" s="260">
        <v>0</v>
      </c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7">
        <f t="shared" si="2"/>
        <v>0</v>
      </c>
      <c r="AY41" s="113">
        <f t="shared" si="3"/>
        <v>0</v>
      </c>
      <c r="AZ41" s="113">
        <f t="shared" si="4"/>
        <v>0</v>
      </c>
      <c r="BA41" s="113">
        <f t="shared" si="5"/>
        <v>0</v>
      </c>
      <c r="BB41" s="287">
        <f t="shared" si="6"/>
        <v>0</v>
      </c>
      <c r="BC41" s="113">
        <f t="shared" si="7"/>
        <v>0</v>
      </c>
      <c r="BD41" s="113">
        <f t="shared" si="8"/>
        <v>0</v>
      </c>
      <c r="BE41" s="113">
        <f t="shared" si="9"/>
        <v>0</v>
      </c>
      <c r="BF41" s="113">
        <f t="shared" si="10"/>
        <v>0</v>
      </c>
      <c r="BG41" s="113">
        <f t="shared" si="11"/>
        <v>0</v>
      </c>
      <c r="BH41" s="113">
        <f t="shared" si="12"/>
        <v>0</v>
      </c>
      <c r="BI41" s="113">
        <f t="shared" si="13"/>
        <v>0</v>
      </c>
      <c r="BJ41" s="113">
        <f t="shared" si="14"/>
        <v>0</v>
      </c>
      <c r="BK41" s="113">
        <f t="shared" si="15"/>
        <v>0</v>
      </c>
      <c r="BL41" s="288">
        <f t="shared" si="16"/>
        <v>0</v>
      </c>
      <c r="BM41" s="288">
        <f t="shared" si="17"/>
        <v>0</v>
      </c>
      <c r="BN41" s="190"/>
      <c r="BO41" s="258"/>
      <c r="BP41" s="71"/>
      <c r="BQ41" s="112"/>
      <c r="BR41" s="112"/>
      <c r="BS41" s="112"/>
      <c r="BT41" s="112"/>
      <c r="BU41" s="112"/>
      <c r="BV41" s="112"/>
      <c r="BW41" s="112"/>
      <c r="BX41" s="112"/>
      <c r="BY41" s="71"/>
      <c r="BZ41" s="112"/>
      <c r="CA41" s="159"/>
      <c r="CB41" s="159"/>
      <c r="CC41" s="71"/>
      <c r="CD41" s="71"/>
      <c r="CE41" s="71"/>
      <c r="CF41" s="71"/>
      <c r="CG41" s="71"/>
      <c r="CH41" s="166"/>
      <c r="CI41" s="263"/>
      <c r="CJ41" s="52"/>
      <c r="CK41" s="50"/>
      <c r="CL41" s="199"/>
      <c r="CM41" s="200"/>
      <c r="CN41" s="249"/>
      <c r="CO41" s="201"/>
      <c r="CP41" s="249"/>
      <c r="CQ41" s="52"/>
      <c r="CR41" s="167"/>
      <c r="CS41" s="171"/>
      <c r="CT41" s="169"/>
      <c r="CU41" s="169"/>
      <c r="CV41" s="169"/>
      <c r="CW41" s="169"/>
      <c r="CX41" s="307"/>
      <c r="CY41" s="307"/>
      <c r="CZ41" s="311"/>
      <c r="DA41" s="311"/>
      <c r="DB41" s="311"/>
      <c r="DC41" s="311"/>
      <c r="DD41" s="312"/>
    </row>
    <row r="42" spans="1:143" ht="15.75" x14ac:dyDescent="0.25">
      <c r="A42" s="50" t="str">
        <f>+'[1]SEMANA DEL 13 AL 20 '!A44</f>
        <v>YARIRETH ROA</v>
      </c>
      <c r="B42" s="190">
        <v>0.40000000000000036</v>
      </c>
      <c r="C42" s="190">
        <v>0.72499999999999787</v>
      </c>
      <c r="D42" s="190">
        <v>2.7999999999999972</v>
      </c>
      <c r="E42" s="190">
        <v>0</v>
      </c>
      <c r="F42" s="260">
        <v>0</v>
      </c>
      <c r="G42" s="260">
        <v>0</v>
      </c>
      <c r="H42" s="260">
        <v>0</v>
      </c>
      <c r="I42" s="260">
        <v>0</v>
      </c>
      <c r="J42" s="260">
        <v>0</v>
      </c>
      <c r="K42" s="260">
        <v>0</v>
      </c>
      <c r="L42" s="260">
        <v>0</v>
      </c>
      <c r="M42" s="260">
        <v>0</v>
      </c>
      <c r="N42" s="260">
        <v>0</v>
      </c>
      <c r="O42" s="260">
        <v>0</v>
      </c>
      <c r="P42" s="260">
        <v>0</v>
      </c>
      <c r="Q42" s="260">
        <v>0</v>
      </c>
      <c r="R42" s="289">
        <v>12</v>
      </c>
      <c r="S42" s="289">
        <v>21.6</v>
      </c>
      <c r="T42" s="289">
        <v>84</v>
      </c>
      <c r="U42" s="289">
        <v>10</v>
      </c>
      <c r="V42" s="289"/>
      <c r="W42" s="289"/>
      <c r="X42" s="289"/>
      <c r="Y42" s="289"/>
      <c r="Z42" s="289">
        <v>2</v>
      </c>
      <c r="AA42" s="289"/>
      <c r="AB42" s="289"/>
      <c r="AC42" s="289"/>
      <c r="AD42" s="289"/>
      <c r="AE42" s="289"/>
      <c r="AF42" s="289"/>
      <c r="AG42" s="289"/>
      <c r="AH42" s="289">
        <v>11.25</v>
      </c>
      <c r="AI42" s="289">
        <v>20.25</v>
      </c>
      <c r="AJ42" s="289">
        <v>78.75</v>
      </c>
      <c r="AK42" s="289">
        <v>9</v>
      </c>
      <c r="AL42" s="289"/>
      <c r="AM42" s="289"/>
      <c r="AN42" s="289"/>
      <c r="AO42" s="289"/>
      <c r="AP42" s="289">
        <v>2</v>
      </c>
      <c r="AQ42" s="289"/>
      <c r="AR42" s="289"/>
      <c r="AS42" s="289"/>
      <c r="AT42" s="289"/>
      <c r="AU42" s="289"/>
      <c r="AV42" s="289"/>
      <c r="AW42" s="289"/>
      <c r="AX42" s="287">
        <f t="shared" si="2"/>
        <v>1.1500000000000004</v>
      </c>
      <c r="AY42" s="113">
        <f t="shared" si="3"/>
        <v>2.0749999999999993</v>
      </c>
      <c r="AZ42" s="113">
        <f t="shared" si="4"/>
        <v>8.0499999999999972</v>
      </c>
      <c r="BA42" s="113">
        <f t="shared" si="5"/>
        <v>1</v>
      </c>
      <c r="BB42" s="287">
        <f t="shared" si="6"/>
        <v>0</v>
      </c>
      <c r="BC42" s="113">
        <f t="shared" si="7"/>
        <v>0</v>
      </c>
      <c r="BD42" s="113">
        <f t="shared" si="8"/>
        <v>0</v>
      </c>
      <c r="BE42" s="113">
        <f t="shared" si="9"/>
        <v>0</v>
      </c>
      <c r="BF42" s="113">
        <f t="shared" si="10"/>
        <v>0</v>
      </c>
      <c r="BG42" s="113">
        <f t="shared" si="11"/>
        <v>0</v>
      </c>
      <c r="BH42" s="113">
        <f t="shared" si="12"/>
        <v>0</v>
      </c>
      <c r="BI42" s="113">
        <f t="shared" si="13"/>
        <v>0</v>
      </c>
      <c r="BJ42" s="113">
        <f t="shared" si="14"/>
        <v>0</v>
      </c>
      <c r="BK42" s="113">
        <f t="shared" si="15"/>
        <v>0</v>
      </c>
      <c r="BL42" s="288">
        <f t="shared" si="16"/>
        <v>0</v>
      </c>
      <c r="BM42" s="288">
        <f t="shared" si="17"/>
        <v>0</v>
      </c>
      <c r="BN42" s="190">
        <v>11250</v>
      </c>
      <c r="BO42" s="258">
        <f t="shared" si="18"/>
        <v>0</v>
      </c>
      <c r="BP42" s="71">
        <f t="shared" si="19"/>
        <v>0</v>
      </c>
      <c r="BQ42" s="112">
        <f t="shared" si="20"/>
        <v>0</v>
      </c>
      <c r="BR42" s="112">
        <f t="shared" si="21"/>
        <v>0</v>
      </c>
      <c r="BS42" s="112">
        <f t="shared" si="22"/>
        <v>16000</v>
      </c>
      <c r="BT42" s="112">
        <f t="shared" si="1"/>
        <v>0</v>
      </c>
      <c r="BU42" s="112">
        <f t="shared" si="23"/>
        <v>0</v>
      </c>
      <c r="BV42" s="112">
        <f t="shared" si="24"/>
        <v>0</v>
      </c>
      <c r="BW42" s="112">
        <f t="shared" si="25"/>
        <v>0</v>
      </c>
      <c r="BX42" s="112">
        <f t="shared" si="26"/>
        <v>0</v>
      </c>
      <c r="BY42" s="71">
        <f t="shared" si="27"/>
        <v>0</v>
      </c>
      <c r="BZ42" s="112">
        <f t="shared" si="28"/>
        <v>0</v>
      </c>
      <c r="CA42" s="159"/>
      <c r="CB42" s="159"/>
      <c r="CC42" s="71">
        <f t="shared" si="29"/>
        <v>180</v>
      </c>
      <c r="CD42" s="71">
        <f>+AI42*12+27</f>
        <v>270</v>
      </c>
      <c r="CE42" s="71">
        <f t="shared" si="30"/>
        <v>236.25</v>
      </c>
      <c r="CF42" s="71">
        <f t="shared" si="31"/>
        <v>686.25</v>
      </c>
      <c r="CG42" s="71">
        <f t="shared" si="32"/>
        <v>844436.25</v>
      </c>
      <c r="CH42" s="166">
        <f t="shared" si="33"/>
        <v>16000</v>
      </c>
      <c r="CI42" s="263">
        <f t="shared" si="34"/>
        <v>827750</v>
      </c>
      <c r="CJ42" s="52"/>
      <c r="CK42" s="50"/>
      <c r="CL42" s="199"/>
      <c r="CM42" s="200"/>
      <c r="CN42" s="249"/>
      <c r="CO42" s="201"/>
      <c r="CP42" s="249"/>
      <c r="CQ42" s="52"/>
      <c r="CR42" s="167" t="str">
        <f t="shared" si="43"/>
        <v>YARIRETH ROA</v>
      </c>
      <c r="CS42" s="171" t="s">
        <v>140</v>
      </c>
      <c r="CT42" s="169">
        <f t="shared" si="36"/>
        <v>11250</v>
      </c>
      <c r="CU42" s="169">
        <f t="shared" si="37"/>
        <v>0</v>
      </c>
      <c r="CV42" s="169"/>
      <c r="CW42" s="169">
        <f t="shared" si="38"/>
        <v>0</v>
      </c>
      <c r="CX42" s="307">
        <v>2.8</v>
      </c>
      <c r="CY42" s="307">
        <v>5.5</v>
      </c>
      <c r="CZ42" s="311">
        <f t="shared" si="39"/>
        <v>37450</v>
      </c>
      <c r="DA42" s="311"/>
      <c r="DB42" s="311">
        <f t="shared" si="40"/>
        <v>843750</v>
      </c>
      <c r="DC42" s="311">
        <f t="shared" si="41"/>
        <v>827750</v>
      </c>
      <c r="DD42" s="312">
        <f t="shared" si="42"/>
        <v>865200</v>
      </c>
    </row>
    <row r="43" spans="1:143" ht="15.75" x14ac:dyDescent="0.25">
      <c r="A43" s="50" t="str">
        <f>+'[1]SEMANA DEL 13 AL 20 '!A45</f>
        <v xml:space="preserve">YOLI BECERRA </v>
      </c>
      <c r="B43" s="190">
        <v>0</v>
      </c>
      <c r="C43" s="190">
        <v>0</v>
      </c>
      <c r="D43" s="190">
        <v>3.3999999999999986</v>
      </c>
      <c r="E43" s="190">
        <v>0</v>
      </c>
      <c r="F43" s="260">
        <v>0</v>
      </c>
      <c r="G43" s="260">
        <v>0</v>
      </c>
      <c r="H43" s="260">
        <v>0</v>
      </c>
      <c r="I43" s="260">
        <v>0</v>
      </c>
      <c r="J43" s="260">
        <v>0</v>
      </c>
      <c r="K43" s="260">
        <v>0</v>
      </c>
      <c r="L43" s="260">
        <v>0</v>
      </c>
      <c r="M43" s="260">
        <v>0</v>
      </c>
      <c r="N43" s="260">
        <v>0</v>
      </c>
      <c r="O43" s="260">
        <v>0</v>
      </c>
      <c r="P43" s="260">
        <v>0</v>
      </c>
      <c r="Q43" s="260">
        <v>0</v>
      </c>
      <c r="R43" s="289">
        <v>3</v>
      </c>
      <c r="S43" s="289">
        <v>5.4</v>
      </c>
      <c r="T43" s="289">
        <v>17.600000000000001</v>
      </c>
      <c r="U43" s="289">
        <v>3</v>
      </c>
      <c r="V43" s="289"/>
      <c r="W43" s="289"/>
      <c r="X43" s="289"/>
      <c r="Y43" s="289"/>
      <c r="Z43" s="289"/>
      <c r="AA43" s="289"/>
      <c r="AB43" s="289"/>
      <c r="AC43" s="289"/>
      <c r="AD43" s="289"/>
      <c r="AE43" s="289"/>
      <c r="AF43" s="320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7">
        <f t="shared" si="2"/>
        <v>3</v>
      </c>
      <c r="AY43" s="113">
        <f t="shared" si="3"/>
        <v>5.4</v>
      </c>
      <c r="AZ43" s="113">
        <f t="shared" si="4"/>
        <v>21</v>
      </c>
      <c r="BA43" s="113">
        <f t="shared" si="5"/>
        <v>3</v>
      </c>
      <c r="BB43" s="287">
        <f t="shared" si="6"/>
        <v>0</v>
      </c>
      <c r="BC43" s="113">
        <f t="shared" si="7"/>
        <v>0</v>
      </c>
      <c r="BD43" s="113">
        <f t="shared" si="8"/>
        <v>0</v>
      </c>
      <c r="BE43" s="113">
        <f t="shared" si="9"/>
        <v>0</v>
      </c>
      <c r="BF43" s="113">
        <f t="shared" si="10"/>
        <v>0</v>
      </c>
      <c r="BG43" s="113">
        <f t="shared" si="11"/>
        <v>0</v>
      </c>
      <c r="BH43" s="113">
        <f t="shared" si="12"/>
        <v>0</v>
      </c>
      <c r="BI43" s="113">
        <f t="shared" si="13"/>
        <v>0</v>
      </c>
      <c r="BJ43" s="113">
        <f t="shared" si="14"/>
        <v>0</v>
      </c>
      <c r="BK43" s="113">
        <f t="shared" si="15"/>
        <v>0</v>
      </c>
      <c r="BL43" s="288">
        <f t="shared" si="16"/>
        <v>0</v>
      </c>
      <c r="BM43" s="288">
        <f t="shared" si="17"/>
        <v>0</v>
      </c>
      <c r="BN43" s="190"/>
      <c r="BO43" s="258">
        <f t="shared" si="18"/>
        <v>0</v>
      </c>
      <c r="BP43" s="71">
        <f t="shared" si="19"/>
        <v>0</v>
      </c>
      <c r="BQ43" s="112">
        <f t="shared" si="20"/>
        <v>0</v>
      </c>
      <c r="BR43" s="112">
        <f t="shared" si="21"/>
        <v>0</v>
      </c>
      <c r="BS43" s="112">
        <f t="shared" si="22"/>
        <v>0</v>
      </c>
      <c r="BT43" s="112">
        <f t="shared" si="1"/>
        <v>0</v>
      </c>
      <c r="BU43" s="112">
        <f t="shared" si="23"/>
        <v>0</v>
      </c>
      <c r="BV43" s="112">
        <f t="shared" si="24"/>
        <v>0</v>
      </c>
      <c r="BW43" s="112">
        <f t="shared" si="25"/>
        <v>0</v>
      </c>
      <c r="BX43" s="112">
        <f t="shared" si="26"/>
        <v>0</v>
      </c>
      <c r="BY43" s="71">
        <f t="shared" si="27"/>
        <v>0</v>
      </c>
      <c r="BZ43" s="112">
        <f t="shared" si="28"/>
        <v>0</v>
      </c>
      <c r="CA43" s="159"/>
      <c r="CB43" s="159"/>
      <c r="CC43" s="71">
        <f t="shared" si="29"/>
        <v>0</v>
      </c>
      <c r="CD43" s="71">
        <f t="shared" si="35"/>
        <v>0</v>
      </c>
      <c r="CE43" s="71">
        <f t="shared" si="30"/>
        <v>0</v>
      </c>
      <c r="CF43" s="71">
        <f t="shared" si="31"/>
        <v>0</v>
      </c>
      <c r="CG43" s="71">
        <f t="shared" si="32"/>
        <v>0</v>
      </c>
      <c r="CH43" s="166">
        <f t="shared" si="33"/>
        <v>0</v>
      </c>
      <c r="CI43" s="263">
        <f t="shared" si="34"/>
        <v>0</v>
      </c>
      <c r="CJ43" s="52"/>
      <c r="CK43" s="52"/>
      <c r="CL43" s="52"/>
      <c r="CM43" s="52"/>
      <c r="CN43" s="52"/>
      <c r="CO43" s="52"/>
      <c r="CP43" s="52"/>
      <c r="CQ43" s="52"/>
      <c r="CR43" s="167" t="str">
        <f t="shared" si="43"/>
        <v xml:space="preserve">YOLI BECERRA </v>
      </c>
      <c r="CS43" s="233" t="s">
        <v>122</v>
      </c>
      <c r="CT43" s="169">
        <f t="shared" si="36"/>
        <v>0</v>
      </c>
      <c r="CU43" s="169">
        <f t="shared" si="37"/>
        <v>0</v>
      </c>
      <c r="CV43" s="169"/>
      <c r="CW43" s="169">
        <f t="shared" si="38"/>
        <v>0</v>
      </c>
      <c r="CX43" s="307"/>
      <c r="CY43" s="307"/>
      <c r="CZ43" s="311">
        <f t="shared" si="39"/>
        <v>0</v>
      </c>
      <c r="DA43" s="311"/>
      <c r="DB43" s="311">
        <f t="shared" si="40"/>
        <v>0</v>
      </c>
      <c r="DC43" s="311">
        <f t="shared" si="41"/>
        <v>0</v>
      </c>
      <c r="DD43" s="312">
        <f t="shared" si="42"/>
        <v>0</v>
      </c>
    </row>
    <row r="44" spans="1:143" ht="16.5" customHeight="1" x14ac:dyDescent="0.25">
      <c r="A44" s="50" t="str">
        <f>+'[1]SEMANA DEL 13 AL 20 '!A46</f>
        <v xml:space="preserve">MUESTRAS SRA MARIA </v>
      </c>
      <c r="B44" s="190">
        <v>0</v>
      </c>
      <c r="C44" s="190">
        <v>0</v>
      </c>
      <c r="D44" s="190">
        <v>0</v>
      </c>
      <c r="E44" s="190">
        <v>0</v>
      </c>
      <c r="F44" s="260">
        <v>0</v>
      </c>
      <c r="G44" s="260">
        <v>0</v>
      </c>
      <c r="H44" s="260">
        <v>0</v>
      </c>
      <c r="I44" s="260">
        <v>0</v>
      </c>
      <c r="J44" s="260">
        <v>0</v>
      </c>
      <c r="K44" s="260">
        <v>0</v>
      </c>
      <c r="L44" s="260">
        <v>0</v>
      </c>
      <c r="M44" s="260">
        <v>0</v>
      </c>
      <c r="N44" s="260">
        <v>0</v>
      </c>
      <c r="O44" s="260">
        <v>0</v>
      </c>
      <c r="P44" s="260">
        <v>0</v>
      </c>
      <c r="Q44" s="260">
        <v>0</v>
      </c>
      <c r="R44" s="289">
        <v>0</v>
      </c>
      <c r="S44" s="289">
        <v>0</v>
      </c>
      <c r="T44" s="289">
        <v>0</v>
      </c>
      <c r="U44" s="289">
        <v>0</v>
      </c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00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287">
        <f t="shared" si="2"/>
        <v>0</v>
      </c>
      <c r="AY44" s="113">
        <f t="shared" si="3"/>
        <v>0</v>
      </c>
      <c r="AZ44" s="113">
        <f t="shared" si="4"/>
        <v>0</v>
      </c>
      <c r="BA44" s="113">
        <f t="shared" si="5"/>
        <v>0</v>
      </c>
      <c r="BB44" s="287">
        <f t="shared" si="6"/>
        <v>0</v>
      </c>
      <c r="BC44" s="113">
        <f t="shared" si="7"/>
        <v>0</v>
      </c>
      <c r="BD44" s="113">
        <f t="shared" si="8"/>
        <v>0</v>
      </c>
      <c r="BE44" s="113">
        <f t="shared" si="9"/>
        <v>0</v>
      </c>
      <c r="BF44" s="113">
        <f t="shared" si="10"/>
        <v>0</v>
      </c>
      <c r="BG44" s="113">
        <f t="shared" si="11"/>
        <v>0</v>
      </c>
      <c r="BH44" s="113">
        <f t="shared" si="12"/>
        <v>0</v>
      </c>
      <c r="BI44" s="113">
        <f t="shared" si="13"/>
        <v>0</v>
      </c>
      <c r="BJ44" s="113">
        <f t="shared" si="14"/>
        <v>0</v>
      </c>
      <c r="BK44" s="113">
        <f t="shared" si="15"/>
        <v>0</v>
      </c>
      <c r="BL44" s="288">
        <f t="shared" si="16"/>
        <v>0</v>
      </c>
      <c r="BM44" s="288">
        <f t="shared" si="17"/>
        <v>0</v>
      </c>
      <c r="BN44" s="190"/>
      <c r="BO44" s="258">
        <f t="shared" si="18"/>
        <v>0</v>
      </c>
      <c r="BP44" s="71">
        <f t="shared" si="19"/>
        <v>0</v>
      </c>
      <c r="BQ44" s="112">
        <f t="shared" si="20"/>
        <v>0</v>
      </c>
      <c r="BR44" s="112">
        <f t="shared" si="21"/>
        <v>0</v>
      </c>
      <c r="BS44" s="112">
        <f t="shared" si="22"/>
        <v>0</v>
      </c>
      <c r="BT44" s="112">
        <f t="shared" si="1"/>
        <v>0</v>
      </c>
      <c r="BU44" s="112">
        <f t="shared" si="23"/>
        <v>0</v>
      </c>
      <c r="BV44" s="112">
        <f t="shared" si="24"/>
        <v>0</v>
      </c>
      <c r="BW44" s="112">
        <f t="shared" si="25"/>
        <v>0</v>
      </c>
      <c r="BX44" s="112">
        <f t="shared" si="26"/>
        <v>0</v>
      </c>
      <c r="BY44" s="71">
        <f t="shared" si="27"/>
        <v>0</v>
      </c>
      <c r="BZ44" s="112">
        <f t="shared" si="28"/>
        <v>0</v>
      </c>
      <c r="CA44" s="159"/>
      <c r="CB44" s="159"/>
      <c r="CC44" s="71">
        <f t="shared" si="29"/>
        <v>0</v>
      </c>
      <c r="CD44" s="71">
        <f t="shared" si="35"/>
        <v>0</v>
      </c>
      <c r="CE44" s="71">
        <f t="shared" si="30"/>
        <v>0</v>
      </c>
      <c r="CF44" s="71">
        <f t="shared" si="31"/>
        <v>0</v>
      </c>
      <c r="CG44" s="71">
        <f t="shared" si="32"/>
        <v>0</v>
      </c>
      <c r="CH44" s="166">
        <f t="shared" si="33"/>
        <v>0</v>
      </c>
      <c r="CI44" s="263">
        <f t="shared" si="34"/>
        <v>0</v>
      </c>
      <c r="CJ44" s="52"/>
      <c r="CK44" s="52"/>
      <c r="CL44" s="52"/>
      <c r="CM44" s="52"/>
      <c r="CN44" s="52"/>
      <c r="CO44" s="52"/>
      <c r="CP44" s="52"/>
      <c r="CQ44" s="52"/>
      <c r="CR44" s="167" t="str">
        <f>+A44</f>
        <v xml:space="preserve">MUESTRAS SRA MARIA </v>
      </c>
      <c r="CS44" s="233"/>
      <c r="CT44" s="169"/>
      <c r="CU44" s="169">
        <f>+AW44</f>
        <v>0</v>
      </c>
      <c r="CV44" s="169"/>
      <c r="CW44" s="169">
        <f t="shared" si="38"/>
        <v>0</v>
      </c>
      <c r="CX44" s="307"/>
      <c r="CY44" s="307"/>
      <c r="CZ44" s="311">
        <f>+CX44*6500+CY44*3500</f>
        <v>0</v>
      </c>
      <c r="DA44" s="311"/>
      <c r="DB44" s="311">
        <f>+CT44*75</f>
        <v>0</v>
      </c>
      <c r="DC44" s="311">
        <f>+CI44</f>
        <v>0</v>
      </c>
      <c r="DD44" s="312">
        <f>+CI44+CZ44+CW44</f>
        <v>0</v>
      </c>
    </row>
    <row r="45" spans="1:143" s="46" customFormat="1" ht="14.25" customHeight="1" x14ac:dyDescent="0.2">
      <c r="A45" s="50">
        <f>+'[1]SEMANA DEL 13 AL 20 '!A47</f>
        <v>0</v>
      </c>
      <c r="B45" s="318">
        <f t="shared" ref="B45:AG45" si="86">SUM(B5:B44)</f>
        <v>7.4460000000000006</v>
      </c>
      <c r="C45" s="318">
        <f t="shared" si="86"/>
        <v>13.973000000000003</v>
      </c>
      <c r="D45" s="318">
        <f t="shared" si="86"/>
        <v>82.947999999999979</v>
      </c>
      <c r="E45" s="318">
        <f t="shared" si="86"/>
        <v>3</v>
      </c>
      <c r="F45" s="318">
        <f t="shared" si="86"/>
        <v>0</v>
      </c>
      <c r="G45" s="318">
        <f t="shared" si="86"/>
        <v>0</v>
      </c>
      <c r="H45" s="318">
        <f t="shared" si="86"/>
        <v>0</v>
      </c>
      <c r="I45" s="318">
        <f t="shared" si="86"/>
        <v>4</v>
      </c>
      <c r="J45" s="318">
        <f t="shared" si="86"/>
        <v>0</v>
      </c>
      <c r="K45" s="318">
        <f t="shared" si="86"/>
        <v>0</v>
      </c>
      <c r="L45" s="318">
        <f t="shared" si="86"/>
        <v>0</v>
      </c>
      <c r="M45" s="318">
        <f t="shared" si="86"/>
        <v>0</v>
      </c>
      <c r="N45" s="318">
        <f t="shared" si="86"/>
        <v>0</v>
      </c>
      <c r="O45" s="318">
        <f t="shared" si="86"/>
        <v>0</v>
      </c>
      <c r="P45" s="318">
        <f t="shared" si="86"/>
        <v>0</v>
      </c>
      <c r="Q45" s="318">
        <f t="shared" si="86"/>
        <v>0</v>
      </c>
      <c r="R45" s="247">
        <f t="shared" si="86"/>
        <v>212.5</v>
      </c>
      <c r="S45" s="247">
        <f t="shared" si="86"/>
        <v>380.4</v>
      </c>
      <c r="T45" s="247">
        <f t="shared" si="86"/>
        <v>1481.6</v>
      </c>
      <c r="U45" s="318">
        <f t="shared" si="86"/>
        <v>175</v>
      </c>
      <c r="V45" s="318">
        <f t="shared" si="86"/>
        <v>0</v>
      </c>
      <c r="W45" s="318">
        <f t="shared" si="86"/>
        <v>0.25</v>
      </c>
      <c r="X45" s="318">
        <f t="shared" si="86"/>
        <v>0</v>
      </c>
      <c r="Y45" s="318">
        <f t="shared" si="86"/>
        <v>0</v>
      </c>
      <c r="Z45" s="318">
        <f t="shared" si="86"/>
        <v>2</v>
      </c>
      <c r="AA45" s="318">
        <f t="shared" si="86"/>
        <v>0</v>
      </c>
      <c r="AB45" s="318">
        <f t="shared" si="86"/>
        <v>0</v>
      </c>
      <c r="AC45" s="318">
        <f t="shared" si="86"/>
        <v>0</v>
      </c>
      <c r="AD45" s="318">
        <f t="shared" si="86"/>
        <v>0</v>
      </c>
      <c r="AE45" s="318">
        <f t="shared" si="86"/>
        <v>0</v>
      </c>
      <c r="AF45" s="318">
        <f t="shared" si="86"/>
        <v>0</v>
      </c>
      <c r="AG45" s="318">
        <f t="shared" si="86"/>
        <v>0</v>
      </c>
      <c r="AH45" s="318">
        <f t="shared" ref="AH45:BM45" si="87">SUM(AH5:AH44)</f>
        <v>205.95</v>
      </c>
      <c r="AI45" s="318">
        <f t="shared" si="87"/>
        <v>369.21000000000004</v>
      </c>
      <c r="AJ45" s="318">
        <f t="shared" si="87"/>
        <v>1438.15</v>
      </c>
      <c r="AK45" s="318">
        <f t="shared" si="87"/>
        <v>167</v>
      </c>
      <c r="AL45" s="318">
        <f t="shared" si="87"/>
        <v>0</v>
      </c>
      <c r="AM45" s="318">
        <f t="shared" si="87"/>
        <v>0.25</v>
      </c>
      <c r="AN45" s="318">
        <f t="shared" si="87"/>
        <v>0</v>
      </c>
      <c r="AO45" s="318">
        <f t="shared" si="87"/>
        <v>1</v>
      </c>
      <c r="AP45" s="318">
        <f t="shared" si="87"/>
        <v>2</v>
      </c>
      <c r="AQ45" s="318">
        <f t="shared" si="87"/>
        <v>0</v>
      </c>
      <c r="AR45" s="318">
        <f t="shared" si="87"/>
        <v>0</v>
      </c>
      <c r="AS45" s="318">
        <f t="shared" si="87"/>
        <v>0</v>
      </c>
      <c r="AT45" s="318">
        <f t="shared" si="87"/>
        <v>0</v>
      </c>
      <c r="AU45" s="318">
        <f t="shared" si="87"/>
        <v>0</v>
      </c>
      <c r="AV45" s="318">
        <f t="shared" si="87"/>
        <v>0</v>
      </c>
      <c r="AW45" s="318">
        <f t="shared" si="87"/>
        <v>0</v>
      </c>
      <c r="AX45" s="318">
        <f t="shared" si="87"/>
        <v>13.996</v>
      </c>
      <c r="AY45" s="318">
        <f t="shared" si="87"/>
        <v>25.163000000000011</v>
      </c>
      <c r="AZ45" s="318">
        <f t="shared" si="87"/>
        <v>126.39800000000001</v>
      </c>
      <c r="BA45" s="318">
        <f t="shared" si="87"/>
        <v>11</v>
      </c>
      <c r="BB45" s="318">
        <f t="shared" si="87"/>
        <v>0</v>
      </c>
      <c r="BC45" s="318">
        <f t="shared" si="87"/>
        <v>0</v>
      </c>
      <c r="BD45" s="318">
        <f t="shared" si="87"/>
        <v>0</v>
      </c>
      <c r="BE45" s="318">
        <f t="shared" si="87"/>
        <v>3</v>
      </c>
      <c r="BF45" s="318">
        <f t="shared" si="87"/>
        <v>0</v>
      </c>
      <c r="BG45" s="318">
        <f t="shared" si="87"/>
        <v>0</v>
      </c>
      <c r="BH45" s="318">
        <f t="shared" si="87"/>
        <v>0</v>
      </c>
      <c r="BI45" s="318">
        <f t="shared" si="87"/>
        <v>0</v>
      </c>
      <c r="BJ45" s="318">
        <f t="shared" si="87"/>
        <v>0</v>
      </c>
      <c r="BK45" s="318">
        <f t="shared" si="87"/>
        <v>0</v>
      </c>
      <c r="BL45" s="318">
        <f t="shared" si="87"/>
        <v>0</v>
      </c>
      <c r="BM45" s="318">
        <f t="shared" si="87"/>
        <v>0</v>
      </c>
      <c r="BN45" s="318">
        <f t="shared" ref="BN45" si="88">SUM(BN5:BN44)</f>
        <v>205450</v>
      </c>
      <c r="BO45" s="318">
        <f t="shared" ref="BO45:CI45" si="89">SUM(BO5:BO44)</f>
        <v>0</v>
      </c>
      <c r="BP45" s="318">
        <f t="shared" si="89"/>
        <v>15000</v>
      </c>
      <c r="BQ45" s="318">
        <f t="shared" si="89"/>
        <v>0</v>
      </c>
      <c r="BR45" s="318">
        <f t="shared" si="89"/>
        <v>6000</v>
      </c>
      <c r="BS45" s="318">
        <f t="shared" si="89"/>
        <v>16000</v>
      </c>
      <c r="BT45" s="318">
        <f t="shared" si="89"/>
        <v>0</v>
      </c>
      <c r="BU45" s="318">
        <f t="shared" si="89"/>
        <v>0</v>
      </c>
      <c r="BV45" s="318">
        <f t="shared" si="89"/>
        <v>0</v>
      </c>
      <c r="BW45" s="318">
        <f t="shared" si="89"/>
        <v>0</v>
      </c>
      <c r="BX45" s="318">
        <f t="shared" si="89"/>
        <v>0</v>
      </c>
      <c r="BY45" s="318">
        <f t="shared" si="89"/>
        <v>0</v>
      </c>
      <c r="BZ45" s="318">
        <f t="shared" si="89"/>
        <v>0</v>
      </c>
      <c r="CA45" s="318">
        <f t="shared" si="89"/>
        <v>175000</v>
      </c>
      <c r="CB45" s="318">
        <f t="shared" si="89"/>
        <v>0</v>
      </c>
      <c r="CC45" s="318">
        <f t="shared" si="89"/>
        <v>3295.2</v>
      </c>
      <c r="CD45" s="318">
        <f t="shared" si="89"/>
        <v>4922.8</v>
      </c>
      <c r="CE45" s="318">
        <f t="shared" si="89"/>
        <v>4314.45</v>
      </c>
      <c r="CF45" s="318">
        <f t="shared" si="89"/>
        <v>12532.45</v>
      </c>
      <c r="CG45" s="318">
        <f t="shared" si="89"/>
        <v>15421282.449999999</v>
      </c>
      <c r="CH45" s="318">
        <f t="shared" si="89"/>
        <v>212000</v>
      </c>
      <c r="CI45" s="318">
        <f t="shared" si="89"/>
        <v>15196750</v>
      </c>
      <c r="CJ45" s="286"/>
      <c r="CK45" s="286"/>
      <c r="CL45" s="286"/>
      <c r="CM45" s="286"/>
      <c r="CN45" s="286"/>
      <c r="CO45" s="286"/>
      <c r="CP45" s="286"/>
      <c r="CQ45" s="286"/>
      <c r="CR45" s="167">
        <f t="shared" si="43"/>
        <v>0</v>
      </c>
      <c r="CS45" s="50"/>
      <c r="CT45" s="328">
        <f>SUM(CT5:CT43)</f>
        <v>205450</v>
      </c>
      <c r="CU45" s="328">
        <f>SUM(CU5:CU43)</f>
        <v>0</v>
      </c>
      <c r="CV45" s="328">
        <f>SUM(CV5:CV43)</f>
        <v>3907</v>
      </c>
      <c r="CW45" s="328">
        <f>SUM(CW5:CW43)</f>
        <v>898610</v>
      </c>
      <c r="CX45" s="400">
        <f>SUM(CX5:CX44)</f>
        <v>113.4</v>
      </c>
      <c r="CY45" s="400">
        <f>SUM(CY5:CY44)</f>
        <v>139.60000000000002</v>
      </c>
      <c r="CZ45" s="311">
        <f>SUM(CZ5:CZ43)</f>
        <v>1225700</v>
      </c>
      <c r="DA45" s="311">
        <f>SUM(DA5:DA43)</f>
        <v>0</v>
      </c>
      <c r="DB45" s="311">
        <f>SUM(DB5:DB43)</f>
        <v>15408750</v>
      </c>
      <c r="DC45" s="311">
        <f>SUM(DC5:DC43)</f>
        <v>15196750</v>
      </c>
      <c r="DD45" s="312">
        <f>SUM(DD5:DD43)</f>
        <v>17321060</v>
      </c>
      <c r="DE45" s="291"/>
      <c r="DF45" s="291"/>
      <c r="DG45" s="291"/>
      <c r="DH45" s="291"/>
      <c r="DI45" s="291"/>
      <c r="DJ45" s="291"/>
      <c r="DK45" s="291"/>
      <c r="DL45" s="291"/>
      <c r="DM45" s="291"/>
      <c r="DN45" s="291"/>
      <c r="DO45" s="291"/>
      <c r="DP45" s="291"/>
      <c r="DQ45" s="291"/>
      <c r="DR45" s="291"/>
      <c r="DS45" s="291"/>
      <c r="DT45" s="291"/>
      <c r="DU45" s="291"/>
      <c r="DV45" s="291"/>
      <c r="DW45" s="291"/>
      <c r="DX45" s="291"/>
      <c r="DY45" s="291"/>
      <c r="DZ45" s="291"/>
      <c r="EA45" s="291"/>
      <c r="EB45" s="291"/>
      <c r="EC45" s="291"/>
      <c r="ED45" s="291"/>
      <c r="EE45" s="291"/>
      <c r="EF45" s="291"/>
      <c r="EG45" s="291"/>
      <c r="EH45" s="291"/>
      <c r="EI45" s="291"/>
      <c r="EJ45" s="291"/>
      <c r="EK45" s="291"/>
      <c r="EL45" s="291"/>
      <c r="EM45" s="54"/>
    </row>
    <row r="46" spans="1:143" ht="15" x14ac:dyDescent="0.2">
      <c r="R46" s="285"/>
      <c r="S46" s="285"/>
      <c r="T46" s="285"/>
      <c r="U46" s="285"/>
      <c r="CI46" s="68">
        <f>+CI45+CH45</f>
        <v>15408750</v>
      </c>
      <c r="CJ46" s="286"/>
      <c r="CK46" s="286"/>
      <c r="CL46" s="286"/>
      <c r="CM46" s="286"/>
      <c r="CN46" s="286"/>
      <c r="CO46" s="286"/>
      <c r="CP46" s="286"/>
      <c r="CQ46" s="286"/>
      <c r="CR46" s="167">
        <f t="shared" si="43"/>
        <v>0</v>
      </c>
      <c r="CX46" s="285"/>
      <c r="CY46" s="285"/>
    </row>
    <row r="47" spans="1:143" x14ac:dyDescent="0.2">
      <c r="CJ47" s="286"/>
      <c r="CK47" s="286"/>
      <c r="CL47" s="286"/>
      <c r="CM47" s="286"/>
      <c r="CN47" s="286"/>
      <c r="CO47" s="286"/>
      <c r="CP47" s="286"/>
      <c r="CQ47" s="286"/>
      <c r="CS47" t="s">
        <v>126</v>
      </c>
      <c r="CU47" s="256">
        <f>+CT45+CU45+CV45</f>
        <v>209357</v>
      </c>
      <c r="DH47" s="291" t="s">
        <v>2</v>
      </c>
    </row>
    <row r="48" spans="1:143" x14ac:dyDescent="0.2">
      <c r="R48" s="68"/>
      <c r="CJ48" s="286"/>
      <c r="CK48" s="286"/>
      <c r="CL48" s="286"/>
      <c r="CM48" s="286"/>
      <c r="CN48" s="286"/>
      <c r="CO48" s="286"/>
      <c r="CP48" s="286"/>
      <c r="CQ48" s="286"/>
    </row>
    <row r="50" spans="24:98" x14ac:dyDescent="0.2">
      <c r="X50" t="s">
        <v>165</v>
      </c>
      <c r="CT50" t="s">
        <v>2</v>
      </c>
    </row>
  </sheetData>
  <autoFilter ref="A4:CI4">
    <sortState ref="A5:CI48">
      <sortCondition descending="1" ref="A4"/>
    </sortState>
  </autoFilter>
  <mergeCells count="2">
    <mergeCell ref="AX3:BL3"/>
    <mergeCell ref="CL3:CO3"/>
  </mergeCells>
  <phoneticPr fontId="5" type="noConversion"/>
  <pageMargins left="1.0236220472440944" right="0.82677165354330717" top="0.74803149606299213" bottom="0.74803149606299213" header="0.31496062992125984" footer="0.31496062992125984"/>
  <pageSetup paperSize="9" scale="6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indexed="41"/>
  </sheetPr>
  <dimension ref="A1:DC64"/>
  <sheetViews>
    <sheetView tabSelected="1" view="pageBreakPreview" topLeftCell="A7" zoomScale="79" zoomScaleNormal="91" zoomScaleSheetLayoutView="79" workbookViewId="0">
      <pane xSplit="1" topLeftCell="AS1" activePane="topRight" state="frozen"/>
      <selection pane="topRight" activeCell="AT44" sqref="AT44"/>
    </sheetView>
  </sheetViews>
  <sheetFormatPr baseColWidth="10" defaultColWidth="11.42578125" defaultRowHeight="12.75" x14ac:dyDescent="0.2"/>
  <cols>
    <col min="1" max="1" width="42.5703125" customWidth="1"/>
    <col min="2" max="2" width="11.5703125" customWidth="1"/>
    <col min="3" max="3" width="11.140625" customWidth="1"/>
    <col min="4" max="4" width="12.140625" customWidth="1"/>
    <col min="5" max="5" width="10.42578125" customWidth="1"/>
    <col min="6" max="6" width="9.7109375" hidden="1" customWidth="1"/>
    <col min="7" max="7" width="7.7109375" hidden="1" customWidth="1"/>
    <col min="8" max="8" width="11.42578125" hidden="1" customWidth="1"/>
    <col min="9" max="9" width="10.85546875" hidden="1" customWidth="1"/>
    <col min="10" max="10" width="8.7109375" hidden="1" customWidth="1"/>
    <col min="11" max="11" width="8.42578125" hidden="1" customWidth="1"/>
    <col min="12" max="12" width="8" hidden="1" customWidth="1"/>
    <col min="13" max="13" width="8.140625" hidden="1" customWidth="1"/>
    <col min="14" max="14" width="13.42578125" hidden="1" customWidth="1"/>
    <col min="15" max="15" width="11.5703125" hidden="1" customWidth="1"/>
    <col min="16" max="16" width="12.42578125" hidden="1" customWidth="1"/>
    <col min="17" max="17" width="16.28515625" hidden="1" customWidth="1"/>
    <col min="18" max="18" width="13.5703125" customWidth="1"/>
    <col min="19" max="19" width="11.7109375" customWidth="1"/>
    <col min="20" max="20" width="12.5703125" customWidth="1"/>
    <col min="21" max="21" width="12.28515625" customWidth="1"/>
    <col min="22" max="22" width="10.28515625" customWidth="1"/>
    <col min="23" max="23" width="8.5703125" customWidth="1"/>
    <col min="24" max="24" width="8" customWidth="1"/>
    <col min="25" max="25" width="9.140625" customWidth="1"/>
    <col min="26" max="26" width="8" customWidth="1"/>
    <col min="27" max="27" width="7.85546875" customWidth="1"/>
    <col min="28" max="29" width="7.7109375" customWidth="1"/>
    <col min="30" max="30" width="8.42578125" customWidth="1"/>
    <col min="31" max="31" width="8.28515625" customWidth="1"/>
    <col min="32" max="32" width="8.140625" customWidth="1"/>
    <col min="33" max="33" width="12.5703125" customWidth="1"/>
    <col min="34" max="34" width="11.42578125" customWidth="1"/>
    <col min="35" max="35" width="14.140625" customWidth="1"/>
    <col min="36" max="36" width="12.85546875" customWidth="1"/>
    <col min="37" max="37" width="10" customWidth="1"/>
    <col min="38" max="39" width="8.85546875" customWidth="1"/>
    <col min="40" max="40" width="8.140625" customWidth="1"/>
    <col min="41" max="41" width="9.85546875" customWidth="1"/>
    <col min="42" max="42" width="7.7109375" customWidth="1"/>
    <col min="43" max="43" width="8" customWidth="1"/>
    <col min="44" max="44" width="7.85546875" customWidth="1"/>
    <col min="45" max="62" width="15.7109375" customWidth="1"/>
    <col min="63" max="63" width="19.140625" customWidth="1"/>
    <col min="64" max="66" width="15.7109375" customWidth="1"/>
    <col min="67" max="67" width="15.140625" customWidth="1"/>
    <col min="68" max="68" width="15.85546875" customWidth="1"/>
    <col min="69" max="69" width="13" customWidth="1"/>
    <col min="70" max="70" width="15" customWidth="1"/>
    <col min="71" max="71" width="16.42578125" customWidth="1"/>
    <col min="72" max="73" width="13" customWidth="1"/>
    <col min="74" max="74" width="16" customWidth="1"/>
    <col min="75" max="75" width="18.42578125" customWidth="1"/>
    <col min="76" max="76" width="13" customWidth="1"/>
    <col min="77" max="77" width="17.42578125" customWidth="1"/>
    <col min="78" max="78" width="14.7109375" customWidth="1"/>
    <col min="79" max="79" width="15.28515625" customWidth="1"/>
    <col min="80" max="80" width="27.7109375" customWidth="1"/>
    <col min="81" max="81" width="20.140625" customWidth="1"/>
    <col min="82" max="82" width="21.5703125" customWidth="1"/>
    <col min="83" max="83" width="21.7109375" customWidth="1"/>
    <col min="84" max="84" width="22.5703125" customWidth="1"/>
    <col min="85" max="85" width="22.42578125" customWidth="1"/>
    <col min="86" max="86" width="19.28515625" customWidth="1"/>
    <col min="87" max="87" width="21.85546875" customWidth="1"/>
    <col min="88" max="88" width="15.85546875" customWidth="1"/>
    <col min="89" max="89" width="16.28515625" customWidth="1"/>
    <col min="90" max="90" width="23.85546875" customWidth="1"/>
    <col min="91" max="91" width="14.42578125" customWidth="1"/>
    <col min="92" max="92" width="17.140625" customWidth="1"/>
    <col min="93" max="93" width="12" customWidth="1"/>
    <col min="94" max="94" width="16.140625" customWidth="1"/>
    <col min="95" max="95" width="16" customWidth="1"/>
    <col min="96" max="96" width="28.7109375" customWidth="1"/>
    <col min="97" max="97" width="20.5703125" customWidth="1"/>
    <col min="98" max="98" width="16" customWidth="1"/>
    <col min="99" max="99" width="13.42578125" customWidth="1"/>
    <col min="100" max="100" width="18.28515625" customWidth="1"/>
    <col min="101" max="101" width="15.5703125" customWidth="1"/>
    <col min="102" max="102" width="11.7109375" customWidth="1"/>
    <col min="103" max="103" width="12.140625" customWidth="1"/>
    <col min="104" max="104" width="16" customWidth="1"/>
    <col min="105" max="105" width="19.42578125" customWidth="1"/>
    <col min="106" max="106" width="21.140625" customWidth="1"/>
    <col min="107" max="107" width="21.5703125" customWidth="1"/>
    <col min="109" max="109" width="16" bestFit="1" customWidth="1"/>
  </cols>
  <sheetData>
    <row r="1" spans="1:107" ht="15.75" x14ac:dyDescent="0.25">
      <c r="A1" s="361" t="s">
        <v>237</v>
      </c>
      <c r="B1" s="362"/>
      <c r="C1" s="363"/>
      <c r="D1" s="362"/>
      <c r="E1" s="362"/>
      <c r="F1" s="362"/>
      <c r="G1" s="362"/>
      <c r="H1" s="361"/>
      <c r="I1" s="364"/>
      <c r="J1" s="364"/>
      <c r="K1" s="364"/>
      <c r="L1" s="364"/>
      <c r="M1" s="364"/>
      <c r="N1" s="364"/>
      <c r="O1" s="364"/>
      <c r="P1" s="364"/>
      <c r="Q1" s="364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17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79" t="str">
        <f>+A1</f>
        <v>SEMANA 10 DEL 7 AL 14 DE MARZO  2026</v>
      </c>
      <c r="CM1" s="52"/>
      <c r="CN1" s="52"/>
      <c r="CO1" s="52"/>
      <c r="CP1" s="52"/>
      <c r="CQ1" s="52"/>
      <c r="CR1" s="326" t="s">
        <v>159</v>
      </c>
      <c r="CS1" s="341" t="str">
        <f>+A1</f>
        <v>SEMANA 10 DEL 7 AL 14 DE MARZO  2026</v>
      </c>
      <c r="CT1" s="326"/>
      <c r="CU1" s="326"/>
      <c r="CV1" s="326"/>
      <c r="CW1" s="326"/>
      <c r="CX1" s="326"/>
      <c r="CY1" s="326"/>
      <c r="CZ1" s="326"/>
      <c r="DA1" s="326"/>
      <c r="DB1" s="326"/>
      <c r="DC1" s="326"/>
    </row>
    <row r="2" spans="1:107" ht="16.5" thickBot="1" x14ac:dyDescent="0.3">
      <c r="A2" s="361" t="s">
        <v>238</v>
      </c>
      <c r="B2" s="362"/>
      <c r="C2" s="363"/>
      <c r="D2" s="362"/>
      <c r="E2" s="362"/>
      <c r="F2" s="362"/>
      <c r="G2" s="362"/>
      <c r="H2" s="361"/>
      <c r="I2" s="364"/>
      <c r="J2" s="364"/>
      <c r="K2" s="364"/>
      <c r="L2" s="364"/>
      <c r="M2" s="364"/>
      <c r="N2" s="364"/>
      <c r="O2" s="364"/>
      <c r="P2" s="364"/>
      <c r="Q2" s="364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7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79" t="str">
        <f>+A2</f>
        <v>FABRIQUINES SEMANA # 10</v>
      </c>
      <c r="CM2" s="52"/>
      <c r="CN2" s="52"/>
      <c r="CO2" s="52"/>
      <c r="CP2" s="52"/>
      <c r="CQ2" s="52"/>
      <c r="CR2" s="326"/>
      <c r="CS2" s="341" t="str">
        <f>+CL2</f>
        <v>FABRIQUINES SEMANA # 10</v>
      </c>
      <c r="CT2" s="326"/>
      <c r="CU2" s="326"/>
      <c r="CV2" s="326"/>
      <c r="CW2" s="326"/>
      <c r="CX2" s="326"/>
      <c r="CY2" s="326"/>
      <c r="CZ2" s="326"/>
      <c r="DA2" s="326"/>
      <c r="DB2" s="326"/>
      <c r="DC2" s="326"/>
    </row>
    <row r="3" spans="1:107" ht="18" customHeight="1" thickBot="1" x14ac:dyDescent="0.3">
      <c r="A3" s="365" t="s">
        <v>239</v>
      </c>
      <c r="B3" s="366" t="s">
        <v>64</v>
      </c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8"/>
      <c r="R3" s="313" t="s">
        <v>1</v>
      </c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 t="s">
        <v>2</v>
      </c>
      <c r="AD3" s="226"/>
      <c r="AE3" s="226"/>
      <c r="AF3" s="227"/>
      <c r="AG3" s="226"/>
      <c r="AH3" s="228" t="s">
        <v>3</v>
      </c>
      <c r="AI3" s="229"/>
      <c r="AJ3" s="229"/>
      <c r="AK3" s="229"/>
      <c r="AL3" s="229"/>
      <c r="AM3" s="229"/>
      <c r="AN3" s="230"/>
      <c r="AO3" s="230"/>
      <c r="AP3" s="230"/>
      <c r="AQ3" s="230"/>
      <c r="AR3" s="230"/>
      <c r="AS3" s="230"/>
      <c r="AT3" s="230"/>
      <c r="AU3" s="230"/>
      <c r="AV3" s="231"/>
      <c r="AW3" s="231"/>
      <c r="AX3" s="193" t="s">
        <v>4</v>
      </c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  <c r="BN3" s="116" t="s">
        <v>47</v>
      </c>
      <c r="BO3" s="117"/>
      <c r="BP3" s="118"/>
      <c r="BQ3" s="89"/>
      <c r="BR3" s="89"/>
      <c r="BS3" s="89"/>
      <c r="BT3" s="89"/>
      <c r="BU3" s="89"/>
      <c r="BV3" s="89"/>
      <c r="BW3" s="89" t="s">
        <v>44</v>
      </c>
      <c r="BX3" s="89"/>
      <c r="BY3" s="89"/>
      <c r="BZ3" s="119"/>
      <c r="CA3" s="120"/>
      <c r="CB3" s="121"/>
      <c r="CC3" s="122"/>
      <c r="CD3" s="123"/>
      <c r="CE3" s="123"/>
      <c r="CF3" s="123"/>
      <c r="CG3" s="123"/>
      <c r="CH3" s="254" t="s">
        <v>61</v>
      </c>
      <c r="CI3" s="172" t="s">
        <v>104</v>
      </c>
      <c r="CJ3" s="52"/>
      <c r="CK3" s="52"/>
      <c r="CL3" s="274" t="str">
        <f>+A3</f>
        <v>PRODUCCION # 7</v>
      </c>
      <c r="CM3" s="192"/>
      <c r="CN3" s="192"/>
      <c r="CO3" s="192"/>
      <c r="CP3" s="192"/>
      <c r="CQ3" s="96"/>
      <c r="CR3" s="326"/>
      <c r="CS3" s="377" t="str">
        <f>+A3</f>
        <v>PRODUCCION # 7</v>
      </c>
      <c r="CT3" s="325"/>
      <c r="CU3" s="325"/>
      <c r="CV3" s="325"/>
      <c r="CW3" s="325"/>
      <c r="CX3" s="325"/>
      <c r="CY3" s="325"/>
      <c r="CZ3" s="325"/>
      <c r="DA3" s="325"/>
      <c r="DB3" s="325"/>
      <c r="DC3" s="326"/>
    </row>
    <row r="4" spans="1:107" ht="15.75" x14ac:dyDescent="0.25">
      <c r="A4" s="294" t="s">
        <v>5</v>
      </c>
      <c r="B4" s="295" t="s">
        <v>21</v>
      </c>
      <c r="C4" s="295" t="s">
        <v>22</v>
      </c>
      <c r="D4" s="295" t="s">
        <v>20</v>
      </c>
      <c r="E4" s="296" t="s">
        <v>48</v>
      </c>
      <c r="F4" s="296" t="s">
        <v>71</v>
      </c>
      <c r="G4" s="296" t="s">
        <v>66</v>
      </c>
      <c r="H4" s="296" t="s">
        <v>9</v>
      </c>
      <c r="I4" s="296" t="s">
        <v>10</v>
      </c>
      <c r="J4" s="296" t="s">
        <v>11</v>
      </c>
      <c r="K4" s="296" t="s">
        <v>12</v>
      </c>
      <c r="L4" s="296" t="s">
        <v>13</v>
      </c>
      <c r="M4" s="296" t="s">
        <v>14</v>
      </c>
      <c r="N4" s="296" t="s">
        <v>15</v>
      </c>
      <c r="O4" s="296" t="s">
        <v>16</v>
      </c>
      <c r="P4" s="296" t="s">
        <v>17</v>
      </c>
      <c r="Q4" s="296" t="s">
        <v>102</v>
      </c>
      <c r="R4" s="314" t="s">
        <v>18</v>
      </c>
      <c r="S4" s="314" t="s">
        <v>19</v>
      </c>
      <c r="T4" s="314" t="s">
        <v>20</v>
      </c>
      <c r="U4" s="222" t="s">
        <v>48</v>
      </c>
      <c r="V4" s="218" t="s">
        <v>71</v>
      </c>
      <c r="W4" s="218" t="s">
        <v>66</v>
      </c>
      <c r="X4" s="218" t="s">
        <v>9</v>
      </c>
      <c r="Y4" s="218" t="s">
        <v>10</v>
      </c>
      <c r="Z4" s="218" t="s">
        <v>11</v>
      </c>
      <c r="AA4" s="218" t="s">
        <v>12</v>
      </c>
      <c r="AB4" s="218" t="s">
        <v>13</v>
      </c>
      <c r="AC4" s="218" t="s">
        <v>14</v>
      </c>
      <c r="AD4" s="218" t="s">
        <v>124</v>
      </c>
      <c r="AE4" s="218" t="s">
        <v>16</v>
      </c>
      <c r="AF4" s="218" t="s">
        <v>151</v>
      </c>
      <c r="AG4" s="129" t="s">
        <v>102</v>
      </c>
      <c r="AH4" s="232" t="s">
        <v>18</v>
      </c>
      <c r="AI4" s="232" t="s">
        <v>19</v>
      </c>
      <c r="AJ4" s="232" t="s">
        <v>20</v>
      </c>
      <c r="AK4" s="224" t="s">
        <v>48</v>
      </c>
      <c r="AL4" s="224" t="s">
        <v>71</v>
      </c>
      <c r="AM4" s="224" t="s">
        <v>66</v>
      </c>
      <c r="AN4" s="224" t="s">
        <v>9</v>
      </c>
      <c r="AO4" s="224" t="s">
        <v>10</v>
      </c>
      <c r="AP4" s="224" t="s">
        <v>11</v>
      </c>
      <c r="AQ4" s="224" t="s">
        <v>12</v>
      </c>
      <c r="AR4" s="224" t="s">
        <v>13</v>
      </c>
      <c r="AS4" s="224" t="s">
        <v>14</v>
      </c>
      <c r="AT4" s="224" t="s">
        <v>124</v>
      </c>
      <c r="AU4" s="224" t="s">
        <v>16</v>
      </c>
      <c r="AV4" s="224" t="s">
        <v>17</v>
      </c>
      <c r="AW4" s="224" t="s">
        <v>102</v>
      </c>
      <c r="AX4" s="124" t="s">
        <v>21</v>
      </c>
      <c r="AY4" s="125" t="s">
        <v>22</v>
      </c>
      <c r="AZ4" s="125" t="s">
        <v>20</v>
      </c>
      <c r="BA4" s="225" t="s">
        <v>48</v>
      </c>
      <c r="BB4" s="225" t="s">
        <v>71</v>
      </c>
      <c r="BC4" s="225" t="s">
        <v>142</v>
      </c>
      <c r="BD4" s="225" t="s">
        <v>9</v>
      </c>
      <c r="BE4" s="225" t="s">
        <v>143</v>
      </c>
      <c r="BF4" s="225" t="s">
        <v>144</v>
      </c>
      <c r="BG4" s="225" t="s">
        <v>145</v>
      </c>
      <c r="BH4" s="225" t="s">
        <v>67</v>
      </c>
      <c r="BI4" s="225" t="s">
        <v>116</v>
      </c>
      <c r="BJ4" s="225" t="s">
        <v>120</v>
      </c>
      <c r="BK4" s="225" t="s">
        <v>16</v>
      </c>
      <c r="BL4" s="225" t="s">
        <v>17</v>
      </c>
      <c r="BM4" s="225" t="s">
        <v>103</v>
      </c>
      <c r="BN4" s="126" t="s">
        <v>23</v>
      </c>
      <c r="BO4" s="97" t="s">
        <v>71</v>
      </c>
      <c r="BP4" s="97" t="s">
        <v>66</v>
      </c>
      <c r="BQ4" s="97" t="s">
        <v>9</v>
      </c>
      <c r="BR4" s="97" t="s">
        <v>10</v>
      </c>
      <c r="BS4" s="97" t="s">
        <v>11</v>
      </c>
      <c r="BT4" s="97" t="s">
        <v>12</v>
      </c>
      <c r="BU4" s="97" t="s">
        <v>13</v>
      </c>
      <c r="BV4" s="97" t="s">
        <v>14</v>
      </c>
      <c r="BW4" s="97" t="s">
        <v>124</v>
      </c>
      <c r="BX4" s="97" t="s">
        <v>16</v>
      </c>
      <c r="BY4" s="97" t="s">
        <v>124</v>
      </c>
      <c r="BZ4" s="97" t="s">
        <v>102</v>
      </c>
      <c r="CA4" s="130" t="s">
        <v>43</v>
      </c>
      <c r="CB4" s="105" t="s">
        <v>45</v>
      </c>
      <c r="CC4" s="106" t="s">
        <v>38</v>
      </c>
      <c r="CD4" s="107" t="s">
        <v>39</v>
      </c>
      <c r="CE4" s="107" t="s">
        <v>40</v>
      </c>
      <c r="CF4" s="107" t="s">
        <v>60</v>
      </c>
      <c r="CG4" s="253" t="s">
        <v>41</v>
      </c>
      <c r="CH4" s="152" t="s">
        <v>62</v>
      </c>
      <c r="CI4" s="108" t="s">
        <v>105</v>
      </c>
      <c r="CJ4" s="251"/>
      <c r="CK4" s="52"/>
      <c r="CL4" s="110" t="s">
        <v>28</v>
      </c>
      <c r="CM4" s="12"/>
      <c r="CN4" s="111" t="e">
        <f>+#REF!+#REF!+#REF!</f>
        <v>#REF!</v>
      </c>
      <c r="CO4" s="12"/>
      <c r="CP4" s="12"/>
      <c r="CQ4" s="17"/>
      <c r="CR4" s="307" t="s">
        <v>149</v>
      </c>
      <c r="CS4" s="308" t="s">
        <v>84</v>
      </c>
      <c r="CT4" s="309" t="s">
        <v>81</v>
      </c>
      <c r="CU4" s="309" t="s">
        <v>102</v>
      </c>
      <c r="CV4" s="309"/>
      <c r="CW4" s="309" t="s">
        <v>118</v>
      </c>
      <c r="CX4" s="309" t="s">
        <v>82</v>
      </c>
      <c r="CY4" s="309" t="s">
        <v>83</v>
      </c>
      <c r="CZ4" s="309" t="s">
        <v>85</v>
      </c>
      <c r="DA4" s="309" t="s">
        <v>78</v>
      </c>
      <c r="DB4" s="309" t="s">
        <v>87</v>
      </c>
      <c r="DC4" s="309" t="s">
        <v>88</v>
      </c>
    </row>
    <row r="5" spans="1:107" s="40" customFormat="1" ht="18" x14ac:dyDescent="0.25">
      <c r="A5" s="355" t="str">
        <f>+'SEMANA DEL 2 AL 7-3-26'!A5</f>
        <v xml:space="preserve">ALCIDES CORREA </v>
      </c>
      <c r="B5" s="356">
        <f>+'SEMANA DEL 2 AL 7-3-26'!AX5</f>
        <v>0</v>
      </c>
      <c r="C5" s="356">
        <f>+'SEMANA DEL 2 AL 7-3-26'!AY5</f>
        <v>0</v>
      </c>
      <c r="D5" s="356">
        <f>+'SEMANA DEL 2 AL 7-3-26'!AZ5</f>
        <v>0</v>
      </c>
      <c r="E5" s="356">
        <f>+'SEMANA DEL 2 AL 7-3-26'!BA5</f>
        <v>0</v>
      </c>
      <c r="F5" s="356">
        <f>+'SEMANA DEL 2 AL 7-3-26'!BB5</f>
        <v>0</v>
      </c>
      <c r="G5" s="356">
        <f>+'SEMANA DEL 2 AL 7-3-26'!BC5</f>
        <v>0</v>
      </c>
      <c r="H5" s="356">
        <f>+'SEMANA DEL 2 AL 7-3-26'!BD5</f>
        <v>0</v>
      </c>
      <c r="I5" s="356">
        <f>+'SEMANA DEL 2 AL 7-3-26'!BE5</f>
        <v>0</v>
      </c>
      <c r="J5" s="356">
        <f>+'SEMANA DEL 2 AL 7-3-26'!BF5</f>
        <v>0</v>
      </c>
      <c r="K5" s="356">
        <f>+'SEMANA DEL 2 AL 7-3-26'!BG5</f>
        <v>0</v>
      </c>
      <c r="L5" s="356">
        <f>+'SEMANA DEL 2 AL 7-3-26'!BH5</f>
        <v>0</v>
      </c>
      <c r="M5" s="356">
        <f>+'SEMANA DEL 2 AL 7-3-26'!BI5</f>
        <v>0</v>
      </c>
      <c r="N5" s="356">
        <f>+'SEMANA DEL 2 AL 7-3-26'!BJ5</f>
        <v>0</v>
      </c>
      <c r="O5" s="356">
        <f>+'SEMANA DEL 2 AL 7-3-26'!BK5</f>
        <v>0</v>
      </c>
      <c r="P5" s="356">
        <f>+'SEMANA DEL 2 AL 7-3-26'!BL5</f>
        <v>0</v>
      </c>
      <c r="Q5" s="356">
        <f>+'SEMANA DEL 2 AL 7-3-26'!BM5</f>
        <v>0</v>
      </c>
      <c r="R5" s="357">
        <v>10</v>
      </c>
      <c r="S5" s="357">
        <v>18</v>
      </c>
      <c r="T5" s="357">
        <v>70</v>
      </c>
      <c r="U5" s="357">
        <v>8</v>
      </c>
      <c r="V5" s="289"/>
      <c r="W5" s="289">
        <v>0.25</v>
      </c>
      <c r="X5" s="289"/>
      <c r="Y5" s="264"/>
      <c r="Z5" s="264"/>
      <c r="AA5" s="264"/>
      <c r="AB5" s="264"/>
      <c r="AC5" s="264"/>
      <c r="AD5" s="289"/>
      <c r="AE5" s="289"/>
      <c r="AF5" s="289"/>
      <c r="AG5" s="289"/>
      <c r="AH5" s="357"/>
      <c r="AI5" s="357"/>
      <c r="AJ5" s="357"/>
      <c r="AK5" s="357"/>
      <c r="AL5" s="289"/>
      <c r="AM5" s="289"/>
      <c r="AN5" s="289"/>
      <c r="AO5" s="264"/>
      <c r="AP5" s="289"/>
      <c r="AQ5" s="289"/>
      <c r="AR5" s="289"/>
      <c r="AS5" s="189"/>
      <c r="AT5" s="189"/>
      <c r="AU5" s="189"/>
      <c r="AV5" s="189"/>
      <c r="AW5" s="189"/>
      <c r="AX5" s="189">
        <f>+B5+R5-AH5</f>
        <v>10</v>
      </c>
      <c r="AY5" s="189">
        <f t="shared" ref="AY5:BL5" si="0">+C5+S5-AI5</f>
        <v>18</v>
      </c>
      <c r="AZ5" s="189">
        <f t="shared" si="0"/>
        <v>70</v>
      </c>
      <c r="BA5" s="189">
        <f t="shared" si="0"/>
        <v>8</v>
      </c>
      <c r="BB5" s="189">
        <f t="shared" si="0"/>
        <v>0</v>
      </c>
      <c r="BC5" s="189">
        <f t="shared" si="0"/>
        <v>0.25</v>
      </c>
      <c r="BD5" s="189">
        <f t="shared" si="0"/>
        <v>0</v>
      </c>
      <c r="BE5" s="189">
        <f t="shared" si="0"/>
        <v>0</v>
      </c>
      <c r="BF5" s="189">
        <f t="shared" si="0"/>
        <v>0</v>
      </c>
      <c r="BG5" s="189">
        <f t="shared" si="0"/>
        <v>0</v>
      </c>
      <c r="BH5" s="189">
        <f t="shared" si="0"/>
        <v>0</v>
      </c>
      <c r="BI5" s="189">
        <f t="shared" si="0"/>
        <v>0</v>
      </c>
      <c r="BJ5" s="189">
        <f t="shared" si="0"/>
        <v>0</v>
      </c>
      <c r="BK5" s="189">
        <f t="shared" si="0"/>
        <v>0</v>
      </c>
      <c r="BL5" s="189">
        <f t="shared" si="0"/>
        <v>0</v>
      </c>
      <c r="BM5" s="189">
        <f>+Q5+AG5-AW5</f>
        <v>0</v>
      </c>
      <c r="BN5" s="258"/>
      <c r="BO5" s="258">
        <f t="shared" ref="BO5:BO20" si="1">+AL5*2500</f>
        <v>0</v>
      </c>
      <c r="BP5" s="71">
        <f t="shared" ref="BP5:BP13" si="2">+AM5*60000</f>
        <v>0</v>
      </c>
      <c r="BQ5" s="112">
        <f t="shared" ref="BQ5:BQ20" si="3">+AN5*3000</f>
        <v>0</v>
      </c>
      <c r="BR5" s="112">
        <f>+AO5*6000</f>
        <v>0</v>
      </c>
      <c r="BS5" s="112">
        <f>+AP5*8000</f>
        <v>0</v>
      </c>
      <c r="BT5" s="112">
        <f t="shared" ref="BT5:BT13" si="4">+AQ5*8000</f>
        <v>0</v>
      </c>
      <c r="BU5" s="112">
        <f t="shared" ref="BU5:BU13" si="5">+AR5*150000</f>
        <v>0</v>
      </c>
      <c r="BV5" s="112">
        <f>+AS5*3000</f>
        <v>0</v>
      </c>
      <c r="BW5" s="112">
        <f>+AT5*8000</f>
        <v>0</v>
      </c>
      <c r="BX5" s="112">
        <f t="shared" ref="BX5:BX20" si="6">+AU5*200000</f>
        <v>0</v>
      </c>
      <c r="BY5" s="71">
        <f>+AV5*8000</f>
        <v>0</v>
      </c>
      <c r="BZ5" s="112">
        <f>+AW5*1.5</f>
        <v>0</v>
      </c>
      <c r="CA5" s="189"/>
      <c r="CB5" s="183"/>
      <c r="CC5" s="71">
        <f>+AH5*16</f>
        <v>0</v>
      </c>
      <c r="CD5" s="71">
        <f>+AI5*12</f>
        <v>0</v>
      </c>
      <c r="CE5" s="71">
        <f>+AJ5*3</f>
        <v>0</v>
      </c>
      <c r="CF5" s="71">
        <f>+CC5+CD5+CE5</f>
        <v>0</v>
      </c>
      <c r="CG5" s="71">
        <f>+BN5*85061/1000</f>
        <v>0</v>
      </c>
      <c r="CH5" s="166">
        <f>+BO5+BP5+BQ5+BR5+BS5+BT5+BU5+BV5+BW5+BX5+BY5+CA5+CB5</f>
        <v>0</v>
      </c>
      <c r="CI5" s="259">
        <f>+CG5-CF5-CH5</f>
        <v>0</v>
      </c>
      <c r="CJ5" s="52"/>
      <c r="CK5" s="17"/>
      <c r="CL5" s="17"/>
      <c r="CM5" s="17"/>
      <c r="CN5" s="17"/>
      <c r="CO5" s="17"/>
      <c r="CP5" s="17"/>
      <c r="CQ5" s="17"/>
      <c r="CR5" s="297" t="str">
        <f>+A5</f>
        <v xml:space="preserve">ALCIDES CORREA </v>
      </c>
      <c r="CS5" s="310" t="str">
        <f>+'SEMANA DEL 2 AL 7-3-26'!CS5</f>
        <v>CC-88.193.514</v>
      </c>
      <c r="CT5" s="304">
        <f t="shared" ref="CT5:CT14" si="7">+BN5</f>
        <v>0</v>
      </c>
      <c r="CU5" s="304">
        <f t="shared" ref="CU5:CU13" si="8">+AW5</f>
        <v>0</v>
      </c>
      <c r="CV5" s="304"/>
      <c r="CW5" s="305">
        <f>+CV5*230</f>
        <v>0</v>
      </c>
      <c r="CX5" s="305"/>
      <c r="CY5" s="304"/>
      <c r="CZ5" s="304">
        <f>+CX5*6500+CY5*3500</f>
        <v>0</v>
      </c>
      <c r="DA5" s="304">
        <f>+CT5*75</f>
        <v>0</v>
      </c>
      <c r="DB5" s="306">
        <f t="shared" ref="DB5:DB45" si="9">+CI5</f>
        <v>0</v>
      </c>
      <c r="DC5" s="321">
        <f t="shared" ref="DC5:DC45" si="10">+CI5+CW5+CZ5</f>
        <v>0</v>
      </c>
    </row>
    <row r="6" spans="1:107" s="40" customFormat="1" ht="17.25" customHeight="1" x14ac:dyDescent="0.25">
      <c r="A6" s="355" t="str">
        <f>+'SEMANA DEL 2 AL 7-3-26'!A6</f>
        <v xml:space="preserve">ALBA SANABRIA </v>
      </c>
      <c r="B6" s="356">
        <f>+'SEMANA DEL 2 AL 7-3-26'!AX6</f>
        <v>0.25</v>
      </c>
      <c r="C6" s="356">
        <f>+'SEMANA DEL 2 AL 7-3-26'!AY6</f>
        <v>0.45000000000000107</v>
      </c>
      <c r="D6" s="356">
        <f>+'SEMANA DEL 2 AL 7-3-26'!AZ6</f>
        <v>12.249999999999993</v>
      </c>
      <c r="E6" s="356">
        <f>+'SEMANA DEL 2 AL 7-3-26'!BA6</f>
        <v>0</v>
      </c>
      <c r="F6" s="356">
        <f>+'SEMANA DEL 2 AL 7-3-26'!BB6</f>
        <v>0</v>
      </c>
      <c r="G6" s="356">
        <f>+'SEMANA DEL 2 AL 7-3-26'!BC6</f>
        <v>0</v>
      </c>
      <c r="H6" s="356">
        <f>+'SEMANA DEL 2 AL 7-3-26'!BD6</f>
        <v>0</v>
      </c>
      <c r="I6" s="356">
        <f>+'SEMANA DEL 2 AL 7-3-26'!BE6</f>
        <v>0</v>
      </c>
      <c r="J6" s="356">
        <f>+'SEMANA DEL 2 AL 7-3-26'!BF6</f>
        <v>0</v>
      </c>
      <c r="K6" s="356">
        <f>+'SEMANA DEL 2 AL 7-3-26'!BG6</f>
        <v>0</v>
      </c>
      <c r="L6" s="356">
        <f>+'SEMANA DEL 2 AL 7-3-26'!BH6</f>
        <v>0</v>
      </c>
      <c r="M6" s="356">
        <f>+'SEMANA DEL 2 AL 7-3-26'!BI6</f>
        <v>0</v>
      </c>
      <c r="N6" s="356">
        <f>+'SEMANA DEL 2 AL 7-3-26'!BJ6</f>
        <v>0</v>
      </c>
      <c r="O6" s="356">
        <f>+'SEMANA DEL 2 AL 7-3-26'!BK6</f>
        <v>0</v>
      </c>
      <c r="P6" s="356">
        <f>+'SEMANA DEL 2 AL 7-3-26'!BL6</f>
        <v>0</v>
      </c>
      <c r="Q6" s="356">
        <f>+'SEMANA DEL 2 AL 7-3-26'!BM6</f>
        <v>0</v>
      </c>
      <c r="R6" s="357">
        <v>5</v>
      </c>
      <c r="S6" s="357">
        <v>9</v>
      </c>
      <c r="T6" s="357">
        <v>35</v>
      </c>
      <c r="U6" s="357">
        <v>4</v>
      </c>
      <c r="V6" s="289"/>
      <c r="W6" s="289">
        <v>0.25</v>
      </c>
      <c r="X6" s="289"/>
      <c r="Y6" s="289"/>
      <c r="Z6" s="264"/>
      <c r="AA6" s="264"/>
      <c r="AB6" s="264"/>
      <c r="AC6" s="264"/>
      <c r="AD6" s="289"/>
      <c r="AE6" s="289"/>
      <c r="AF6" s="289"/>
      <c r="AG6" s="289"/>
      <c r="AH6" s="289">
        <v>5</v>
      </c>
      <c r="AI6" s="289">
        <v>9</v>
      </c>
      <c r="AJ6" s="289">
        <v>35</v>
      </c>
      <c r="AK6" s="289">
        <v>4</v>
      </c>
      <c r="AL6" s="289"/>
      <c r="AM6" s="289">
        <v>0.25</v>
      </c>
      <c r="AN6" s="289"/>
      <c r="AO6" s="289"/>
      <c r="AP6" s="289"/>
      <c r="AQ6" s="289"/>
      <c r="AR6" s="289"/>
      <c r="AS6" s="189"/>
      <c r="AT6" s="189"/>
      <c r="AU6" s="189"/>
      <c r="AV6" s="189"/>
      <c r="AW6" s="189"/>
      <c r="AX6" s="189">
        <f t="shared" ref="AX6:AX41" si="11">+B6+R6-AH6</f>
        <v>0.25</v>
      </c>
      <c r="AY6" s="189">
        <f t="shared" ref="AY6:AY41" si="12">+C6+S6-AI6</f>
        <v>0.45000000000000107</v>
      </c>
      <c r="AZ6" s="189">
        <f t="shared" ref="AZ6:AZ41" si="13">+D6+T6-AJ6</f>
        <v>12.249999999999993</v>
      </c>
      <c r="BA6" s="189">
        <f t="shared" ref="BA6:BA41" si="14">+E6+U6-AK6</f>
        <v>0</v>
      </c>
      <c r="BB6" s="189">
        <f t="shared" ref="BB6:BB41" si="15">+F6+V6-AL6</f>
        <v>0</v>
      </c>
      <c r="BC6" s="189">
        <f t="shared" ref="BC6:BC41" si="16">+G6+W6-AM6</f>
        <v>0</v>
      </c>
      <c r="BD6" s="189">
        <f t="shared" ref="BD6:BD41" si="17">+H6+X6-AN6</f>
        <v>0</v>
      </c>
      <c r="BE6" s="189">
        <f t="shared" ref="BE6:BE41" si="18">+I6+Y6-AO6</f>
        <v>0</v>
      </c>
      <c r="BF6" s="189">
        <f t="shared" ref="BF6:BF41" si="19">+J6+Z6-AP6</f>
        <v>0</v>
      </c>
      <c r="BG6" s="189">
        <f t="shared" ref="BG6:BG41" si="20">+K6+AA6-AQ6</f>
        <v>0</v>
      </c>
      <c r="BH6" s="189">
        <f t="shared" ref="BH6:BH41" si="21">+L6+AB6-AR6</f>
        <v>0</v>
      </c>
      <c r="BI6" s="189">
        <f t="shared" ref="BI6:BI41" si="22">+M6+AC6-AS6</f>
        <v>0</v>
      </c>
      <c r="BJ6" s="189">
        <f t="shared" ref="BJ6:BJ41" si="23">+N6+AD6-AT6</f>
        <v>0</v>
      </c>
      <c r="BK6" s="189">
        <f t="shared" ref="BK6:BK41" si="24">+O6+AE6-AU6</f>
        <v>0</v>
      </c>
      <c r="BL6" s="189">
        <f t="shared" ref="BL6:BL41" si="25">+P6+AF6-AV6</f>
        <v>0</v>
      </c>
      <c r="BM6" s="189">
        <f t="shared" ref="BM6:BM41" si="26">+Q6+AG6-AW6</f>
        <v>0</v>
      </c>
      <c r="BN6" s="258">
        <v>5000</v>
      </c>
      <c r="BO6" s="258">
        <f t="shared" si="1"/>
        <v>0</v>
      </c>
      <c r="BP6" s="71">
        <f t="shared" si="2"/>
        <v>15000</v>
      </c>
      <c r="BQ6" s="112">
        <f t="shared" si="3"/>
        <v>0</v>
      </c>
      <c r="BR6" s="112">
        <f t="shared" ref="BR6:BR20" si="27">+AO6*6000</f>
        <v>0</v>
      </c>
      <c r="BS6" s="112">
        <f t="shared" ref="BS6:BS20" si="28">+AP6*8000</f>
        <v>0</v>
      </c>
      <c r="BT6" s="112">
        <f t="shared" si="4"/>
        <v>0</v>
      </c>
      <c r="BU6" s="112">
        <f t="shared" si="5"/>
        <v>0</v>
      </c>
      <c r="BV6" s="112">
        <f t="shared" ref="BV6:BV20" si="29">+AS6*3000</f>
        <v>0</v>
      </c>
      <c r="BW6" s="112">
        <f>+AT6*8000</f>
        <v>0</v>
      </c>
      <c r="BX6" s="112">
        <f t="shared" si="6"/>
        <v>0</v>
      </c>
      <c r="BY6" s="71">
        <f t="shared" ref="BY6:BY20" si="30">+AV6*8000</f>
        <v>0</v>
      </c>
      <c r="BZ6" s="112">
        <f t="shared" ref="BZ6:BZ20" si="31">+AW6*1.5</f>
        <v>0</v>
      </c>
      <c r="CA6" s="189"/>
      <c r="CB6" s="183"/>
      <c r="CC6" s="71">
        <f t="shared" ref="CC6:CC41" si="32">+AH6*16</f>
        <v>80</v>
      </c>
      <c r="CD6" s="71">
        <f>+AI6*12+12</f>
        <v>120</v>
      </c>
      <c r="CE6" s="71">
        <f t="shared" ref="CE6:CE41" si="33">+AJ6*3</f>
        <v>105</v>
      </c>
      <c r="CF6" s="71">
        <f t="shared" ref="CF6:CF41" si="34">+CC6+CD6+CE6</f>
        <v>305</v>
      </c>
      <c r="CG6" s="71">
        <f t="shared" ref="CG6:CG43" si="35">+BN6*85061/1000</f>
        <v>425305</v>
      </c>
      <c r="CH6" s="166">
        <f t="shared" ref="CH6:CH41" si="36">+BO6+BP6+BQ6+BR6+BS6+BT6+BU6+BV6+BW6+BX6+BY6+CA6+CB6</f>
        <v>15000</v>
      </c>
      <c r="CI6" s="259">
        <f t="shared" ref="CI6:CI41" si="37">+CG6-CF6-CH6</f>
        <v>410000</v>
      </c>
      <c r="CJ6" s="52"/>
      <c r="CK6" s="17"/>
      <c r="CL6" s="17"/>
      <c r="CM6" s="17"/>
      <c r="CN6" s="17"/>
      <c r="CO6" s="17"/>
      <c r="CP6" s="17"/>
      <c r="CQ6" s="17"/>
      <c r="CR6" s="297" t="str">
        <f t="shared" ref="CR6:CR44" si="38">+A6</f>
        <v xml:space="preserve">ALBA SANABRIA </v>
      </c>
      <c r="CS6" s="310" t="str">
        <f>+'SEMANA DEL 2 AL 7-3-26'!CS6</f>
        <v>V-20.427.079</v>
      </c>
      <c r="CT6" s="304">
        <f t="shared" si="7"/>
        <v>5000</v>
      </c>
      <c r="CU6" s="304">
        <f>+AW6</f>
        <v>0</v>
      </c>
      <c r="CV6" s="304"/>
      <c r="CW6" s="305">
        <f t="shared" ref="CW6:CW14" si="39">+CV6*230</f>
        <v>0</v>
      </c>
      <c r="CX6" s="305">
        <v>3.1</v>
      </c>
      <c r="CY6" s="304">
        <v>3.1</v>
      </c>
      <c r="CZ6" s="304">
        <f t="shared" ref="CZ6:CZ14" si="40">+CX6*6500+CY6*3500</f>
        <v>31000</v>
      </c>
      <c r="DA6" s="304">
        <f t="shared" ref="DA6:DA45" si="41">+CT6*75</f>
        <v>375000</v>
      </c>
      <c r="DB6" s="306">
        <f t="shared" si="9"/>
        <v>410000</v>
      </c>
      <c r="DC6" s="321">
        <f t="shared" si="10"/>
        <v>441000</v>
      </c>
    </row>
    <row r="7" spans="1:107" s="40" customFormat="1" ht="18" x14ac:dyDescent="0.25">
      <c r="A7" s="355" t="str">
        <f>+'SEMANA DEL 2 AL 7-3-26'!A7</f>
        <v xml:space="preserve">BLANCA ALVARADO </v>
      </c>
      <c r="B7" s="356">
        <f>+'SEMANA DEL 2 AL 7-3-26'!AX7</f>
        <v>0</v>
      </c>
      <c r="C7" s="356">
        <f>+'SEMANA DEL 2 AL 7-3-26'!AY7</f>
        <v>0</v>
      </c>
      <c r="D7" s="356">
        <f>+'SEMANA DEL 2 AL 7-3-26'!AZ7</f>
        <v>0</v>
      </c>
      <c r="E7" s="356">
        <f>+'SEMANA DEL 2 AL 7-3-26'!BA7</f>
        <v>0</v>
      </c>
      <c r="F7" s="356">
        <f>+'SEMANA DEL 2 AL 7-3-26'!BB7</f>
        <v>0</v>
      </c>
      <c r="G7" s="356">
        <f>+'SEMANA DEL 2 AL 7-3-26'!BC7</f>
        <v>0</v>
      </c>
      <c r="H7" s="356">
        <f>+'SEMANA DEL 2 AL 7-3-26'!BD7</f>
        <v>0</v>
      </c>
      <c r="I7" s="356">
        <f>+'SEMANA DEL 2 AL 7-3-26'!BE7</f>
        <v>0</v>
      </c>
      <c r="J7" s="356">
        <f>+'SEMANA DEL 2 AL 7-3-26'!BF7</f>
        <v>0</v>
      </c>
      <c r="K7" s="356">
        <f>+'SEMANA DEL 2 AL 7-3-26'!BG7</f>
        <v>0</v>
      </c>
      <c r="L7" s="356">
        <f>+'SEMANA DEL 2 AL 7-3-26'!BH7</f>
        <v>0</v>
      </c>
      <c r="M7" s="356">
        <f>+'SEMANA DEL 2 AL 7-3-26'!BI7</f>
        <v>0</v>
      </c>
      <c r="N7" s="356">
        <f>+'SEMANA DEL 2 AL 7-3-26'!BJ7</f>
        <v>0</v>
      </c>
      <c r="O7" s="356">
        <f>+'SEMANA DEL 2 AL 7-3-26'!BK7</f>
        <v>0</v>
      </c>
      <c r="P7" s="356">
        <f>+'SEMANA DEL 2 AL 7-3-26'!BL7</f>
        <v>0</v>
      </c>
      <c r="Q7" s="356">
        <f>+'SEMANA DEL 2 AL 7-3-26'!BM7</f>
        <v>0</v>
      </c>
      <c r="R7" s="357">
        <v>0</v>
      </c>
      <c r="S7" s="357">
        <v>0</v>
      </c>
      <c r="T7" s="357">
        <v>0</v>
      </c>
      <c r="U7" s="357">
        <v>0</v>
      </c>
      <c r="V7" s="289"/>
      <c r="W7" s="289"/>
      <c r="X7" s="289"/>
      <c r="Y7" s="190"/>
      <c r="Z7" s="264"/>
      <c r="AA7" s="264"/>
      <c r="AB7" s="264"/>
      <c r="AC7" s="264"/>
      <c r="AD7" s="289"/>
      <c r="AE7" s="289"/>
      <c r="AF7" s="289"/>
      <c r="AG7" s="289"/>
      <c r="AH7" s="289"/>
      <c r="AI7" s="289"/>
      <c r="AJ7" s="289"/>
      <c r="AK7" s="289"/>
      <c r="AL7" s="289"/>
      <c r="AM7" s="289"/>
      <c r="AN7" s="289"/>
      <c r="AO7" s="289"/>
      <c r="AP7" s="289"/>
      <c r="AQ7" s="289"/>
      <c r="AR7" s="289"/>
      <c r="AS7" s="189"/>
      <c r="AT7" s="189"/>
      <c r="AU7" s="189"/>
      <c r="AV7" s="189"/>
      <c r="AW7" s="189"/>
      <c r="AX7" s="189">
        <f t="shared" si="11"/>
        <v>0</v>
      </c>
      <c r="AY7" s="189">
        <f t="shared" si="12"/>
        <v>0</v>
      </c>
      <c r="AZ7" s="189">
        <f t="shared" si="13"/>
        <v>0</v>
      </c>
      <c r="BA7" s="189">
        <f t="shared" si="14"/>
        <v>0</v>
      </c>
      <c r="BB7" s="189">
        <f t="shared" si="15"/>
        <v>0</v>
      </c>
      <c r="BC7" s="189">
        <f t="shared" si="16"/>
        <v>0</v>
      </c>
      <c r="BD7" s="189">
        <f t="shared" si="17"/>
        <v>0</v>
      </c>
      <c r="BE7" s="189">
        <f t="shared" si="18"/>
        <v>0</v>
      </c>
      <c r="BF7" s="189">
        <f t="shared" si="19"/>
        <v>0</v>
      </c>
      <c r="BG7" s="189">
        <f t="shared" si="20"/>
        <v>0</v>
      </c>
      <c r="BH7" s="189">
        <f t="shared" si="21"/>
        <v>0</v>
      </c>
      <c r="BI7" s="189">
        <f t="shared" si="22"/>
        <v>0</v>
      </c>
      <c r="BJ7" s="189">
        <f t="shared" si="23"/>
        <v>0</v>
      </c>
      <c r="BK7" s="189">
        <f t="shared" si="24"/>
        <v>0</v>
      </c>
      <c r="BL7" s="189">
        <f t="shared" si="25"/>
        <v>0</v>
      </c>
      <c r="BM7" s="189">
        <f t="shared" si="26"/>
        <v>0</v>
      </c>
      <c r="BN7" s="258"/>
      <c r="BO7" s="258">
        <f>+AL7*2500</f>
        <v>0</v>
      </c>
      <c r="BP7" s="71">
        <f t="shared" si="2"/>
        <v>0</v>
      </c>
      <c r="BQ7" s="112">
        <f>+AN7*3000</f>
        <v>0</v>
      </c>
      <c r="BR7" s="112">
        <f t="shared" si="27"/>
        <v>0</v>
      </c>
      <c r="BS7" s="112">
        <f>+AP7*8000</f>
        <v>0</v>
      </c>
      <c r="BT7" s="112">
        <f>+AQ7*8000</f>
        <v>0</v>
      </c>
      <c r="BU7" s="112">
        <f>+AR7*150000</f>
        <v>0</v>
      </c>
      <c r="BV7" s="112">
        <f>+AS7*3000</f>
        <v>0</v>
      </c>
      <c r="BW7" s="112">
        <f>+AT7*8000</f>
        <v>0</v>
      </c>
      <c r="BX7" s="112">
        <f>+AU7*200000</f>
        <v>0</v>
      </c>
      <c r="BY7" s="71">
        <f>+AV7*8000</f>
        <v>0</v>
      </c>
      <c r="BZ7" s="112">
        <f>+AW7*1.5</f>
        <v>0</v>
      </c>
      <c r="CA7" s="189"/>
      <c r="CB7" s="183"/>
      <c r="CC7" s="71">
        <f t="shared" si="32"/>
        <v>0</v>
      </c>
      <c r="CD7" s="71">
        <f t="shared" ref="CD6:CD41" si="42">+AI7*12</f>
        <v>0</v>
      </c>
      <c r="CE7" s="71">
        <f t="shared" si="33"/>
        <v>0</v>
      </c>
      <c r="CF7" s="71">
        <f t="shared" si="34"/>
        <v>0</v>
      </c>
      <c r="CG7" s="71">
        <f t="shared" si="35"/>
        <v>0</v>
      </c>
      <c r="CH7" s="166">
        <f t="shared" si="36"/>
        <v>0</v>
      </c>
      <c r="CI7" s="259">
        <f t="shared" si="37"/>
        <v>0</v>
      </c>
      <c r="CJ7" s="52"/>
      <c r="CK7" s="17"/>
      <c r="CL7" s="17"/>
      <c r="CM7" s="17"/>
      <c r="CN7" s="17"/>
      <c r="CO7" s="17"/>
      <c r="CP7" s="17"/>
      <c r="CQ7" s="17"/>
      <c r="CR7" s="297" t="str">
        <f t="shared" si="38"/>
        <v xml:space="preserve">BLANCA ALVARADO </v>
      </c>
      <c r="CS7" s="310" t="str">
        <f>+'SEMANA DEL 2 AL 7-3-26'!CS7</f>
        <v>CC.60.402,510</v>
      </c>
      <c r="CT7" s="304">
        <f t="shared" si="7"/>
        <v>0</v>
      </c>
      <c r="CU7" s="304">
        <f>+AW7</f>
        <v>0</v>
      </c>
      <c r="CV7" s="304"/>
      <c r="CW7" s="305">
        <f>+CV7*230</f>
        <v>0</v>
      </c>
      <c r="CX7" s="305"/>
      <c r="CY7" s="304"/>
      <c r="CZ7" s="304">
        <f>+CX7*6500+CY7*3500</f>
        <v>0</v>
      </c>
      <c r="DA7" s="304">
        <f t="shared" si="41"/>
        <v>0</v>
      </c>
      <c r="DB7" s="306">
        <f t="shared" si="9"/>
        <v>0</v>
      </c>
      <c r="DC7" s="321">
        <f t="shared" si="10"/>
        <v>0</v>
      </c>
    </row>
    <row r="8" spans="1:107" s="40" customFormat="1" ht="18" x14ac:dyDescent="0.25">
      <c r="A8" s="355" t="str">
        <f>+'SEMANA DEL 2 AL 7-3-26'!A8</f>
        <v>ESPERANZA REY</v>
      </c>
      <c r="B8" s="356">
        <f>+'SEMANA DEL 2 AL 7-3-26'!AX8</f>
        <v>3</v>
      </c>
      <c r="C8" s="356">
        <f>+'SEMANA DEL 2 AL 7-3-26'!AY8</f>
        <v>5.4</v>
      </c>
      <c r="D8" s="356">
        <f>+'SEMANA DEL 2 AL 7-3-26'!AZ8</f>
        <v>21</v>
      </c>
      <c r="E8" s="356">
        <f>+'SEMANA DEL 2 AL 7-3-26'!BA8</f>
        <v>3</v>
      </c>
      <c r="F8" s="356">
        <f>+'SEMANA DEL 2 AL 7-3-26'!BB8</f>
        <v>0</v>
      </c>
      <c r="G8" s="356">
        <f>+'SEMANA DEL 2 AL 7-3-26'!BC8</f>
        <v>0</v>
      </c>
      <c r="H8" s="356">
        <f>+'SEMANA DEL 2 AL 7-3-26'!BD8</f>
        <v>0</v>
      </c>
      <c r="I8" s="356">
        <f>+'SEMANA DEL 2 AL 7-3-26'!BE8</f>
        <v>0</v>
      </c>
      <c r="J8" s="356">
        <f>+'SEMANA DEL 2 AL 7-3-26'!BF8</f>
        <v>0</v>
      </c>
      <c r="K8" s="356">
        <f>+'SEMANA DEL 2 AL 7-3-26'!BG8</f>
        <v>0</v>
      </c>
      <c r="L8" s="356">
        <f>+'SEMANA DEL 2 AL 7-3-26'!BH8</f>
        <v>0</v>
      </c>
      <c r="M8" s="356">
        <f>+'SEMANA DEL 2 AL 7-3-26'!BI8</f>
        <v>0</v>
      </c>
      <c r="N8" s="356">
        <f>+'SEMANA DEL 2 AL 7-3-26'!BJ8</f>
        <v>0</v>
      </c>
      <c r="O8" s="356">
        <f>+'SEMANA DEL 2 AL 7-3-26'!BK8</f>
        <v>0</v>
      </c>
      <c r="P8" s="356">
        <f>+'SEMANA DEL 2 AL 7-3-26'!BL8</f>
        <v>0</v>
      </c>
      <c r="Q8" s="356">
        <f>+'SEMANA DEL 2 AL 7-3-26'!BM8</f>
        <v>0</v>
      </c>
      <c r="R8" s="357">
        <v>0</v>
      </c>
      <c r="S8" s="357">
        <v>0</v>
      </c>
      <c r="T8" s="357">
        <v>0</v>
      </c>
      <c r="U8" s="357">
        <v>0</v>
      </c>
      <c r="V8" s="289"/>
      <c r="W8" s="289"/>
      <c r="X8" s="289"/>
      <c r="Y8" s="190"/>
      <c r="Z8" s="264"/>
      <c r="AA8" s="264"/>
      <c r="AB8" s="264"/>
      <c r="AC8" s="264"/>
      <c r="AD8" s="289"/>
      <c r="AE8" s="289"/>
      <c r="AF8" s="289"/>
      <c r="AG8" s="289"/>
      <c r="AH8" s="357"/>
      <c r="AI8" s="357"/>
      <c r="AJ8" s="357"/>
      <c r="AK8" s="357"/>
      <c r="AL8" s="289"/>
      <c r="AM8" s="289"/>
      <c r="AN8" s="289"/>
      <c r="AO8" s="289"/>
      <c r="AP8" s="289"/>
      <c r="AQ8" s="289"/>
      <c r="AR8" s="289"/>
      <c r="AS8" s="189"/>
      <c r="AT8" s="189"/>
      <c r="AU8" s="189"/>
      <c r="AV8" s="189"/>
      <c r="AW8" s="189"/>
      <c r="AX8" s="189">
        <f t="shared" si="11"/>
        <v>3</v>
      </c>
      <c r="AY8" s="189">
        <f t="shared" si="12"/>
        <v>5.4</v>
      </c>
      <c r="AZ8" s="189">
        <f t="shared" si="13"/>
        <v>21</v>
      </c>
      <c r="BA8" s="189">
        <f t="shared" si="14"/>
        <v>3</v>
      </c>
      <c r="BB8" s="189">
        <f t="shared" si="15"/>
        <v>0</v>
      </c>
      <c r="BC8" s="189">
        <f t="shared" si="16"/>
        <v>0</v>
      </c>
      <c r="BD8" s="189">
        <f t="shared" si="17"/>
        <v>0</v>
      </c>
      <c r="BE8" s="189">
        <f t="shared" si="18"/>
        <v>0</v>
      </c>
      <c r="BF8" s="189">
        <f t="shared" si="19"/>
        <v>0</v>
      </c>
      <c r="BG8" s="189">
        <f t="shared" si="20"/>
        <v>0</v>
      </c>
      <c r="BH8" s="189">
        <f t="shared" si="21"/>
        <v>0</v>
      </c>
      <c r="BI8" s="189">
        <f t="shared" si="22"/>
        <v>0</v>
      </c>
      <c r="BJ8" s="189">
        <f t="shared" si="23"/>
        <v>0</v>
      </c>
      <c r="BK8" s="189">
        <f t="shared" si="24"/>
        <v>0</v>
      </c>
      <c r="BL8" s="189">
        <f t="shared" si="25"/>
        <v>0</v>
      </c>
      <c r="BM8" s="189">
        <f t="shared" si="26"/>
        <v>0</v>
      </c>
      <c r="BN8" s="258"/>
      <c r="BO8" s="258">
        <f>+AL8*2500</f>
        <v>0</v>
      </c>
      <c r="BP8" s="71">
        <f t="shared" si="2"/>
        <v>0</v>
      </c>
      <c r="BQ8" s="112">
        <f>+AN8*3000</f>
        <v>0</v>
      </c>
      <c r="BR8" s="112">
        <f t="shared" si="27"/>
        <v>0</v>
      </c>
      <c r="BS8" s="112">
        <f>+AP8*8000</f>
        <v>0</v>
      </c>
      <c r="BT8" s="112">
        <f>+AQ8*8000</f>
        <v>0</v>
      </c>
      <c r="BU8" s="112">
        <f>+AR8*150000</f>
        <v>0</v>
      </c>
      <c r="BV8" s="112">
        <f>+AS8*3000</f>
        <v>0</v>
      </c>
      <c r="BW8" s="112">
        <f>+AT8*8000</f>
        <v>0</v>
      </c>
      <c r="BX8" s="112">
        <f t="shared" si="6"/>
        <v>0</v>
      </c>
      <c r="BY8" s="71">
        <f t="shared" si="30"/>
        <v>0</v>
      </c>
      <c r="BZ8" s="112">
        <f>+AW8*1.5</f>
        <v>0</v>
      </c>
      <c r="CA8" s="189"/>
      <c r="CB8" s="183"/>
      <c r="CC8" s="71">
        <f t="shared" si="32"/>
        <v>0</v>
      </c>
      <c r="CD8" s="71">
        <f t="shared" si="42"/>
        <v>0</v>
      </c>
      <c r="CE8" s="71">
        <f t="shared" si="33"/>
        <v>0</v>
      </c>
      <c r="CF8" s="71">
        <f t="shared" si="34"/>
        <v>0</v>
      </c>
      <c r="CG8" s="71">
        <f t="shared" si="35"/>
        <v>0</v>
      </c>
      <c r="CH8" s="166">
        <f t="shared" si="36"/>
        <v>0</v>
      </c>
      <c r="CI8" s="259">
        <f t="shared" si="37"/>
        <v>0</v>
      </c>
      <c r="CJ8" s="252"/>
      <c r="CK8" s="224"/>
      <c r="CL8" s="224"/>
      <c r="CM8" s="224"/>
      <c r="CN8" s="224"/>
      <c r="CO8" s="224"/>
      <c r="CP8" s="224"/>
      <c r="CQ8" s="127"/>
      <c r="CR8" s="297" t="str">
        <f t="shared" si="38"/>
        <v>ESPERANZA REY</v>
      </c>
      <c r="CS8" s="310" t="str">
        <f>+'SEMANA DEL 2 AL 7-3-26'!CS8</f>
        <v>V-22.633.248</v>
      </c>
      <c r="CT8" s="304">
        <f t="shared" si="7"/>
        <v>0</v>
      </c>
      <c r="CU8" s="304">
        <f>+AW8</f>
        <v>0</v>
      </c>
      <c r="CV8" s="304"/>
      <c r="CW8" s="305">
        <f t="shared" si="39"/>
        <v>0</v>
      </c>
      <c r="CX8" s="305"/>
      <c r="CY8" s="304"/>
      <c r="CZ8" s="304">
        <f t="shared" si="40"/>
        <v>0</v>
      </c>
      <c r="DA8" s="304">
        <f t="shared" si="41"/>
        <v>0</v>
      </c>
      <c r="DB8" s="306">
        <f t="shared" si="9"/>
        <v>0</v>
      </c>
      <c r="DC8" s="321">
        <f t="shared" si="10"/>
        <v>0</v>
      </c>
    </row>
    <row r="9" spans="1:107" s="40" customFormat="1" ht="18" x14ac:dyDescent="0.25">
      <c r="A9" s="355" t="str">
        <f>+'SEMANA DEL 2 AL 7-3-26'!A9</f>
        <v xml:space="preserve">ELIZABETH REYES SERRANO </v>
      </c>
      <c r="B9" s="356">
        <f>+'SEMANA DEL 2 AL 7-3-26'!AX9</f>
        <v>0</v>
      </c>
      <c r="C9" s="356">
        <f>+'SEMANA DEL 2 AL 7-3-26'!AY9</f>
        <v>0</v>
      </c>
      <c r="D9" s="356">
        <f>+'SEMANA DEL 2 AL 7-3-26'!AZ9</f>
        <v>0</v>
      </c>
      <c r="E9" s="356">
        <f>+'SEMANA DEL 2 AL 7-3-26'!BA9</f>
        <v>0</v>
      </c>
      <c r="F9" s="356">
        <f>+'SEMANA DEL 2 AL 7-3-26'!BB9</f>
        <v>0</v>
      </c>
      <c r="G9" s="356">
        <f>+'SEMANA DEL 2 AL 7-3-26'!BC9</f>
        <v>0</v>
      </c>
      <c r="H9" s="356">
        <f>+'SEMANA DEL 2 AL 7-3-26'!BD9</f>
        <v>0</v>
      </c>
      <c r="I9" s="356">
        <f>+'SEMANA DEL 2 AL 7-3-26'!BE9</f>
        <v>0</v>
      </c>
      <c r="J9" s="356">
        <f>+'SEMANA DEL 2 AL 7-3-26'!BF9</f>
        <v>0</v>
      </c>
      <c r="K9" s="356">
        <f>+'SEMANA DEL 2 AL 7-3-26'!BG9</f>
        <v>0</v>
      </c>
      <c r="L9" s="356">
        <f>+'SEMANA DEL 2 AL 7-3-26'!BH9</f>
        <v>0</v>
      </c>
      <c r="M9" s="356">
        <f>+'SEMANA DEL 2 AL 7-3-26'!BI9</f>
        <v>0</v>
      </c>
      <c r="N9" s="356">
        <f>+'SEMANA DEL 2 AL 7-3-26'!BJ9</f>
        <v>0</v>
      </c>
      <c r="O9" s="356">
        <f>+'SEMANA DEL 2 AL 7-3-26'!BK9</f>
        <v>0</v>
      </c>
      <c r="P9" s="356">
        <f>+'SEMANA DEL 2 AL 7-3-26'!BL9</f>
        <v>0</v>
      </c>
      <c r="Q9" s="356">
        <f>+'SEMANA DEL 2 AL 7-3-26'!BM9</f>
        <v>0</v>
      </c>
      <c r="R9" s="357">
        <v>7</v>
      </c>
      <c r="S9" s="357">
        <v>12.6</v>
      </c>
      <c r="T9" s="357">
        <v>49</v>
      </c>
      <c r="U9" s="357">
        <v>6</v>
      </c>
      <c r="V9" s="289"/>
      <c r="W9" s="289"/>
      <c r="X9" s="289"/>
      <c r="Y9" s="264"/>
      <c r="Z9" s="190"/>
      <c r="AA9" s="264"/>
      <c r="AB9" s="264"/>
      <c r="AC9" s="264"/>
      <c r="AD9" s="289"/>
      <c r="AE9" s="289"/>
      <c r="AF9" s="289"/>
      <c r="AG9" s="289"/>
      <c r="AH9" s="357">
        <v>7</v>
      </c>
      <c r="AI9" s="357">
        <v>12.6</v>
      </c>
      <c r="AJ9" s="357">
        <v>49</v>
      </c>
      <c r="AK9" s="357">
        <v>6</v>
      </c>
      <c r="AL9" s="289"/>
      <c r="AM9" s="289"/>
      <c r="AN9" s="289"/>
      <c r="AO9" s="264"/>
      <c r="AP9" s="289"/>
      <c r="AQ9" s="289"/>
      <c r="AR9" s="289"/>
      <c r="AS9" s="189"/>
      <c r="AT9" s="189"/>
      <c r="AU9" s="189"/>
      <c r="AV9" s="189"/>
      <c r="AW9" s="189"/>
      <c r="AX9" s="189">
        <f t="shared" si="11"/>
        <v>0</v>
      </c>
      <c r="AY9" s="189">
        <f t="shared" si="12"/>
        <v>0</v>
      </c>
      <c r="AZ9" s="189">
        <f t="shared" si="13"/>
        <v>0</v>
      </c>
      <c r="BA9" s="189">
        <f t="shared" si="14"/>
        <v>0</v>
      </c>
      <c r="BB9" s="189">
        <f t="shared" si="15"/>
        <v>0</v>
      </c>
      <c r="BC9" s="189">
        <f t="shared" si="16"/>
        <v>0</v>
      </c>
      <c r="BD9" s="189">
        <f t="shared" si="17"/>
        <v>0</v>
      </c>
      <c r="BE9" s="189">
        <f t="shared" si="18"/>
        <v>0</v>
      </c>
      <c r="BF9" s="189">
        <f t="shared" si="19"/>
        <v>0</v>
      </c>
      <c r="BG9" s="189">
        <f t="shared" si="20"/>
        <v>0</v>
      </c>
      <c r="BH9" s="189">
        <f t="shared" si="21"/>
        <v>0</v>
      </c>
      <c r="BI9" s="189">
        <f t="shared" si="22"/>
        <v>0</v>
      </c>
      <c r="BJ9" s="189">
        <f t="shared" si="23"/>
        <v>0</v>
      </c>
      <c r="BK9" s="189">
        <f t="shared" si="24"/>
        <v>0</v>
      </c>
      <c r="BL9" s="189">
        <f t="shared" si="25"/>
        <v>0</v>
      </c>
      <c r="BM9" s="189">
        <f t="shared" si="26"/>
        <v>0</v>
      </c>
      <c r="BN9" s="258">
        <v>7000</v>
      </c>
      <c r="BO9" s="258">
        <f t="shared" si="1"/>
        <v>0</v>
      </c>
      <c r="BP9" s="71">
        <f t="shared" si="2"/>
        <v>0</v>
      </c>
      <c r="BQ9" s="112">
        <f t="shared" si="3"/>
        <v>0</v>
      </c>
      <c r="BR9" s="112">
        <f t="shared" si="27"/>
        <v>0</v>
      </c>
      <c r="BS9" s="112">
        <f t="shared" si="28"/>
        <v>0</v>
      </c>
      <c r="BT9" s="112">
        <f t="shared" si="4"/>
        <v>0</v>
      </c>
      <c r="BU9" s="112">
        <f t="shared" si="5"/>
        <v>0</v>
      </c>
      <c r="BV9" s="112">
        <f t="shared" si="29"/>
        <v>0</v>
      </c>
      <c r="BW9" s="112">
        <f>+AT9*8000</f>
        <v>0</v>
      </c>
      <c r="BX9" s="112">
        <f t="shared" si="6"/>
        <v>0</v>
      </c>
      <c r="BY9" s="71">
        <f t="shared" si="30"/>
        <v>0</v>
      </c>
      <c r="BZ9" s="112">
        <f t="shared" si="31"/>
        <v>0</v>
      </c>
      <c r="CA9" s="189">
        <v>50000</v>
      </c>
      <c r="CB9" s="183"/>
      <c r="CC9" s="71">
        <f t="shared" si="32"/>
        <v>112</v>
      </c>
      <c r="CD9" s="71">
        <f>+AI9*12+16.8</f>
        <v>168</v>
      </c>
      <c r="CE9" s="71">
        <f t="shared" si="33"/>
        <v>147</v>
      </c>
      <c r="CF9" s="71">
        <f t="shared" si="34"/>
        <v>427</v>
      </c>
      <c r="CG9" s="71">
        <f t="shared" si="35"/>
        <v>595427</v>
      </c>
      <c r="CH9" s="166">
        <f t="shared" si="36"/>
        <v>50000</v>
      </c>
      <c r="CI9" s="259">
        <f t="shared" si="37"/>
        <v>545000</v>
      </c>
      <c r="CJ9" s="252"/>
      <c r="CK9" s="224"/>
      <c r="CL9" s="224"/>
      <c r="CM9" s="224"/>
      <c r="CN9" s="224"/>
      <c r="CO9" s="224"/>
      <c r="CP9" s="224"/>
      <c r="CQ9" s="127"/>
      <c r="CR9" s="297" t="str">
        <f t="shared" si="38"/>
        <v xml:space="preserve">ELIZABETH REYES SERRANO </v>
      </c>
      <c r="CS9" s="310" t="str">
        <f>+'SEMANA DEL 2 AL 7-3-26'!CS9</f>
        <v>V-15.956.387</v>
      </c>
      <c r="CT9" s="304">
        <f t="shared" si="7"/>
        <v>7000</v>
      </c>
      <c r="CU9" s="304">
        <f>+AW9</f>
        <v>0</v>
      </c>
      <c r="CV9" s="304">
        <v>500</v>
      </c>
      <c r="CW9" s="305">
        <f t="shared" si="39"/>
        <v>115000</v>
      </c>
      <c r="CX9" s="305">
        <v>5.0999999999999996</v>
      </c>
      <c r="CY9" s="304">
        <v>7</v>
      </c>
      <c r="CZ9" s="304">
        <f t="shared" si="40"/>
        <v>57650</v>
      </c>
      <c r="DA9" s="304">
        <f t="shared" si="41"/>
        <v>525000</v>
      </c>
      <c r="DB9" s="306">
        <f t="shared" si="9"/>
        <v>545000</v>
      </c>
      <c r="DC9" s="321">
        <f t="shared" si="10"/>
        <v>717650</v>
      </c>
    </row>
    <row r="10" spans="1:107" s="40" customFormat="1" ht="18" x14ac:dyDescent="0.25">
      <c r="A10" s="355" t="str">
        <f>+'SEMANA DEL 2 AL 7-3-26'!A10</f>
        <v>ELVIRA LOPEZ</v>
      </c>
      <c r="B10" s="356">
        <f>+'SEMANA DEL 2 AL 7-3-26'!AX10</f>
        <v>0</v>
      </c>
      <c r="C10" s="356">
        <f>+'SEMANA DEL 2 AL 7-3-26'!AY10</f>
        <v>0</v>
      </c>
      <c r="D10" s="356">
        <f>+'SEMANA DEL 2 AL 7-3-26'!AZ10</f>
        <v>0</v>
      </c>
      <c r="E10" s="356">
        <f>+'SEMANA DEL 2 AL 7-3-26'!BA10</f>
        <v>0</v>
      </c>
      <c r="F10" s="356">
        <f>+'SEMANA DEL 2 AL 7-3-26'!BB10</f>
        <v>0</v>
      </c>
      <c r="G10" s="356">
        <f>+'SEMANA DEL 2 AL 7-3-26'!BC10</f>
        <v>0</v>
      </c>
      <c r="H10" s="356">
        <f>+'SEMANA DEL 2 AL 7-3-26'!BD10</f>
        <v>0</v>
      </c>
      <c r="I10" s="356">
        <f>+'SEMANA DEL 2 AL 7-3-26'!BE10</f>
        <v>0</v>
      </c>
      <c r="J10" s="356">
        <f>+'SEMANA DEL 2 AL 7-3-26'!BF10</f>
        <v>0</v>
      </c>
      <c r="K10" s="356">
        <f>+'SEMANA DEL 2 AL 7-3-26'!BG10</f>
        <v>0</v>
      </c>
      <c r="L10" s="356">
        <f>+'SEMANA DEL 2 AL 7-3-26'!BH10</f>
        <v>0</v>
      </c>
      <c r="M10" s="356">
        <f>+'SEMANA DEL 2 AL 7-3-26'!BI10</f>
        <v>0</v>
      </c>
      <c r="N10" s="356">
        <f>+'SEMANA DEL 2 AL 7-3-26'!BJ10</f>
        <v>0</v>
      </c>
      <c r="O10" s="356">
        <f>+'SEMANA DEL 2 AL 7-3-26'!BK10</f>
        <v>0</v>
      </c>
      <c r="P10" s="356">
        <f>+'SEMANA DEL 2 AL 7-3-26'!BL10</f>
        <v>0</v>
      </c>
      <c r="Q10" s="356">
        <f>+'SEMANA DEL 2 AL 7-3-26'!BM10</f>
        <v>0</v>
      </c>
      <c r="R10" s="357">
        <v>12</v>
      </c>
      <c r="S10" s="357">
        <v>21.6</v>
      </c>
      <c r="T10" s="357">
        <v>84</v>
      </c>
      <c r="U10" s="357">
        <v>10</v>
      </c>
      <c r="V10" s="289"/>
      <c r="W10" s="289"/>
      <c r="X10" s="289"/>
      <c r="Y10" s="190"/>
      <c r="Z10" s="264">
        <v>6</v>
      </c>
      <c r="AA10" s="264"/>
      <c r="AB10" s="264"/>
      <c r="AC10" s="264"/>
      <c r="AD10" s="289"/>
      <c r="AE10" s="289"/>
      <c r="AF10" s="289"/>
      <c r="AG10" s="289"/>
      <c r="AH10" s="357">
        <v>12</v>
      </c>
      <c r="AI10" s="357">
        <v>21.6</v>
      </c>
      <c r="AJ10" s="357">
        <v>84</v>
      </c>
      <c r="AK10" s="357">
        <v>10</v>
      </c>
      <c r="AL10" s="298"/>
      <c r="AM10" s="183"/>
      <c r="AN10" s="289"/>
      <c r="AO10" s="289"/>
      <c r="AP10" s="289">
        <v>6</v>
      </c>
      <c r="AQ10" s="289"/>
      <c r="AR10" s="289"/>
      <c r="AS10" s="189"/>
      <c r="AT10" s="189"/>
      <c r="AU10" s="189"/>
      <c r="AV10" s="190"/>
      <c r="AW10" s="189"/>
      <c r="AX10" s="189">
        <f t="shared" si="11"/>
        <v>0</v>
      </c>
      <c r="AY10" s="189">
        <f t="shared" si="12"/>
        <v>0</v>
      </c>
      <c r="AZ10" s="189">
        <f t="shared" si="13"/>
        <v>0</v>
      </c>
      <c r="BA10" s="189">
        <f t="shared" si="14"/>
        <v>0</v>
      </c>
      <c r="BB10" s="189">
        <f t="shared" si="15"/>
        <v>0</v>
      </c>
      <c r="BC10" s="189">
        <f t="shared" si="16"/>
        <v>0</v>
      </c>
      <c r="BD10" s="189">
        <f t="shared" si="17"/>
        <v>0</v>
      </c>
      <c r="BE10" s="189">
        <f t="shared" si="18"/>
        <v>0</v>
      </c>
      <c r="BF10" s="189">
        <f t="shared" si="19"/>
        <v>0</v>
      </c>
      <c r="BG10" s="189">
        <f t="shared" si="20"/>
        <v>0</v>
      </c>
      <c r="BH10" s="189">
        <f t="shared" si="21"/>
        <v>0</v>
      </c>
      <c r="BI10" s="189">
        <f t="shared" si="22"/>
        <v>0</v>
      </c>
      <c r="BJ10" s="189">
        <f t="shared" si="23"/>
        <v>0</v>
      </c>
      <c r="BK10" s="189">
        <f t="shared" si="24"/>
        <v>0</v>
      </c>
      <c r="BL10" s="189">
        <f t="shared" si="25"/>
        <v>0</v>
      </c>
      <c r="BM10" s="189">
        <f t="shared" si="26"/>
        <v>0</v>
      </c>
      <c r="BN10" s="258">
        <v>12000</v>
      </c>
      <c r="BO10" s="258">
        <f t="shared" si="1"/>
        <v>0</v>
      </c>
      <c r="BP10" s="71">
        <f t="shared" si="2"/>
        <v>0</v>
      </c>
      <c r="BQ10" s="112">
        <f t="shared" si="3"/>
        <v>0</v>
      </c>
      <c r="BR10" s="112">
        <f t="shared" si="27"/>
        <v>0</v>
      </c>
      <c r="BS10" s="112">
        <f t="shared" si="28"/>
        <v>48000</v>
      </c>
      <c r="BT10" s="112">
        <f t="shared" si="4"/>
        <v>0</v>
      </c>
      <c r="BU10" s="112">
        <f t="shared" si="5"/>
        <v>0</v>
      </c>
      <c r="BV10" s="112">
        <f t="shared" si="29"/>
        <v>0</v>
      </c>
      <c r="BW10" s="112">
        <f t="shared" ref="BW10:BW20" si="43">+AT10*8000</f>
        <v>0</v>
      </c>
      <c r="BX10" s="112">
        <f t="shared" si="6"/>
        <v>0</v>
      </c>
      <c r="BY10" s="71">
        <f t="shared" si="30"/>
        <v>0</v>
      </c>
      <c r="BZ10" s="112">
        <f t="shared" si="31"/>
        <v>0</v>
      </c>
      <c r="CA10" s="189"/>
      <c r="CB10" s="183"/>
      <c r="CC10" s="71">
        <f t="shared" si="32"/>
        <v>192</v>
      </c>
      <c r="CD10" s="71">
        <f>+AI10*12+28.8</f>
        <v>288.00000000000006</v>
      </c>
      <c r="CE10" s="71">
        <f t="shared" si="33"/>
        <v>252</v>
      </c>
      <c r="CF10" s="71">
        <f t="shared" si="34"/>
        <v>732</v>
      </c>
      <c r="CG10" s="71">
        <f t="shared" si="35"/>
        <v>1020732</v>
      </c>
      <c r="CH10" s="166">
        <f t="shared" si="36"/>
        <v>48000</v>
      </c>
      <c r="CI10" s="259">
        <f t="shared" si="37"/>
        <v>972000</v>
      </c>
      <c r="CJ10" s="252"/>
      <c r="CK10" s="78" t="s">
        <v>18</v>
      </c>
      <c r="CL10" s="153" t="e">
        <f>+'SEMANA DEL 2 AL 7-3-26'!#REF!</f>
        <v>#REF!</v>
      </c>
      <c r="CM10" s="147" t="e">
        <f>+#REF!</f>
        <v>#REF!</v>
      </c>
      <c r="CN10" s="174" t="e">
        <f>+CL10+CM10</f>
        <v>#REF!</v>
      </c>
      <c r="CO10" s="175" t="e">
        <f>+#REF!</f>
        <v>#REF!</v>
      </c>
      <c r="CP10" s="174" t="e">
        <f>CN10-CO10</f>
        <v>#REF!</v>
      </c>
      <c r="CQ10" s="127"/>
      <c r="CR10" s="297" t="str">
        <f t="shared" si="38"/>
        <v>ELVIRA LOPEZ</v>
      </c>
      <c r="CS10" s="310" t="str">
        <f>+'SEMANA DEL 2 AL 7-3-26'!CS10</f>
        <v>V-29,664.726</v>
      </c>
      <c r="CT10" s="304">
        <f t="shared" si="7"/>
        <v>12000</v>
      </c>
      <c r="CU10" s="304">
        <f t="shared" si="8"/>
        <v>0</v>
      </c>
      <c r="CV10" s="304">
        <v>1000</v>
      </c>
      <c r="CW10" s="305">
        <f t="shared" si="39"/>
        <v>230000</v>
      </c>
      <c r="CX10" s="305">
        <v>4.8</v>
      </c>
      <c r="CY10" s="304">
        <v>9.6999999999999993</v>
      </c>
      <c r="CZ10" s="304">
        <f t="shared" si="40"/>
        <v>65150</v>
      </c>
      <c r="DA10" s="304">
        <f t="shared" si="41"/>
        <v>900000</v>
      </c>
      <c r="DB10" s="306">
        <f t="shared" si="9"/>
        <v>972000</v>
      </c>
      <c r="DC10" s="321">
        <f t="shared" si="10"/>
        <v>1267150</v>
      </c>
    </row>
    <row r="11" spans="1:107" ht="18" customHeight="1" x14ac:dyDescent="0.25">
      <c r="A11" s="355" t="str">
        <f>+'SEMANA DEL 2 AL 7-3-26'!A11</f>
        <v>ERNESTO REYES</v>
      </c>
      <c r="B11" s="356">
        <f>+'SEMANA DEL 2 AL 7-3-26'!AX11</f>
        <v>0.20000000000000018</v>
      </c>
      <c r="C11" s="356">
        <f>+'SEMANA DEL 2 AL 7-3-26'!AY11</f>
        <v>0.36000000000000121</v>
      </c>
      <c r="D11" s="356">
        <f>+'SEMANA DEL 2 AL 7-3-26'!AZ11</f>
        <v>1.3999999999999986</v>
      </c>
      <c r="E11" s="356">
        <f>+'SEMANA DEL 2 AL 7-3-26'!BA11</f>
        <v>0</v>
      </c>
      <c r="F11" s="356">
        <f>+'SEMANA DEL 2 AL 7-3-26'!BB11</f>
        <v>0</v>
      </c>
      <c r="G11" s="356">
        <f>+'SEMANA DEL 2 AL 7-3-26'!BC11</f>
        <v>0</v>
      </c>
      <c r="H11" s="356">
        <f>+'SEMANA DEL 2 AL 7-3-26'!BD11</f>
        <v>0</v>
      </c>
      <c r="I11" s="356">
        <f>+'SEMANA DEL 2 AL 7-3-26'!BE11</f>
        <v>0</v>
      </c>
      <c r="J11" s="356">
        <f>+'SEMANA DEL 2 AL 7-3-26'!BF11</f>
        <v>0</v>
      </c>
      <c r="K11" s="356">
        <f>+'SEMANA DEL 2 AL 7-3-26'!BG11</f>
        <v>0</v>
      </c>
      <c r="L11" s="356">
        <f>+'SEMANA DEL 2 AL 7-3-26'!BH11</f>
        <v>0</v>
      </c>
      <c r="M11" s="356">
        <f>+'SEMANA DEL 2 AL 7-3-26'!BI11</f>
        <v>0</v>
      </c>
      <c r="N11" s="356">
        <f>+'SEMANA DEL 2 AL 7-3-26'!BJ11</f>
        <v>0</v>
      </c>
      <c r="O11" s="356">
        <f>+'SEMANA DEL 2 AL 7-3-26'!BK11</f>
        <v>0</v>
      </c>
      <c r="P11" s="356">
        <f>+'SEMANA DEL 2 AL 7-3-26'!BL11</f>
        <v>0</v>
      </c>
      <c r="Q11" s="356">
        <f>+'SEMANA DEL 2 AL 7-3-26'!BM11</f>
        <v>0</v>
      </c>
      <c r="R11" s="357">
        <v>3</v>
      </c>
      <c r="S11" s="357">
        <v>5.4</v>
      </c>
      <c r="T11" s="357">
        <v>21</v>
      </c>
      <c r="U11" s="357">
        <v>3</v>
      </c>
      <c r="V11" s="289"/>
      <c r="W11" s="289"/>
      <c r="X11" s="289"/>
      <c r="Y11" s="190"/>
      <c r="Z11" s="190"/>
      <c r="AA11" s="190"/>
      <c r="AB11" s="190"/>
      <c r="AC11" s="190"/>
      <c r="AD11" s="289"/>
      <c r="AE11" s="289"/>
      <c r="AF11" s="289"/>
      <c r="AG11" s="298"/>
      <c r="AH11" s="289"/>
      <c r="AI11" s="289"/>
      <c r="AJ11" s="289"/>
      <c r="AK11" s="289"/>
      <c r="AL11" s="298"/>
      <c r="AM11" s="183"/>
      <c r="AN11" s="289"/>
      <c r="AO11" s="289"/>
      <c r="AP11" s="289"/>
      <c r="AQ11" s="289"/>
      <c r="AR11" s="289"/>
      <c r="AS11" s="189"/>
      <c r="AT11" s="189"/>
      <c r="AU11" s="190"/>
      <c r="AV11" s="190"/>
      <c r="AW11" s="189"/>
      <c r="AX11" s="189">
        <f t="shared" si="11"/>
        <v>3.2</v>
      </c>
      <c r="AY11" s="189">
        <f t="shared" si="12"/>
        <v>5.7600000000000016</v>
      </c>
      <c r="AZ11" s="189">
        <f t="shared" si="13"/>
        <v>22.4</v>
      </c>
      <c r="BA11" s="189">
        <f t="shared" si="14"/>
        <v>3</v>
      </c>
      <c r="BB11" s="189">
        <f t="shared" si="15"/>
        <v>0</v>
      </c>
      <c r="BC11" s="189">
        <f t="shared" si="16"/>
        <v>0</v>
      </c>
      <c r="BD11" s="189">
        <f t="shared" si="17"/>
        <v>0</v>
      </c>
      <c r="BE11" s="189">
        <f t="shared" si="18"/>
        <v>0</v>
      </c>
      <c r="BF11" s="189">
        <f t="shared" si="19"/>
        <v>0</v>
      </c>
      <c r="BG11" s="189">
        <f t="shared" si="20"/>
        <v>0</v>
      </c>
      <c r="BH11" s="189">
        <f t="shared" si="21"/>
        <v>0</v>
      </c>
      <c r="BI11" s="189">
        <f t="shared" si="22"/>
        <v>0</v>
      </c>
      <c r="BJ11" s="189">
        <f t="shared" si="23"/>
        <v>0</v>
      </c>
      <c r="BK11" s="189">
        <f t="shared" si="24"/>
        <v>0</v>
      </c>
      <c r="BL11" s="189">
        <f t="shared" si="25"/>
        <v>0</v>
      </c>
      <c r="BM11" s="189">
        <f t="shared" si="26"/>
        <v>0</v>
      </c>
      <c r="BN11" s="258"/>
      <c r="BO11" s="258">
        <f t="shared" si="1"/>
        <v>0</v>
      </c>
      <c r="BP11" s="71">
        <f t="shared" si="2"/>
        <v>0</v>
      </c>
      <c r="BQ11" s="112">
        <f t="shared" si="3"/>
        <v>0</v>
      </c>
      <c r="BR11" s="112">
        <f t="shared" si="27"/>
        <v>0</v>
      </c>
      <c r="BS11" s="112">
        <f t="shared" si="28"/>
        <v>0</v>
      </c>
      <c r="BT11" s="112">
        <f t="shared" si="4"/>
        <v>0</v>
      </c>
      <c r="BU11" s="112">
        <f t="shared" si="5"/>
        <v>0</v>
      </c>
      <c r="BV11" s="112">
        <f t="shared" si="29"/>
        <v>0</v>
      </c>
      <c r="BW11" s="112">
        <f t="shared" si="43"/>
        <v>0</v>
      </c>
      <c r="BX11" s="112">
        <f t="shared" si="6"/>
        <v>0</v>
      </c>
      <c r="BY11" s="71">
        <f t="shared" si="30"/>
        <v>0</v>
      </c>
      <c r="BZ11" s="112">
        <f t="shared" si="31"/>
        <v>0</v>
      </c>
      <c r="CA11" s="189"/>
      <c r="CB11" s="183"/>
      <c r="CC11" s="71">
        <f t="shared" si="32"/>
        <v>0</v>
      </c>
      <c r="CD11" s="71">
        <f t="shared" si="42"/>
        <v>0</v>
      </c>
      <c r="CE11" s="71">
        <f t="shared" si="33"/>
        <v>0</v>
      </c>
      <c r="CF11" s="71">
        <f t="shared" si="34"/>
        <v>0</v>
      </c>
      <c r="CG11" s="71">
        <f t="shared" si="35"/>
        <v>0</v>
      </c>
      <c r="CH11" s="166">
        <f t="shared" si="36"/>
        <v>0</v>
      </c>
      <c r="CI11" s="259">
        <f t="shared" si="37"/>
        <v>0</v>
      </c>
      <c r="CJ11" s="79"/>
      <c r="CK11" s="78"/>
      <c r="CL11" s="153"/>
      <c r="CM11" s="147"/>
      <c r="CN11" s="174"/>
      <c r="CO11" s="175"/>
      <c r="CP11" s="174"/>
      <c r="CQ11" s="79"/>
      <c r="CR11" s="297" t="str">
        <f t="shared" si="38"/>
        <v>ERNESTO REYES</v>
      </c>
      <c r="CS11" s="310" t="str">
        <f>+'SEMANA DEL 2 AL 7-3-26'!CS11</f>
        <v>CC-5.535.335</v>
      </c>
      <c r="CT11" s="304">
        <f t="shared" si="7"/>
        <v>0</v>
      </c>
      <c r="CU11" s="304">
        <f>+AW11</f>
        <v>0</v>
      </c>
      <c r="CV11" s="304"/>
      <c r="CW11" s="305">
        <f>+CV11*230</f>
        <v>0</v>
      </c>
      <c r="CX11" s="305"/>
      <c r="CY11" s="304"/>
      <c r="CZ11" s="304">
        <f>+CX11*6500+CY11*3500</f>
        <v>0</v>
      </c>
      <c r="DA11" s="304">
        <f>+CT11*75</f>
        <v>0</v>
      </c>
      <c r="DB11" s="306">
        <f t="shared" si="9"/>
        <v>0</v>
      </c>
      <c r="DC11" s="321">
        <f t="shared" si="10"/>
        <v>0</v>
      </c>
    </row>
    <row r="12" spans="1:107" ht="17.25" customHeight="1" x14ac:dyDescent="0.25">
      <c r="A12" s="355" t="str">
        <f>+'SEMANA DEL 2 AL 7-3-26'!A12</f>
        <v xml:space="preserve">GUILLERMO ZAMBRANO </v>
      </c>
      <c r="B12" s="356">
        <f>+'SEMANA DEL 2 AL 7-3-26'!AX12</f>
        <v>0.34999999999999964</v>
      </c>
      <c r="C12" s="356">
        <f>+'SEMANA DEL 2 AL 7-3-26'!AY12</f>
        <v>1.6300000000000008</v>
      </c>
      <c r="D12" s="356">
        <f>+'SEMANA DEL 2 AL 7-3-26'!AZ12</f>
        <v>4.4500000000000028</v>
      </c>
      <c r="E12" s="356">
        <f>+'SEMANA DEL 2 AL 7-3-26'!BA12</f>
        <v>0</v>
      </c>
      <c r="F12" s="356">
        <f>+'SEMANA DEL 2 AL 7-3-26'!BB12</f>
        <v>0</v>
      </c>
      <c r="G12" s="356">
        <f>+'SEMANA DEL 2 AL 7-3-26'!BC12</f>
        <v>0</v>
      </c>
      <c r="H12" s="356">
        <f>+'SEMANA DEL 2 AL 7-3-26'!BD12</f>
        <v>0</v>
      </c>
      <c r="I12" s="356">
        <f>+'SEMANA DEL 2 AL 7-3-26'!BE12</f>
        <v>0</v>
      </c>
      <c r="J12" s="356">
        <f>+'SEMANA DEL 2 AL 7-3-26'!BF12</f>
        <v>0</v>
      </c>
      <c r="K12" s="356">
        <f>+'SEMANA DEL 2 AL 7-3-26'!BG12</f>
        <v>0</v>
      </c>
      <c r="L12" s="356">
        <f>+'SEMANA DEL 2 AL 7-3-26'!BH12</f>
        <v>0</v>
      </c>
      <c r="M12" s="356">
        <f>+'SEMANA DEL 2 AL 7-3-26'!BI12</f>
        <v>0</v>
      </c>
      <c r="N12" s="356">
        <f>+'SEMANA DEL 2 AL 7-3-26'!BJ12</f>
        <v>0</v>
      </c>
      <c r="O12" s="356">
        <f>+'SEMANA DEL 2 AL 7-3-26'!BK12</f>
        <v>0</v>
      </c>
      <c r="P12" s="356">
        <f>+'SEMANA DEL 2 AL 7-3-26'!BL12</f>
        <v>0</v>
      </c>
      <c r="Q12" s="356">
        <f>+'SEMANA DEL 2 AL 7-3-26'!BM12</f>
        <v>0</v>
      </c>
      <c r="R12" s="357">
        <v>0</v>
      </c>
      <c r="S12" s="357">
        <v>0</v>
      </c>
      <c r="T12" s="357">
        <v>0</v>
      </c>
      <c r="U12" s="357">
        <v>0</v>
      </c>
      <c r="V12" s="289"/>
      <c r="W12" s="289"/>
      <c r="X12" s="289"/>
      <c r="Y12" s="190"/>
      <c r="Z12" s="190"/>
      <c r="AA12" s="190"/>
      <c r="AB12" s="190"/>
      <c r="AC12" s="190"/>
      <c r="AD12" s="289"/>
      <c r="AE12" s="289"/>
      <c r="AF12" s="289"/>
      <c r="AG12" s="289"/>
      <c r="AH12" s="357"/>
      <c r="AI12" s="357"/>
      <c r="AJ12" s="357"/>
      <c r="AK12" s="357"/>
      <c r="AL12" s="289"/>
      <c r="AM12" s="289"/>
      <c r="AN12" s="289"/>
      <c r="AO12" s="190"/>
      <c r="AP12" s="183"/>
      <c r="AQ12" s="183"/>
      <c r="AR12" s="183"/>
      <c r="AS12" s="113"/>
      <c r="AT12" s="113"/>
      <c r="AU12" s="190"/>
      <c r="AV12" s="190"/>
      <c r="AW12" s="189"/>
      <c r="AX12" s="189">
        <f t="shared" si="11"/>
        <v>0.34999999999999964</v>
      </c>
      <c r="AY12" s="189">
        <f t="shared" si="12"/>
        <v>1.6300000000000008</v>
      </c>
      <c r="AZ12" s="189">
        <f t="shared" si="13"/>
        <v>4.4500000000000028</v>
      </c>
      <c r="BA12" s="189">
        <f t="shared" si="14"/>
        <v>0</v>
      </c>
      <c r="BB12" s="189">
        <f t="shared" si="15"/>
        <v>0</v>
      </c>
      <c r="BC12" s="189">
        <f t="shared" si="16"/>
        <v>0</v>
      </c>
      <c r="BD12" s="189">
        <f t="shared" si="17"/>
        <v>0</v>
      </c>
      <c r="BE12" s="189">
        <f t="shared" si="18"/>
        <v>0</v>
      </c>
      <c r="BF12" s="189">
        <f t="shared" si="19"/>
        <v>0</v>
      </c>
      <c r="BG12" s="189">
        <f t="shared" si="20"/>
        <v>0</v>
      </c>
      <c r="BH12" s="189">
        <f t="shared" si="21"/>
        <v>0</v>
      </c>
      <c r="BI12" s="189">
        <f t="shared" si="22"/>
        <v>0</v>
      </c>
      <c r="BJ12" s="189">
        <f t="shared" si="23"/>
        <v>0</v>
      </c>
      <c r="BK12" s="189">
        <f t="shared" si="24"/>
        <v>0</v>
      </c>
      <c r="BL12" s="189">
        <f t="shared" si="25"/>
        <v>0</v>
      </c>
      <c r="BM12" s="189">
        <f t="shared" si="26"/>
        <v>0</v>
      </c>
      <c r="BN12" s="258"/>
      <c r="BO12" s="258">
        <f>+AL12*2500</f>
        <v>0</v>
      </c>
      <c r="BP12" s="71">
        <f t="shared" si="2"/>
        <v>0</v>
      </c>
      <c r="BQ12" s="112">
        <f>+AN12*3000</f>
        <v>0</v>
      </c>
      <c r="BR12" s="112">
        <f t="shared" si="27"/>
        <v>0</v>
      </c>
      <c r="BS12" s="112">
        <f t="shared" si="28"/>
        <v>0</v>
      </c>
      <c r="BT12" s="112">
        <f t="shared" si="4"/>
        <v>0</v>
      </c>
      <c r="BU12" s="112">
        <f t="shared" si="5"/>
        <v>0</v>
      </c>
      <c r="BV12" s="112">
        <f t="shared" si="29"/>
        <v>0</v>
      </c>
      <c r="BW12" s="112">
        <f t="shared" si="43"/>
        <v>0</v>
      </c>
      <c r="BX12" s="112">
        <f t="shared" si="6"/>
        <v>0</v>
      </c>
      <c r="BY12" s="71">
        <f t="shared" si="30"/>
        <v>0</v>
      </c>
      <c r="BZ12" s="112">
        <f t="shared" si="31"/>
        <v>0</v>
      </c>
      <c r="CA12" s="189"/>
      <c r="CB12" s="183"/>
      <c r="CC12" s="71">
        <f t="shared" si="32"/>
        <v>0</v>
      </c>
      <c r="CD12" s="71">
        <f t="shared" si="42"/>
        <v>0</v>
      </c>
      <c r="CE12" s="71">
        <f t="shared" si="33"/>
        <v>0</v>
      </c>
      <c r="CF12" s="71">
        <f t="shared" si="34"/>
        <v>0</v>
      </c>
      <c r="CG12" s="71">
        <f t="shared" si="35"/>
        <v>0</v>
      </c>
      <c r="CH12" s="166">
        <f t="shared" si="36"/>
        <v>0</v>
      </c>
      <c r="CI12" s="259">
        <f t="shared" si="37"/>
        <v>0</v>
      </c>
      <c r="CJ12" s="79"/>
      <c r="CK12" s="78" t="s">
        <v>101</v>
      </c>
      <c r="CL12" s="153" t="e">
        <f>+#REF!</f>
        <v>#REF!</v>
      </c>
      <c r="CM12" s="147" t="e">
        <f>+#REF!</f>
        <v>#REF!</v>
      </c>
      <c r="CN12" s="174" t="e">
        <f>+CL12+CM12</f>
        <v>#REF!</v>
      </c>
      <c r="CO12" s="175" t="e">
        <f>+#REF!</f>
        <v>#REF!</v>
      </c>
      <c r="CP12" s="174" t="e">
        <f>CN12-CO12</f>
        <v>#REF!</v>
      </c>
      <c r="CQ12" s="79"/>
      <c r="CR12" s="297" t="str">
        <f t="shared" si="38"/>
        <v xml:space="preserve">GUILLERMO ZAMBRANO </v>
      </c>
      <c r="CS12" s="310" t="str">
        <f>+'SEMANA DEL 2 AL 7-3-26'!CS12</f>
        <v>V-5.642.663</v>
      </c>
      <c r="CT12" s="304">
        <f t="shared" si="7"/>
        <v>0</v>
      </c>
      <c r="CU12" s="304">
        <f t="shared" si="8"/>
        <v>0</v>
      </c>
      <c r="CV12" s="304"/>
      <c r="CW12" s="305">
        <f t="shared" si="39"/>
        <v>0</v>
      </c>
      <c r="CX12" s="305"/>
      <c r="CY12" s="304"/>
      <c r="CZ12" s="304">
        <f t="shared" si="40"/>
        <v>0</v>
      </c>
      <c r="DA12" s="304">
        <f t="shared" si="41"/>
        <v>0</v>
      </c>
      <c r="DB12" s="306">
        <f t="shared" si="9"/>
        <v>0</v>
      </c>
      <c r="DC12" s="321">
        <f t="shared" si="10"/>
        <v>0</v>
      </c>
    </row>
    <row r="13" spans="1:107" ht="18" customHeight="1" x14ac:dyDescent="0.25">
      <c r="A13" s="355" t="str">
        <f>+'SEMANA DEL 2 AL 7-3-26'!A13</f>
        <v>HUGO ALMEIDA</v>
      </c>
      <c r="B13" s="356">
        <f>+'SEMANA DEL 2 AL 7-3-26'!AX13</f>
        <v>0</v>
      </c>
      <c r="C13" s="356">
        <f>+'SEMANA DEL 2 AL 7-3-26'!AY13</f>
        <v>0</v>
      </c>
      <c r="D13" s="356">
        <f>+'SEMANA DEL 2 AL 7-3-26'!AZ13</f>
        <v>0</v>
      </c>
      <c r="E13" s="356">
        <f>+'SEMANA DEL 2 AL 7-3-26'!BA13</f>
        <v>0</v>
      </c>
      <c r="F13" s="356">
        <f>+'SEMANA DEL 2 AL 7-3-26'!BB13</f>
        <v>0</v>
      </c>
      <c r="G13" s="356">
        <f>+'SEMANA DEL 2 AL 7-3-26'!BC13</f>
        <v>0</v>
      </c>
      <c r="H13" s="356">
        <f>+'SEMANA DEL 2 AL 7-3-26'!BD13</f>
        <v>0</v>
      </c>
      <c r="I13" s="356">
        <f>+'SEMANA DEL 2 AL 7-3-26'!BE13</f>
        <v>0</v>
      </c>
      <c r="J13" s="356">
        <f>+'SEMANA DEL 2 AL 7-3-26'!BF13</f>
        <v>0</v>
      </c>
      <c r="K13" s="356">
        <f>+'SEMANA DEL 2 AL 7-3-26'!BG13</f>
        <v>0</v>
      </c>
      <c r="L13" s="356">
        <f>+'SEMANA DEL 2 AL 7-3-26'!BH13</f>
        <v>0</v>
      </c>
      <c r="M13" s="356">
        <f>+'SEMANA DEL 2 AL 7-3-26'!BI13</f>
        <v>0</v>
      </c>
      <c r="N13" s="356">
        <f>+'SEMANA DEL 2 AL 7-3-26'!BJ13</f>
        <v>0</v>
      </c>
      <c r="O13" s="356">
        <f>+'SEMANA DEL 2 AL 7-3-26'!BK13</f>
        <v>0</v>
      </c>
      <c r="P13" s="356">
        <f>+'SEMANA DEL 2 AL 7-3-26'!BL13</f>
        <v>0</v>
      </c>
      <c r="Q13" s="356">
        <f>+'SEMANA DEL 2 AL 7-3-26'!BM13</f>
        <v>0</v>
      </c>
      <c r="R13" s="357">
        <v>5</v>
      </c>
      <c r="S13" s="357">
        <v>9</v>
      </c>
      <c r="T13" s="357">
        <v>35</v>
      </c>
      <c r="U13" s="357">
        <v>4</v>
      </c>
      <c r="V13" s="289"/>
      <c r="W13" s="190"/>
      <c r="X13" s="289"/>
      <c r="Y13" s="190"/>
      <c r="Z13" s="190"/>
      <c r="AA13" s="190"/>
      <c r="AB13" s="190"/>
      <c r="AC13" s="190"/>
      <c r="AD13" s="289"/>
      <c r="AE13" s="289"/>
      <c r="AF13" s="289"/>
      <c r="AG13" s="289"/>
      <c r="AH13" s="357">
        <v>5</v>
      </c>
      <c r="AI13" s="357">
        <v>9</v>
      </c>
      <c r="AJ13" s="357">
        <v>35</v>
      </c>
      <c r="AK13" s="357">
        <v>4</v>
      </c>
      <c r="AL13" s="299"/>
      <c r="AM13" s="183"/>
      <c r="AN13" s="183"/>
      <c r="AO13" s="183"/>
      <c r="AP13" s="183"/>
      <c r="AQ13" s="183"/>
      <c r="AR13" s="183"/>
      <c r="AS13" s="113"/>
      <c r="AT13" s="113"/>
      <c r="AU13" s="190"/>
      <c r="AV13" s="190"/>
      <c r="AW13" s="189"/>
      <c r="AX13" s="189">
        <f t="shared" si="11"/>
        <v>0</v>
      </c>
      <c r="AY13" s="189">
        <f t="shared" si="12"/>
        <v>0</v>
      </c>
      <c r="AZ13" s="189">
        <f t="shared" si="13"/>
        <v>0</v>
      </c>
      <c r="BA13" s="189">
        <f t="shared" si="14"/>
        <v>0</v>
      </c>
      <c r="BB13" s="189">
        <f t="shared" si="15"/>
        <v>0</v>
      </c>
      <c r="BC13" s="189">
        <f t="shared" si="16"/>
        <v>0</v>
      </c>
      <c r="BD13" s="189">
        <f t="shared" si="17"/>
        <v>0</v>
      </c>
      <c r="BE13" s="189">
        <f t="shared" si="18"/>
        <v>0</v>
      </c>
      <c r="BF13" s="189">
        <f t="shared" si="19"/>
        <v>0</v>
      </c>
      <c r="BG13" s="189">
        <f t="shared" si="20"/>
        <v>0</v>
      </c>
      <c r="BH13" s="189">
        <f t="shared" si="21"/>
        <v>0</v>
      </c>
      <c r="BI13" s="189">
        <f t="shared" si="22"/>
        <v>0</v>
      </c>
      <c r="BJ13" s="189">
        <f t="shared" si="23"/>
        <v>0</v>
      </c>
      <c r="BK13" s="189">
        <f t="shared" si="24"/>
        <v>0</v>
      </c>
      <c r="BL13" s="189">
        <f t="shared" si="25"/>
        <v>0</v>
      </c>
      <c r="BM13" s="189">
        <f t="shared" si="26"/>
        <v>0</v>
      </c>
      <c r="BN13" s="258">
        <v>5000</v>
      </c>
      <c r="BO13" s="258">
        <f t="shared" si="1"/>
        <v>0</v>
      </c>
      <c r="BP13" s="71">
        <f t="shared" si="2"/>
        <v>0</v>
      </c>
      <c r="BQ13" s="112">
        <f t="shared" si="3"/>
        <v>0</v>
      </c>
      <c r="BR13" s="112">
        <f t="shared" si="27"/>
        <v>0</v>
      </c>
      <c r="BS13" s="112">
        <f t="shared" si="28"/>
        <v>0</v>
      </c>
      <c r="BT13" s="112">
        <f t="shared" si="4"/>
        <v>0</v>
      </c>
      <c r="BU13" s="112">
        <f t="shared" si="5"/>
        <v>0</v>
      </c>
      <c r="BV13" s="112">
        <f t="shared" si="29"/>
        <v>0</v>
      </c>
      <c r="BW13" s="112">
        <f>+AT13*8000</f>
        <v>0</v>
      </c>
      <c r="BX13" s="112">
        <f t="shared" si="6"/>
        <v>0</v>
      </c>
      <c r="BY13" s="71">
        <f t="shared" si="30"/>
        <v>0</v>
      </c>
      <c r="BZ13" s="112">
        <f t="shared" si="31"/>
        <v>0</v>
      </c>
      <c r="CA13" s="189"/>
      <c r="CB13" s="183"/>
      <c r="CC13" s="71">
        <f t="shared" si="32"/>
        <v>80</v>
      </c>
      <c r="CD13" s="71">
        <f>+AI13*12+12</f>
        <v>120</v>
      </c>
      <c r="CE13" s="71">
        <f t="shared" si="33"/>
        <v>105</v>
      </c>
      <c r="CF13" s="71">
        <f t="shared" si="34"/>
        <v>305</v>
      </c>
      <c r="CG13" s="71">
        <f t="shared" si="35"/>
        <v>425305</v>
      </c>
      <c r="CH13" s="166">
        <f t="shared" si="36"/>
        <v>0</v>
      </c>
      <c r="CI13" s="259">
        <f t="shared" si="37"/>
        <v>425000</v>
      </c>
      <c r="CJ13" s="79"/>
      <c r="CK13" s="78"/>
      <c r="CL13" s="153"/>
      <c r="CM13" s="147"/>
      <c r="CN13" s="174"/>
      <c r="CO13" s="175"/>
      <c r="CP13" s="174"/>
      <c r="CQ13" s="79"/>
      <c r="CR13" s="297" t="str">
        <f t="shared" si="38"/>
        <v>HUGO ALMEIDA</v>
      </c>
      <c r="CS13" s="310" t="str">
        <f>+'SEMANA DEL 2 AL 7-3-26'!CS13</f>
        <v>V-8,988,550</v>
      </c>
      <c r="CT13" s="304">
        <f t="shared" si="7"/>
        <v>5000</v>
      </c>
      <c r="CU13" s="304">
        <f t="shared" si="8"/>
        <v>0</v>
      </c>
      <c r="CV13" s="304"/>
      <c r="CW13" s="305">
        <f t="shared" si="39"/>
        <v>0</v>
      </c>
      <c r="CX13" s="305">
        <v>5.7</v>
      </c>
      <c r="CY13" s="304">
        <v>6.4</v>
      </c>
      <c r="CZ13" s="304">
        <f t="shared" si="40"/>
        <v>59450</v>
      </c>
      <c r="DA13" s="304">
        <f t="shared" si="41"/>
        <v>375000</v>
      </c>
      <c r="DB13" s="306">
        <f t="shared" si="9"/>
        <v>425000</v>
      </c>
      <c r="DC13" s="321">
        <f t="shared" si="10"/>
        <v>484450</v>
      </c>
    </row>
    <row r="14" spans="1:107" ht="18" customHeight="1" x14ac:dyDescent="0.25">
      <c r="A14" s="355" t="str">
        <f>+'SEMANA DEL 2 AL 7-3-26'!A14</f>
        <v>HILDA SERRANO</v>
      </c>
      <c r="B14" s="356">
        <f>+'SEMANA DEL 2 AL 7-3-26'!AX14</f>
        <v>1</v>
      </c>
      <c r="C14" s="356">
        <f>+'SEMANA DEL 2 AL 7-3-26'!AY14</f>
        <v>1.8000000000000007</v>
      </c>
      <c r="D14" s="356">
        <f>+'SEMANA DEL 2 AL 7-3-26'!AZ14</f>
        <v>7</v>
      </c>
      <c r="E14" s="356">
        <f>+'SEMANA DEL 2 AL 7-3-26'!BA14</f>
        <v>1</v>
      </c>
      <c r="F14" s="356">
        <f>+'SEMANA DEL 2 AL 7-3-26'!BB14</f>
        <v>0</v>
      </c>
      <c r="G14" s="356">
        <f>+'SEMANA DEL 2 AL 7-3-26'!BC14</f>
        <v>0</v>
      </c>
      <c r="H14" s="356">
        <f>+'SEMANA DEL 2 AL 7-3-26'!BD14</f>
        <v>0</v>
      </c>
      <c r="I14" s="356">
        <f>+'SEMANA DEL 2 AL 7-3-26'!BE14</f>
        <v>0</v>
      </c>
      <c r="J14" s="356">
        <f>+'SEMANA DEL 2 AL 7-3-26'!BF14</f>
        <v>0</v>
      </c>
      <c r="K14" s="356">
        <f>+'SEMANA DEL 2 AL 7-3-26'!BG14</f>
        <v>0</v>
      </c>
      <c r="L14" s="356">
        <f>+'SEMANA DEL 2 AL 7-3-26'!BH14</f>
        <v>0</v>
      </c>
      <c r="M14" s="356">
        <f>+'SEMANA DEL 2 AL 7-3-26'!BI14</f>
        <v>0</v>
      </c>
      <c r="N14" s="356">
        <f>+'SEMANA DEL 2 AL 7-3-26'!BJ14</f>
        <v>0</v>
      </c>
      <c r="O14" s="356">
        <f>+'SEMANA DEL 2 AL 7-3-26'!BK14</f>
        <v>0</v>
      </c>
      <c r="P14" s="356">
        <f>+'SEMANA DEL 2 AL 7-3-26'!BL14</f>
        <v>0</v>
      </c>
      <c r="Q14" s="356">
        <f>+'SEMANA DEL 2 AL 7-3-26'!BM14</f>
        <v>0</v>
      </c>
      <c r="R14" s="357">
        <v>7</v>
      </c>
      <c r="S14" s="357">
        <v>12.6</v>
      </c>
      <c r="T14" s="357">
        <v>49</v>
      </c>
      <c r="U14" s="357">
        <v>6</v>
      </c>
      <c r="V14" s="289"/>
      <c r="W14" s="190"/>
      <c r="X14" s="190"/>
      <c r="Y14" s="190"/>
      <c r="Z14" s="190"/>
      <c r="AA14" s="190"/>
      <c r="AB14" s="190"/>
      <c r="AC14" s="190"/>
      <c r="AD14" s="289"/>
      <c r="AE14" s="289"/>
      <c r="AF14" s="289"/>
      <c r="AG14" s="289"/>
      <c r="AH14" s="357">
        <v>7</v>
      </c>
      <c r="AI14" s="357">
        <v>12.6</v>
      </c>
      <c r="AJ14" s="357">
        <v>49</v>
      </c>
      <c r="AK14" s="357">
        <v>6</v>
      </c>
      <c r="AL14" s="298"/>
      <c r="AM14" s="183"/>
      <c r="AN14" s="183"/>
      <c r="AO14" s="183"/>
      <c r="AP14" s="183"/>
      <c r="AQ14" s="183"/>
      <c r="AR14" s="183"/>
      <c r="AS14" s="113"/>
      <c r="AT14" s="113"/>
      <c r="AU14" s="190"/>
      <c r="AV14" s="190"/>
      <c r="AW14" s="189"/>
      <c r="AX14" s="189">
        <f t="shared" si="11"/>
        <v>1</v>
      </c>
      <c r="AY14" s="189">
        <f t="shared" si="12"/>
        <v>1.8000000000000007</v>
      </c>
      <c r="AZ14" s="189">
        <f t="shared" si="13"/>
        <v>7</v>
      </c>
      <c r="BA14" s="189">
        <f t="shared" si="14"/>
        <v>1</v>
      </c>
      <c r="BB14" s="189">
        <f t="shared" si="15"/>
        <v>0</v>
      </c>
      <c r="BC14" s="189">
        <f t="shared" si="16"/>
        <v>0</v>
      </c>
      <c r="BD14" s="189">
        <f t="shared" si="17"/>
        <v>0</v>
      </c>
      <c r="BE14" s="189">
        <f t="shared" si="18"/>
        <v>0</v>
      </c>
      <c r="BF14" s="189">
        <f t="shared" si="19"/>
        <v>0</v>
      </c>
      <c r="BG14" s="189">
        <f t="shared" si="20"/>
        <v>0</v>
      </c>
      <c r="BH14" s="189">
        <f t="shared" si="21"/>
        <v>0</v>
      </c>
      <c r="BI14" s="189">
        <f t="shared" si="22"/>
        <v>0</v>
      </c>
      <c r="BJ14" s="189">
        <f t="shared" si="23"/>
        <v>0</v>
      </c>
      <c r="BK14" s="189">
        <f t="shared" si="24"/>
        <v>0</v>
      </c>
      <c r="BL14" s="189">
        <f t="shared" si="25"/>
        <v>0</v>
      </c>
      <c r="BM14" s="189">
        <f t="shared" si="26"/>
        <v>0</v>
      </c>
      <c r="BN14" s="258">
        <v>7000</v>
      </c>
      <c r="BO14" s="258">
        <f>+AL14*2500</f>
        <v>0</v>
      </c>
      <c r="BP14" s="71">
        <f t="shared" ref="BP14:BP20" si="44">+AM14*60000</f>
        <v>0</v>
      </c>
      <c r="BQ14" s="112">
        <f>+AN14*3000</f>
        <v>0</v>
      </c>
      <c r="BR14" s="112">
        <f t="shared" si="27"/>
        <v>0</v>
      </c>
      <c r="BS14" s="112">
        <f t="shared" si="28"/>
        <v>0</v>
      </c>
      <c r="BT14" s="112">
        <f t="shared" ref="BT14:BT20" si="45">+AQ14*8000</f>
        <v>0</v>
      </c>
      <c r="BU14" s="112">
        <f t="shared" ref="BU14:BU20" si="46">+AR14*150000</f>
        <v>0</v>
      </c>
      <c r="BV14" s="112">
        <f t="shared" si="29"/>
        <v>0</v>
      </c>
      <c r="BW14" s="112">
        <f>+AT14*8000</f>
        <v>0</v>
      </c>
      <c r="BX14" s="112">
        <f t="shared" si="6"/>
        <v>0</v>
      </c>
      <c r="BY14" s="71">
        <f t="shared" si="30"/>
        <v>0</v>
      </c>
      <c r="BZ14" s="112">
        <f t="shared" si="31"/>
        <v>0</v>
      </c>
      <c r="CA14" s="189"/>
      <c r="CB14" s="183"/>
      <c r="CC14" s="71">
        <f t="shared" si="32"/>
        <v>112</v>
      </c>
      <c r="CD14" s="71">
        <f>+AI14*12+16.8</f>
        <v>168</v>
      </c>
      <c r="CE14" s="71">
        <f t="shared" si="33"/>
        <v>147</v>
      </c>
      <c r="CF14" s="71">
        <f t="shared" si="34"/>
        <v>427</v>
      </c>
      <c r="CG14" s="71">
        <f t="shared" si="35"/>
        <v>595427</v>
      </c>
      <c r="CH14" s="166">
        <f t="shared" si="36"/>
        <v>0</v>
      </c>
      <c r="CI14" s="259">
        <f t="shared" si="37"/>
        <v>595000</v>
      </c>
      <c r="CJ14" s="79"/>
      <c r="CK14" s="78"/>
      <c r="CL14" s="153"/>
      <c r="CM14" s="147"/>
      <c r="CN14" s="174"/>
      <c r="CO14" s="175"/>
      <c r="CP14" s="174"/>
      <c r="CQ14" s="79"/>
      <c r="CR14" s="297" t="str">
        <f t="shared" si="38"/>
        <v>HILDA SERRANO</v>
      </c>
      <c r="CS14" s="310" t="str">
        <f>+'SEMANA DEL 2 AL 7-3-26'!CS14</f>
        <v>CC-60.413.802</v>
      </c>
      <c r="CT14" s="304">
        <f t="shared" si="7"/>
        <v>7000</v>
      </c>
      <c r="CU14" s="304">
        <f>+AW14</f>
        <v>0</v>
      </c>
      <c r="CV14" s="304"/>
      <c r="CW14" s="305">
        <f t="shared" si="39"/>
        <v>0</v>
      </c>
      <c r="CX14" s="305">
        <v>6</v>
      </c>
      <c r="CY14" s="304">
        <v>7.7</v>
      </c>
      <c r="CZ14" s="304">
        <f t="shared" si="40"/>
        <v>65950</v>
      </c>
      <c r="DA14" s="304">
        <f t="shared" si="41"/>
        <v>525000</v>
      </c>
      <c r="DB14" s="306">
        <f t="shared" si="9"/>
        <v>595000</v>
      </c>
      <c r="DC14" s="321">
        <f t="shared" si="10"/>
        <v>660950</v>
      </c>
    </row>
    <row r="15" spans="1:107" ht="18" customHeight="1" x14ac:dyDescent="0.25">
      <c r="A15" s="355" t="str">
        <f>+'SEMANA DEL 2 AL 7-3-26'!A15</f>
        <v xml:space="preserve">HUMBERTO LUNA </v>
      </c>
      <c r="B15" s="356">
        <f>+'SEMANA DEL 2 AL 7-3-26'!AX15</f>
        <v>0</v>
      </c>
      <c r="C15" s="356">
        <f>+'SEMANA DEL 2 AL 7-3-26'!AY15</f>
        <v>0</v>
      </c>
      <c r="D15" s="356">
        <f>+'SEMANA DEL 2 AL 7-3-26'!AZ15</f>
        <v>0</v>
      </c>
      <c r="E15" s="356">
        <f>+'SEMANA DEL 2 AL 7-3-26'!BA15</f>
        <v>0</v>
      </c>
      <c r="F15" s="356">
        <f>+'SEMANA DEL 2 AL 7-3-26'!BB15</f>
        <v>0</v>
      </c>
      <c r="G15" s="356">
        <f>+'SEMANA DEL 2 AL 7-3-26'!BC15</f>
        <v>0</v>
      </c>
      <c r="H15" s="356">
        <f>+'SEMANA DEL 2 AL 7-3-26'!BD15</f>
        <v>0</v>
      </c>
      <c r="I15" s="356">
        <f>+'SEMANA DEL 2 AL 7-3-26'!BE15</f>
        <v>0</v>
      </c>
      <c r="J15" s="356">
        <f>+'SEMANA DEL 2 AL 7-3-26'!BF15</f>
        <v>0</v>
      </c>
      <c r="K15" s="356">
        <f>+'SEMANA DEL 2 AL 7-3-26'!BG15</f>
        <v>0</v>
      </c>
      <c r="L15" s="356">
        <f>+'SEMANA DEL 2 AL 7-3-26'!BH15</f>
        <v>0</v>
      </c>
      <c r="M15" s="356">
        <f>+'SEMANA DEL 2 AL 7-3-26'!BI15</f>
        <v>0</v>
      </c>
      <c r="N15" s="356">
        <f>+'SEMANA DEL 2 AL 7-3-26'!BJ15</f>
        <v>0</v>
      </c>
      <c r="O15" s="356">
        <f>+'SEMANA DEL 2 AL 7-3-26'!BK15</f>
        <v>0</v>
      </c>
      <c r="P15" s="356">
        <f>+'SEMANA DEL 2 AL 7-3-26'!BL15</f>
        <v>0</v>
      </c>
      <c r="Q15" s="356">
        <f>+'SEMANA DEL 2 AL 7-3-26'!BM15</f>
        <v>0</v>
      </c>
      <c r="R15" s="357">
        <v>13</v>
      </c>
      <c r="S15" s="357">
        <v>23.4</v>
      </c>
      <c r="T15" s="357">
        <v>91</v>
      </c>
      <c r="U15" s="357">
        <v>11</v>
      </c>
      <c r="V15" s="289"/>
      <c r="W15" s="190">
        <v>0.25</v>
      </c>
      <c r="X15" s="190"/>
      <c r="Y15" s="190">
        <v>2</v>
      </c>
      <c r="Z15" s="190"/>
      <c r="AA15" s="190"/>
      <c r="AB15" s="190"/>
      <c r="AC15" s="190"/>
      <c r="AD15" s="289"/>
      <c r="AE15" s="289"/>
      <c r="AF15" s="289"/>
      <c r="AG15" s="289"/>
      <c r="AH15" s="357">
        <v>13</v>
      </c>
      <c r="AI15" s="357">
        <v>23.4</v>
      </c>
      <c r="AJ15" s="357">
        <v>91</v>
      </c>
      <c r="AK15" s="357">
        <v>11</v>
      </c>
      <c r="AL15" s="289"/>
      <c r="AM15" s="190">
        <v>0.25</v>
      </c>
      <c r="AN15" s="190"/>
      <c r="AO15" s="190">
        <v>2</v>
      </c>
      <c r="AP15" s="183"/>
      <c r="AQ15" s="183"/>
      <c r="AR15" s="183"/>
      <c r="AS15" s="113"/>
      <c r="AT15" s="113"/>
      <c r="AU15" s="190"/>
      <c r="AV15" s="190"/>
      <c r="AW15" s="189"/>
      <c r="AX15" s="189">
        <f t="shared" si="11"/>
        <v>0</v>
      </c>
      <c r="AY15" s="189">
        <f t="shared" si="12"/>
        <v>0</v>
      </c>
      <c r="AZ15" s="189">
        <f t="shared" si="13"/>
        <v>0</v>
      </c>
      <c r="BA15" s="189">
        <f t="shared" si="14"/>
        <v>0</v>
      </c>
      <c r="BB15" s="189">
        <f t="shared" si="15"/>
        <v>0</v>
      </c>
      <c r="BC15" s="189">
        <f t="shared" si="16"/>
        <v>0</v>
      </c>
      <c r="BD15" s="189">
        <f t="shared" si="17"/>
        <v>0</v>
      </c>
      <c r="BE15" s="189">
        <f t="shared" si="18"/>
        <v>0</v>
      </c>
      <c r="BF15" s="189">
        <f t="shared" si="19"/>
        <v>0</v>
      </c>
      <c r="BG15" s="189">
        <f t="shared" si="20"/>
        <v>0</v>
      </c>
      <c r="BH15" s="189">
        <f t="shared" si="21"/>
        <v>0</v>
      </c>
      <c r="BI15" s="189">
        <f t="shared" si="22"/>
        <v>0</v>
      </c>
      <c r="BJ15" s="189">
        <f t="shared" si="23"/>
        <v>0</v>
      </c>
      <c r="BK15" s="189">
        <f t="shared" si="24"/>
        <v>0</v>
      </c>
      <c r="BL15" s="189">
        <f t="shared" si="25"/>
        <v>0</v>
      </c>
      <c r="BM15" s="189">
        <f t="shared" si="26"/>
        <v>0</v>
      </c>
      <c r="BN15" s="258">
        <v>13000</v>
      </c>
      <c r="BO15" s="258">
        <f>+AL15*2500</f>
        <v>0</v>
      </c>
      <c r="BP15" s="71">
        <f t="shared" si="44"/>
        <v>15000</v>
      </c>
      <c r="BQ15" s="112">
        <f>+AN15*3000</f>
        <v>0</v>
      </c>
      <c r="BR15" s="112">
        <f t="shared" si="27"/>
        <v>12000</v>
      </c>
      <c r="BS15" s="112">
        <f>+AP15*8000</f>
        <v>0</v>
      </c>
      <c r="BT15" s="112">
        <f t="shared" si="45"/>
        <v>0</v>
      </c>
      <c r="BU15" s="112">
        <f t="shared" si="46"/>
        <v>0</v>
      </c>
      <c r="BV15" s="112">
        <f>+AS15*3000</f>
        <v>0</v>
      </c>
      <c r="BW15" s="112">
        <f>+AT15*8000</f>
        <v>0</v>
      </c>
      <c r="BX15" s="112">
        <f t="shared" si="6"/>
        <v>0</v>
      </c>
      <c r="BY15" s="71">
        <f t="shared" si="30"/>
        <v>0</v>
      </c>
      <c r="BZ15" s="112">
        <f>+AW15*1.5</f>
        <v>0</v>
      </c>
      <c r="CA15" s="189"/>
      <c r="CB15" s="183"/>
      <c r="CC15" s="71">
        <f t="shared" si="32"/>
        <v>208</v>
      </c>
      <c r="CD15" s="71">
        <f>+AI15*12+31.2</f>
        <v>311.99999999999994</v>
      </c>
      <c r="CE15" s="71">
        <f t="shared" si="33"/>
        <v>273</v>
      </c>
      <c r="CF15" s="71">
        <f t="shared" si="34"/>
        <v>793</v>
      </c>
      <c r="CG15" s="71">
        <f t="shared" si="35"/>
        <v>1105793</v>
      </c>
      <c r="CH15" s="166">
        <f t="shared" si="36"/>
        <v>27000</v>
      </c>
      <c r="CI15" s="259">
        <f t="shared" si="37"/>
        <v>1078000</v>
      </c>
      <c r="CJ15" s="79"/>
      <c r="CK15" s="78"/>
      <c r="CL15" s="153"/>
      <c r="CM15" s="147"/>
      <c r="CN15" s="174"/>
      <c r="CO15" s="175"/>
      <c r="CP15" s="174"/>
      <c r="CQ15" s="79"/>
      <c r="CR15" s="297" t="str">
        <f t="shared" si="38"/>
        <v xml:space="preserve">HUMBERTO LUNA </v>
      </c>
      <c r="CS15" s="310" t="str">
        <f>+'SEMANA DEL 2 AL 7-3-26'!CS15</f>
        <v>V-25.344.223</v>
      </c>
      <c r="CT15" s="304">
        <f t="shared" ref="CT15:CT45" si="47">+BN15</f>
        <v>13000</v>
      </c>
      <c r="CU15" s="304">
        <f t="shared" ref="CU15:CU45" si="48">+AW15</f>
        <v>0</v>
      </c>
      <c r="CV15" s="304">
        <v>650</v>
      </c>
      <c r="CW15" s="305">
        <f t="shared" ref="CW15:CW45" si="49">+CV15*230</f>
        <v>149500</v>
      </c>
      <c r="CX15" s="305">
        <v>4.7</v>
      </c>
      <c r="CY15" s="304">
        <v>9.4</v>
      </c>
      <c r="CZ15" s="304">
        <f t="shared" ref="CZ15:CZ28" si="50">+CX15*6500+CY15*3500</f>
        <v>63450</v>
      </c>
      <c r="DA15" s="304">
        <f t="shared" si="41"/>
        <v>975000</v>
      </c>
      <c r="DB15" s="306">
        <f t="shared" si="9"/>
        <v>1078000</v>
      </c>
      <c r="DC15" s="321">
        <f t="shared" si="10"/>
        <v>1290950</v>
      </c>
    </row>
    <row r="16" spans="1:107" ht="18" customHeight="1" x14ac:dyDescent="0.25">
      <c r="A16" s="355" t="str">
        <f>+'SEMANA DEL 2 AL 7-3-26'!A16</f>
        <v>JOSE EBLAN GIRON</v>
      </c>
      <c r="B16" s="356">
        <f>+'SEMANA DEL 2 AL 7-3-26'!AX16</f>
        <v>1.2000000000000002</v>
      </c>
      <c r="C16" s="356">
        <f>+'SEMANA DEL 2 AL 7-3-26'!AY16</f>
        <v>2.1599999999999993</v>
      </c>
      <c r="D16" s="356">
        <f>+'SEMANA DEL 2 AL 7-3-26'!AZ16</f>
        <v>8.3999999999999986</v>
      </c>
      <c r="E16" s="356">
        <f>+'SEMANA DEL 2 AL 7-3-26'!BA16</f>
        <v>2</v>
      </c>
      <c r="F16" s="356">
        <f>+'SEMANA DEL 2 AL 7-3-26'!BB16</f>
        <v>0</v>
      </c>
      <c r="G16" s="356">
        <f>+'SEMANA DEL 2 AL 7-3-26'!BC16</f>
        <v>0</v>
      </c>
      <c r="H16" s="356">
        <f>+'SEMANA DEL 2 AL 7-3-26'!BD16</f>
        <v>0</v>
      </c>
      <c r="I16" s="356">
        <f>+'SEMANA DEL 2 AL 7-3-26'!BE16</f>
        <v>1</v>
      </c>
      <c r="J16" s="356">
        <f>+'SEMANA DEL 2 AL 7-3-26'!BF16</f>
        <v>0</v>
      </c>
      <c r="K16" s="356">
        <f>+'SEMANA DEL 2 AL 7-3-26'!BG16</f>
        <v>0</v>
      </c>
      <c r="L16" s="356">
        <f>+'SEMANA DEL 2 AL 7-3-26'!BH16</f>
        <v>0</v>
      </c>
      <c r="M16" s="356">
        <f>+'SEMANA DEL 2 AL 7-3-26'!BI16</f>
        <v>0</v>
      </c>
      <c r="N16" s="356">
        <f>+'SEMANA DEL 2 AL 7-3-26'!BJ16</f>
        <v>0</v>
      </c>
      <c r="O16" s="356">
        <f>+'SEMANA DEL 2 AL 7-3-26'!BK16</f>
        <v>0</v>
      </c>
      <c r="P16" s="356">
        <f>+'SEMANA DEL 2 AL 7-3-26'!BL16</f>
        <v>0</v>
      </c>
      <c r="Q16" s="356">
        <f>+'SEMANA DEL 2 AL 7-3-26'!BM16</f>
        <v>0</v>
      </c>
      <c r="R16" s="357">
        <v>4</v>
      </c>
      <c r="S16" s="357">
        <v>7.2</v>
      </c>
      <c r="T16" s="357">
        <v>28</v>
      </c>
      <c r="U16" s="357">
        <v>3</v>
      </c>
      <c r="V16" s="289"/>
      <c r="W16" s="190">
        <v>0.25</v>
      </c>
      <c r="X16" s="190"/>
      <c r="Y16" s="190">
        <v>1</v>
      </c>
      <c r="Z16" s="190"/>
      <c r="AA16" s="190"/>
      <c r="AB16" s="190"/>
      <c r="AC16" s="190"/>
      <c r="AD16" s="289"/>
      <c r="AE16" s="289"/>
      <c r="AF16" s="289"/>
      <c r="AG16" s="289"/>
      <c r="AH16" s="289">
        <v>4.5</v>
      </c>
      <c r="AI16" s="289">
        <v>8.1</v>
      </c>
      <c r="AJ16" s="289">
        <v>31.5</v>
      </c>
      <c r="AK16" s="289">
        <v>4</v>
      </c>
      <c r="AL16" s="289"/>
      <c r="AM16" s="190">
        <v>0.25</v>
      </c>
      <c r="AN16" s="190"/>
      <c r="AO16" s="190">
        <v>1</v>
      </c>
      <c r="AP16" s="183"/>
      <c r="AQ16" s="183"/>
      <c r="AR16" s="183"/>
      <c r="AS16" s="113"/>
      <c r="AT16" s="113"/>
      <c r="AU16" s="190"/>
      <c r="AV16" s="190"/>
      <c r="AW16" s="189"/>
      <c r="AX16" s="189">
        <f t="shared" si="11"/>
        <v>0.70000000000000018</v>
      </c>
      <c r="AY16" s="189">
        <f t="shared" si="12"/>
        <v>1.2599999999999998</v>
      </c>
      <c r="AZ16" s="189">
        <f t="shared" si="13"/>
        <v>4.8999999999999986</v>
      </c>
      <c r="BA16" s="189">
        <f t="shared" si="14"/>
        <v>1</v>
      </c>
      <c r="BB16" s="189">
        <f t="shared" si="15"/>
        <v>0</v>
      </c>
      <c r="BC16" s="189">
        <f t="shared" si="16"/>
        <v>0</v>
      </c>
      <c r="BD16" s="189">
        <f t="shared" si="17"/>
        <v>0</v>
      </c>
      <c r="BE16" s="189">
        <f t="shared" si="18"/>
        <v>1</v>
      </c>
      <c r="BF16" s="189">
        <f t="shared" si="19"/>
        <v>0</v>
      </c>
      <c r="BG16" s="189">
        <f t="shared" si="20"/>
        <v>0</v>
      </c>
      <c r="BH16" s="189">
        <f t="shared" si="21"/>
        <v>0</v>
      </c>
      <c r="BI16" s="189">
        <f t="shared" si="22"/>
        <v>0</v>
      </c>
      <c r="BJ16" s="189">
        <f t="shared" si="23"/>
        <v>0</v>
      </c>
      <c r="BK16" s="189">
        <f t="shared" si="24"/>
        <v>0</v>
      </c>
      <c r="BL16" s="189">
        <f t="shared" si="25"/>
        <v>0</v>
      </c>
      <c r="BM16" s="189">
        <f t="shared" si="26"/>
        <v>0</v>
      </c>
      <c r="BN16" s="258">
        <v>4500</v>
      </c>
      <c r="BO16" s="258">
        <f>+AL16*2500</f>
        <v>0</v>
      </c>
      <c r="BP16" s="71">
        <f t="shared" si="44"/>
        <v>15000</v>
      </c>
      <c r="BQ16" s="112">
        <f>+AN16*3000</f>
        <v>0</v>
      </c>
      <c r="BR16" s="112">
        <f t="shared" si="27"/>
        <v>6000</v>
      </c>
      <c r="BS16" s="112">
        <f>+AP16*8000</f>
        <v>0</v>
      </c>
      <c r="BT16" s="112">
        <f t="shared" si="45"/>
        <v>0</v>
      </c>
      <c r="BU16" s="112">
        <f t="shared" si="46"/>
        <v>0</v>
      </c>
      <c r="BV16" s="112">
        <f>+AS16*3000</f>
        <v>0</v>
      </c>
      <c r="BW16" s="112">
        <f>+AT16*8000</f>
        <v>0</v>
      </c>
      <c r="BX16" s="112">
        <f t="shared" si="6"/>
        <v>0</v>
      </c>
      <c r="BY16" s="71">
        <f t="shared" si="30"/>
        <v>0</v>
      </c>
      <c r="BZ16" s="112">
        <f>+AW16*1.5</f>
        <v>0</v>
      </c>
      <c r="CA16" s="189"/>
      <c r="CB16" s="183"/>
      <c r="CC16" s="71">
        <f t="shared" si="32"/>
        <v>72</v>
      </c>
      <c r="CD16" s="71">
        <f>+AI16*12+10.8</f>
        <v>107.99999999999999</v>
      </c>
      <c r="CE16" s="71">
        <f t="shared" si="33"/>
        <v>94.5</v>
      </c>
      <c r="CF16" s="71">
        <f t="shared" si="34"/>
        <v>274.5</v>
      </c>
      <c r="CG16" s="71">
        <f t="shared" si="35"/>
        <v>382774.5</v>
      </c>
      <c r="CH16" s="166">
        <f t="shared" si="36"/>
        <v>21000</v>
      </c>
      <c r="CI16" s="259">
        <f t="shared" si="37"/>
        <v>361500</v>
      </c>
      <c r="CJ16" s="79"/>
      <c r="CK16" s="78"/>
      <c r="CL16" s="153"/>
      <c r="CM16" s="147"/>
      <c r="CN16" s="174"/>
      <c r="CO16" s="175"/>
      <c r="CP16" s="174"/>
      <c r="CQ16" s="79"/>
      <c r="CR16" s="297" t="str">
        <f t="shared" si="38"/>
        <v>JOSE EBLAN GIRON</v>
      </c>
      <c r="CS16" s="310" t="str">
        <f>+'SEMANA DEL 2 AL 7-3-26'!CS16</f>
        <v>V-9.130.173</v>
      </c>
      <c r="CT16" s="304">
        <f t="shared" si="47"/>
        <v>4500</v>
      </c>
      <c r="CU16" s="304">
        <f t="shared" si="48"/>
        <v>0</v>
      </c>
      <c r="CV16" s="304"/>
      <c r="CW16" s="305">
        <f t="shared" si="49"/>
        <v>0</v>
      </c>
      <c r="CX16" s="305">
        <v>4</v>
      </c>
      <c r="CY16" s="304">
        <v>4.2</v>
      </c>
      <c r="CZ16" s="304">
        <f t="shared" si="50"/>
        <v>40700</v>
      </c>
      <c r="DA16" s="304">
        <f t="shared" si="41"/>
        <v>337500</v>
      </c>
      <c r="DB16" s="306">
        <f t="shared" si="9"/>
        <v>361500</v>
      </c>
      <c r="DC16" s="321">
        <f t="shared" si="10"/>
        <v>402200</v>
      </c>
    </row>
    <row r="17" spans="1:107" ht="18" customHeight="1" x14ac:dyDescent="0.25">
      <c r="A17" s="355" t="str">
        <f>+'SEMANA DEL 2 AL 7-3-26'!A17</f>
        <v xml:space="preserve">JOSE JURADO </v>
      </c>
      <c r="B17" s="356">
        <f>+'SEMANA DEL 2 AL 7-3-26'!AX17</f>
        <v>0</v>
      </c>
      <c r="C17" s="356">
        <f>+'SEMANA DEL 2 AL 7-3-26'!AY17</f>
        <v>0</v>
      </c>
      <c r="D17" s="356">
        <f>+'SEMANA DEL 2 AL 7-3-26'!AZ17</f>
        <v>0</v>
      </c>
      <c r="E17" s="356">
        <f>+'SEMANA DEL 2 AL 7-3-26'!BA17</f>
        <v>0</v>
      </c>
      <c r="F17" s="356">
        <f>+'SEMANA DEL 2 AL 7-3-26'!BB17</f>
        <v>0</v>
      </c>
      <c r="G17" s="356">
        <f>+'SEMANA DEL 2 AL 7-3-26'!BC17</f>
        <v>0</v>
      </c>
      <c r="H17" s="356">
        <f>+'SEMANA DEL 2 AL 7-3-26'!BD17</f>
        <v>0</v>
      </c>
      <c r="I17" s="356">
        <f>+'SEMANA DEL 2 AL 7-3-26'!BE17</f>
        <v>0</v>
      </c>
      <c r="J17" s="356">
        <f>+'SEMANA DEL 2 AL 7-3-26'!BF17</f>
        <v>0</v>
      </c>
      <c r="K17" s="356">
        <f>+'SEMANA DEL 2 AL 7-3-26'!BG17</f>
        <v>0</v>
      </c>
      <c r="L17" s="356">
        <f>+'SEMANA DEL 2 AL 7-3-26'!BH17</f>
        <v>0</v>
      </c>
      <c r="M17" s="356">
        <f>+'SEMANA DEL 2 AL 7-3-26'!BI17</f>
        <v>0</v>
      </c>
      <c r="N17" s="356">
        <f>+'SEMANA DEL 2 AL 7-3-26'!BJ17</f>
        <v>0</v>
      </c>
      <c r="O17" s="356">
        <f>+'SEMANA DEL 2 AL 7-3-26'!BK17</f>
        <v>0</v>
      </c>
      <c r="P17" s="356">
        <f>+'SEMANA DEL 2 AL 7-3-26'!BL17</f>
        <v>0</v>
      </c>
      <c r="Q17" s="356">
        <f>+'SEMANA DEL 2 AL 7-3-26'!BM17</f>
        <v>0</v>
      </c>
      <c r="R17" s="357">
        <v>5</v>
      </c>
      <c r="S17" s="357">
        <v>9</v>
      </c>
      <c r="T17" s="357">
        <v>35</v>
      </c>
      <c r="U17" s="357">
        <v>4</v>
      </c>
      <c r="V17" s="289"/>
      <c r="W17" s="190"/>
      <c r="X17" s="190"/>
      <c r="Y17" s="190"/>
      <c r="Z17" s="190"/>
      <c r="AA17" s="190"/>
      <c r="AB17" s="190"/>
      <c r="AC17" s="190"/>
      <c r="AD17" s="289"/>
      <c r="AE17" s="289"/>
      <c r="AF17" s="289"/>
      <c r="AG17" s="298"/>
      <c r="AH17" s="357">
        <v>5</v>
      </c>
      <c r="AI17" s="357">
        <v>9</v>
      </c>
      <c r="AJ17" s="357">
        <v>35</v>
      </c>
      <c r="AK17" s="357">
        <v>4</v>
      </c>
      <c r="AL17" s="289"/>
      <c r="AM17" s="190"/>
      <c r="AN17" s="289"/>
      <c r="AO17" s="289"/>
      <c r="AP17" s="183"/>
      <c r="AQ17" s="183"/>
      <c r="AR17" s="183"/>
      <c r="AS17" s="113"/>
      <c r="AT17" s="113"/>
      <c r="AU17" s="190"/>
      <c r="AV17" s="190"/>
      <c r="AW17" s="189"/>
      <c r="AX17" s="189">
        <f t="shared" si="11"/>
        <v>0</v>
      </c>
      <c r="AY17" s="189">
        <f t="shared" si="12"/>
        <v>0</v>
      </c>
      <c r="AZ17" s="189">
        <f t="shared" si="13"/>
        <v>0</v>
      </c>
      <c r="BA17" s="189">
        <f t="shared" si="14"/>
        <v>0</v>
      </c>
      <c r="BB17" s="189">
        <f t="shared" si="15"/>
        <v>0</v>
      </c>
      <c r="BC17" s="189">
        <f t="shared" si="16"/>
        <v>0</v>
      </c>
      <c r="BD17" s="189">
        <f t="shared" si="17"/>
        <v>0</v>
      </c>
      <c r="BE17" s="189">
        <f t="shared" si="18"/>
        <v>0</v>
      </c>
      <c r="BF17" s="189">
        <f t="shared" si="19"/>
        <v>0</v>
      </c>
      <c r="BG17" s="189">
        <f t="shared" si="20"/>
        <v>0</v>
      </c>
      <c r="BH17" s="189">
        <f t="shared" si="21"/>
        <v>0</v>
      </c>
      <c r="BI17" s="189">
        <f t="shared" si="22"/>
        <v>0</v>
      </c>
      <c r="BJ17" s="189">
        <f t="shared" si="23"/>
        <v>0</v>
      </c>
      <c r="BK17" s="189">
        <f t="shared" si="24"/>
        <v>0</v>
      </c>
      <c r="BL17" s="189">
        <f t="shared" si="25"/>
        <v>0</v>
      </c>
      <c r="BM17" s="189">
        <f t="shared" si="26"/>
        <v>0</v>
      </c>
      <c r="BN17" s="258">
        <v>5000</v>
      </c>
      <c r="BO17" s="258">
        <f t="shared" si="1"/>
        <v>0</v>
      </c>
      <c r="BP17" s="71">
        <f t="shared" si="44"/>
        <v>0</v>
      </c>
      <c r="BQ17" s="112">
        <f t="shared" si="3"/>
        <v>0</v>
      </c>
      <c r="BR17" s="112">
        <f t="shared" si="27"/>
        <v>0</v>
      </c>
      <c r="BS17" s="112">
        <f t="shared" si="28"/>
        <v>0</v>
      </c>
      <c r="BT17" s="112">
        <f t="shared" si="45"/>
        <v>0</v>
      </c>
      <c r="BU17" s="112">
        <f t="shared" si="46"/>
        <v>0</v>
      </c>
      <c r="BV17" s="112">
        <f t="shared" si="29"/>
        <v>0</v>
      </c>
      <c r="BW17" s="112">
        <f t="shared" si="43"/>
        <v>0</v>
      </c>
      <c r="BX17" s="112">
        <f t="shared" si="6"/>
        <v>0</v>
      </c>
      <c r="BY17" s="71">
        <f t="shared" si="30"/>
        <v>0</v>
      </c>
      <c r="BZ17" s="112">
        <f t="shared" si="31"/>
        <v>0</v>
      </c>
      <c r="CA17" s="189"/>
      <c r="CB17" s="183"/>
      <c r="CC17" s="71">
        <f t="shared" si="32"/>
        <v>80</v>
      </c>
      <c r="CD17" s="71">
        <f>+AI17*12+12</f>
        <v>120</v>
      </c>
      <c r="CE17" s="71">
        <f t="shared" si="33"/>
        <v>105</v>
      </c>
      <c r="CF17" s="71">
        <f t="shared" si="34"/>
        <v>305</v>
      </c>
      <c r="CG17" s="71">
        <f t="shared" si="35"/>
        <v>425305</v>
      </c>
      <c r="CH17" s="166">
        <f t="shared" si="36"/>
        <v>0</v>
      </c>
      <c r="CI17" s="259">
        <f t="shared" si="37"/>
        <v>425000</v>
      </c>
      <c r="CJ17" s="79"/>
      <c r="CK17" s="78"/>
      <c r="CL17" s="153"/>
      <c r="CM17" s="147"/>
      <c r="CN17" s="174"/>
      <c r="CO17" s="175"/>
      <c r="CP17" s="174"/>
      <c r="CQ17" s="79"/>
      <c r="CR17" s="297" t="str">
        <f t="shared" si="38"/>
        <v xml:space="preserve">JOSE JURADO </v>
      </c>
      <c r="CS17" s="310" t="str">
        <f>+'SEMANA DEL 2 AL 7-3-26'!CS17</f>
        <v>V-8.986.394</v>
      </c>
      <c r="CT17" s="304">
        <f t="shared" si="47"/>
        <v>5000</v>
      </c>
      <c r="CU17" s="304">
        <f t="shared" si="48"/>
        <v>0</v>
      </c>
      <c r="CV17" s="304"/>
      <c r="CW17" s="305">
        <f t="shared" si="49"/>
        <v>0</v>
      </c>
      <c r="CX17" s="305">
        <v>0</v>
      </c>
      <c r="CY17" s="304">
        <v>4.3</v>
      </c>
      <c r="CZ17" s="304">
        <f t="shared" si="50"/>
        <v>15050</v>
      </c>
      <c r="DA17" s="304">
        <f t="shared" si="41"/>
        <v>375000</v>
      </c>
      <c r="DB17" s="306">
        <f t="shared" si="9"/>
        <v>425000</v>
      </c>
      <c r="DC17" s="321">
        <f t="shared" si="10"/>
        <v>440050</v>
      </c>
    </row>
    <row r="18" spans="1:107" ht="18" customHeight="1" x14ac:dyDescent="0.25">
      <c r="A18" s="355" t="str">
        <f>+'SEMANA DEL 2 AL 7-3-26'!A18</f>
        <v xml:space="preserve">KARINA SILVA </v>
      </c>
      <c r="B18" s="356">
        <f>+'SEMANA DEL 2 AL 7-3-26'!AX18</f>
        <v>0.29999999999999982</v>
      </c>
      <c r="C18" s="356">
        <f>+'SEMANA DEL 2 AL 7-3-26'!AY18</f>
        <v>0.54000000000000092</v>
      </c>
      <c r="D18" s="356">
        <f>+'SEMANA DEL 2 AL 7-3-26'!AZ18</f>
        <v>9.4500000000000028</v>
      </c>
      <c r="E18" s="356">
        <f>+'SEMANA DEL 2 AL 7-3-26'!BA18</f>
        <v>0</v>
      </c>
      <c r="F18" s="356">
        <f>+'SEMANA DEL 2 AL 7-3-26'!BB18</f>
        <v>0</v>
      </c>
      <c r="G18" s="356">
        <f>+'SEMANA DEL 2 AL 7-3-26'!BC18</f>
        <v>0</v>
      </c>
      <c r="H18" s="356">
        <f>+'SEMANA DEL 2 AL 7-3-26'!BD18</f>
        <v>0</v>
      </c>
      <c r="I18" s="356">
        <f>+'SEMANA DEL 2 AL 7-3-26'!BE18</f>
        <v>0</v>
      </c>
      <c r="J18" s="356">
        <f>+'SEMANA DEL 2 AL 7-3-26'!BF18</f>
        <v>0</v>
      </c>
      <c r="K18" s="356">
        <f>+'SEMANA DEL 2 AL 7-3-26'!BG18</f>
        <v>0</v>
      </c>
      <c r="L18" s="356">
        <f>+'SEMANA DEL 2 AL 7-3-26'!BH18</f>
        <v>0</v>
      </c>
      <c r="M18" s="356">
        <f>+'SEMANA DEL 2 AL 7-3-26'!BI18</f>
        <v>0</v>
      </c>
      <c r="N18" s="356">
        <f>+'SEMANA DEL 2 AL 7-3-26'!BJ18</f>
        <v>0</v>
      </c>
      <c r="O18" s="356">
        <f>+'SEMANA DEL 2 AL 7-3-26'!BK18</f>
        <v>0</v>
      </c>
      <c r="P18" s="356">
        <f>+'SEMANA DEL 2 AL 7-3-26'!BL18</f>
        <v>0</v>
      </c>
      <c r="Q18" s="356">
        <f>+'SEMANA DEL 2 AL 7-3-26'!BM18</f>
        <v>0</v>
      </c>
      <c r="R18" s="357">
        <v>5</v>
      </c>
      <c r="S18" s="357">
        <v>9</v>
      </c>
      <c r="T18" s="357">
        <v>35</v>
      </c>
      <c r="U18" s="357">
        <v>4</v>
      </c>
      <c r="V18" s="289"/>
      <c r="W18" s="190"/>
      <c r="X18" s="190"/>
      <c r="Y18" s="190"/>
      <c r="Z18" s="190"/>
      <c r="AA18" s="190"/>
      <c r="AB18" s="190"/>
      <c r="AC18" s="190"/>
      <c r="AD18" s="289"/>
      <c r="AE18" s="289"/>
      <c r="AF18" s="289"/>
      <c r="AG18" s="298"/>
      <c r="AH18" s="289">
        <v>5.05</v>
      </c>
      <c r="AI18" s="289">
        <v>9.09</v>
      </c>
      <c r="AJ18" s="289">
        <v>35.35</v>
      </c>
      <c r="AK18" s="289">
        <v>4</v>
      </c>
      <c r="AL18" s="299"/>
      <c r="AM18" s="183"/>
      <c r="AN18" s="289"/>
      <c r="AO18" s="289"/>
      <c r="AP18" s="183"/>
      <c r="AQ18" s="183"/>
      <c r="AR18" s="183"/>
      <c r="AS18" s="113"/>
      <c r="AT18" s="113"/>
      <c r="AU18" s="190"/>
      <c r="AV18" s="190"/>
      <c r="AW18" s="189"/>
      <c r="AX18" s="189">
        <f t="shared" si="11"/>
        <v>0.25</v>
      </c>
      <c r="AY18" s="189">
        <f t="shared" si="12"/>
        <v>0.45000000000000107</v>
      </c>
      <c r="AZ18" s="189">
        <f t="shared" si="13"/>
        <v>9.1000000000000014</v>
      </c>
      <c r="BA18" s="189">
        <f t="shared" si="14"/>
        <v>0</v>
      </c>
      <c r="BB18" s="189">
        <f t="shared" si="15"/>
        <v>0</v>
      </c>
      <c r="BC18" s="189">
        <f t="shared" si="16"/>
        <v>0</v>
      </c>
      <c r="BD18" s="189">
        <f t="shared" si="17"/>
        <v>0</v>
      </c>
      <c r="BE18" s="189">
        <f t="shared" si="18"/>
        <v>0</v>
      </c>
      <c r="BF18" s="189">
        <f t="shared" si="19"/>
        <v>0</v>
      </c>
      <c r="BG18" s="189">
        <f t="shared" si="20"/>
        <v>0</v>
      </c>
      <c r="BH18" s="189">
        <f t="shared" si="21"/>
        <v>0</v>
      </c>
      <c r="BI18" s="189">
        <f t="shared" si="22"/>
        <v>0</v>
      </c>
      <c r="BJ18" s="189">
        <f t="shared" si="23"/>
        <v>0</v>
      </c>
      <c r="BK18" s="189">
        <f t="shared" si="24"/>
        <v>0</v>
      </c>
      <c r="BL18" s="189">
        <f t="shared" si="25"/>
        <v>0</v>
      </c>
      <c r="BM18" s="189">
        <f t="shared" si="26"/>
        <v>0</v>
      </c>
      <c r="BN18" s="258">
        <v>5050</v>
      </c>
      <c r="BO18" s="258">
        <f>+AL18*2500</f>
        <v>0</v>
      </c>
      <c r="BP18" s="71">
        <f t="shared" si="44"/>
        <v>0</v>
      </c>
      <c r="BQ18" s="112">
        <f>+AN18*3000</f>
        <v>0</v>
      </c>
      <c r="BR18" s="112">
        <f t="shared" si="27"/>
        <v>0</v>
      </c>
      <c r="BS18" s="112">
        <f>+AP18*8000</f>
        <v>0</v>
      </c>
      <c r="BT18" s="112">
        <f t="shared" si="45"/>
        <v>0</v>
      </c>
      <c r="BU18" s="112">
        <f t="shared" si="46"/>
        <v>0</v>
      </c>
      <c r="BV18" s="112">
        <f>+AS18*3000</f>
        <v>0</v>
      </c>
      <c r="BW18" s="112">
        <f>+AT18*8000</f>
        <v>0</v>
      </c>
      <c r="BX18" s="112">
        <f t="shared" si="6"/>
        <v>0</v>
      </c>
      <c r="BY18" s="71">
        <f t="shared" si="30"/>
        <v>0</v>
      </c>
      <c r="BZ18" s="112">
        <f>+AW18*1.5</f>
        <v>0</v>
      </c>
      <c r="CA18" s="189"/>
      <c r="CB18" s="183"/>
      <c r="CC18" s="71">
        <f t="shared" si="32"/>
        <v>80.8</v>
      </c>
      <c r="CD18" s="71">
        <f>+AI18*12+12.12</f>
        <v>121.2</v>
      </c>
      <c r="CE18" s="71">
        <f t="shared" si="33"/>
        <v>106.05000000000001</v>
      </c>
      <c r="CF18" s="71">
        <f t="shared" si="34"/>
        <v>308.05</v>
      </c>
      <c r="CG18" s="71">
        <f t="shared" si="35"/>
        <v>429558.05</v>
      </c>
      <c r="CH18" s="166">
        <f t="shared" si="36"/>
        <v>0</v>
      </c>
      <c r="CI18" s="259">
        <f t="shared" si="37"/>
        <v>429250</v>
      </c>
      <c r="CJ18" s="79"/>
      <c r="CK18" s="78"/>
      <c r="CL18" s="153"/>
      <c r="CM18" s="147"/>
      <c r="CN18" s="174"/>
      <c r="CO18" s="175"/>
      <c r="CP18" s="174"/>
      <c r="CQ18" s="79"/>
      <c r="CR18" s="297" t="str">
        <f t="shared" si="38"/>
        <v xml:space="preserve">KARINA SILVA </v>
      </c>
      <c r="CS18" s="310" t="str">
        <f>+'SEMANA DEL 2 AL 7-3-26'!CS18</f>
        <v>V-17.465.799</v>
      </c>
      <c r="CT18" s="304">
        <f t="shared" si="47"/>
        <v>5050</v>
      </c>
      <c r="CU18" s="304">
        <f t="shared" si="48"/>
        <v>0</v>
      </c>
      <c r="CV18" s="304"/>
      <c r="CW18" s="305">
        <f t="shared" si="49"/>
        <v>0</v>
      </c>
      <c r="CX18" s="305">
        <v>5.8</v>
      </c>
      <c r="CY18" s="304">
        <v>4.7</v>
      </c>
      <c r="CZ18" s="304">
        <f t="shared" si="50"/>
        <v>54150</v>
      </c>
      <c r="DA18" s="304">
        <f t="shared" si="41"/>
        <v>378750</v>
      </c>
      <c r="DB18" s="306">
        <f t="shared" si="9"/>
        <v>429250</v>
      </c>
      <c r="DC18" s="321">
        <f t="shared" si="10"/>
        <v>483400</v>
      </c>
    </row>
    <row r="19" spans="1:107" ht="18" customHeight="1" x14ac:dyDescent="0.25">
      <c r="A19" s="355" t="str">
        <f>+'SEMANA DEL 2 AL 7-3-26'!A19</f>
        <v>LUZ MERY ABAUNZA</v>
      </c>
      <c r="B19" s="356">
        <f>+'SEMANA DEL 2 AL 7-3-26'!AX19</f>
        <v>0</v>
      </c>
      <c r="C19" s="356">
        <f>+'SEMANA DEL 2 AL 7-3-26'!AY19</f>
        <v>0</v>
      </c>
      <c r="D19" s="356">
        <f>+'SEMANA DEL 2 AL 7-3-26'!AZ19</f>
        <v>0</v>
      </c>
      <c r="E19" s="356">
        <f>+'SEMANA DEL 2 AL 7-3-26'!BA19</f>
        <v>0</v>
      </c>
      <c r="F19" s="356">
        <f>+'SEMANA DEL 2 AL 7-3-26'!BB19</f>
        <v>0</v>
      </c>
      <c r="G19" s="356">
        <f>+'SEMANA DEL 2 AL 7-3-26'!BC19</f>
        <v>0</v>
      </c>
      <c r="H19" s="356">
        <f>+'SEMANA DEL 2 AL 7-3-26'!BD19</f>
        <v>0</v>
      </c>
      <c r="I19" s="356">
        <f>+'SEMANA DEL 2 AL 7-3-26'!BE19</f>
        <v>0</v>
      </c>
      <c r="J19" s="356">
        <f>+'SEMANA DEL 2 AL 7-3-26'!BF19</f>
        <v>0</v>
      </c>
      <c r="K19" s="356">
        <f>+'SEMANA DEL 2 AL 7-3-26'!BG19</f>
        <v>0</v>
      </c>
      <c r="L19" s="356">
        <f>+'SEMANA DEL 2 AL 7-3-26'!BH19</f>
        <v>0</v>
      </c>
      <c r="M19" s="356">
        <f>+'SEMANA DEL 2 AL 7-3-26'!BI19</f>
        <v>0</v>
      </c>
      <c r="N19" s="356">
        <f>+'SEMANA DEL 2 AL 7-3-26'!BJ19</f>
        <v>0</v>
      </c>
      <c r="O19" s="356">
        <f>+'SEMANA DEL 2 AL 7-3-26'!BK19</f>
        <v>0</v>
      </c>
      <c r="P19" s="356">
        <f>+'SEMANA DEL 2 AL 7-3-26'!BL19</f>
        <v>0</v>
      </c>
      <c r="Q19" s="356">
        <f>+'SEMANA DEL 2 AL 7-3-26'!BM19</f>
        <v>0</v>
      </c>
      <c r="R19" s="357">
        <v>5</v>
      </c>
      <c r="S19" s="357">
        <v>9</v>
      </c>
      <c r="T19" s="357">
        <v>35</v>
      </c>
      <c r="U19" s="357">
        <v>4</v>
      </c>
      <c r="V19" s="289"/>
      <c r="W19" s="190"/>
      <c r="X19" s="190"/>
      <c r="Y19" s="190"/>
      <c r="Z19" s="190"/>
      <c r="AA19" s="190"/>
      <c r="AB19" s="190"/>
      <c r="AC19" s="190"/>
      <c r="AD19" s="289"/>
      <c r="AE19" s="289"/>
      <c r="AF19" s="289"/>
      <c r="AG19" s="298"/>
      <c r="AH19" s="357">
        <v>5</v>
      </c>
      <c r="AI19" s="357">
        <v>9</v>
      </c>
      <c r="AJ19" s="357">
        <v>35</v>
      </c>
      <c r="AK19" s="357">
        <v>4</v>
      </c>
      <c r="AL19" s="299"/>
      <c r="AM19" s="183"/>
      <c r="AN19" s="289"/>
      <c r="AO19" s="289"/>
      <c r="AP19" s="183"/>
      <c r="AQ19" s="183"/>
      <c r="AR19" s="183"/>
      <c r="AS19" s="113"/>
      <c r="AT19" s="113"/>
      <c r="AU19" s="190"/>
      <c r="AV19" s="190"/>
      <c r="AW19" s="189"/>
      <c r="AX19" s="189">
        <f t="shared" si="11"/>
        <v>0</v>
      </c>
      <c r="AY19" s="189">
        <f t="shared" si="12"/>
        <v>0</v>
      </c>
      <c r="AZ19" s="189">
        <f t="shared" si="13"/>
        <v>0</v>
      </c>
      <c r="BA19" s="189">
        <f t="shared" si="14"/>
        <v>0</v>
      </c>
      <c r="BB19" s="189">
        <f t="shared" si="15"/>
        <v>0</v>
      </c>
      <c r="BC19" s="189">
        <f t="shared" si="16"/>
        <v>0</v>
      </c>
      <c r="BD19" s="189">
        <f t="shared" si="17"/>
        <v>0</v>
      </c>
      <c r="BE19" s="189">
        <f t="shared" si="18"/>
        <v>0</v>
      </c>
      <c r="BF19" s="189">
        <f t="shared" si="19"/>
        <v>0</v>
      </c>
      <c r="BG19" s="189">
        <f t="shared" si="20"/>
        <v>0</v>
      </c>
      <c r="BH19" s="189">
        <f t="shared" si="21"/>
        <v>0</v>
      </c>
      <c r="BI19" s="189">
        <f t="shared" si="22"/>
        <v>0</v>
      </c>
      <c r="BJ19" s="189">
        <f t="shared" si="23"/>
        <v>0</v>
      </c>
      <c r="BK19" s="189">
        <f t="shared" si="24"/>
        <v>0</v>
      </c>
      <c r="BL19" s="189">
        <f t="shared" si="25"/>
        <v>0</v>
      </c>
      <c r="BM19" s="189">
        <f t="shared" si="26"/>
        <v>0</v>
      </c>
      <c r="BN19" s="258">
        <v>5000</v>
      </c>
      <c r="BO19" s="258">
        <f>+AL19*2500</f>
        <v>0</v>
      </c>
      <c r="BP19" s="71">
        <f t="shared" si="44"/>
        <v>0</v>
      </c>
      <c r="BQ19" s="112">
        <f>+AN19*3000</f>
        <v>0</v>
      </c>
      <c r="BR19" s="112">
        <f t="shared" si="27"/>
        <v>0</v>
      </c>
      <c r="BS19" s="112">
        <f>+AP19*8000</f>
        <v>0</v>
      </c>
      <c r="BT19" s="112">
        <f t="shared" si="45"/>
        <v>0</v>
      </c>
      <c r="BU19" s="112">
        <f t="shared" si="46"/>
        <v>0</v>
      </c>
      <c r="BV19" s="112">
        <f>+AS19*3000</f>
        <v>0</v>
      </c>
      <c r="BW19" s="112">
        <f>+AT19*8000</f>
        <v>0</v>
      </c>
      <c r="BX19" s="112">
        <f t="shared" si="6"/>
        <v>0</v>
      </c>
      <c r="BY19" s="71">
        <f t="shared" si="30"/>
        <v>0</v>
      </c>
      <c r="BZ19" s="112">
        <f>+AW19*1.5</f>
        <v>0</v>
      </c>
      <c r="CA19" s="189">
        <v>50000</v>
      </c>
      <c r="CB19" s="183"/>
      <c r="CC19" s="71">
        <f t="shared" si="32"/>
        <v>80</v>
      </c>
      <c r="CD19" s="71">
        <f>+AI19*12+12</f>
        <v>120</v>
      </c>
      <c r="CE19" s="71">
        <f t="shared" si="33"/>
        <v>105</v>
      </c>
      <c r="CF19" s="71">
        <f t="shared" si="34"/>
        <v>305</v>
      </c>
      <c r="CG19" s="71">
        <f t="shared" si="35"/>
        <v>425305</v>
      </c>
      <c r="CH19" s="166">
        <f t="shared" si="36"/>
        <v>50000</v>
      </c>
      <c r="CI19" s="259">
        <f t="shared" si="37"/>
        <v>375000</v>
      </c>
      <c r="CJ19" s="79"/>
      <c r="CK19" s="78"/>
      <c r="CL19" s="153"/>
      <c r="CM19" s="147"/>
      <c r="CN19" s="174"/>
      <c r="CO19" s="175"/>
      <c r="CP19" s="174"/>
      <c r="CQ19" s="79"/>
      <c r="CR19" s="297" t="str">
        <f t="shared" si="38"/>
        <v>LUZ MERY ABAUNZA</v>
      </c>
      <c r="CS19" s="310" t="str">
        <f>+'SEMANA DEL 2 AL 7-3-26'!CS19</f>
        <v>CC-60.407.054</v>
      </c>
      <c r="CT19" s="304">
        <f t="shared" si="47"/>
        <v>5000</v>
      </c>
      <c r="CU19" s="304">
        <f t="shared" si="48"/>
        <v>0</v>
      </c>
      <c r="CV19" s="304">
        <v>1000</v>
      </c>
      <c r="CW19" s="305">
        <f t="shared" si="49"/>
        <v>230000</v>
      </c>
      <c r="CX19" s="305">
        <v>1.8</v>
      </c>
      <c r="CY19" s="304">
        <v>4.4000000000000004</v>
      </c>
      <c r="CZ19" s="304">
        <f t="shared" si="50"/>
        <v>27100</v>
      </c>
      <c r="DA19" s="304">
        <f t="shared" si="41"/>
        <v>375000</v>
      </c>
      <c r="DB19" s="306">
        <f t="shared" si="9"/>
        <v>375000</v>
      </c>
      <c r="DC19" s="321">
        <f t="shared" si="10"/>
        <v>632100</v>
      </c>
    </row>
    <row r="20" spans="1:107" ht="18" customHeight="1" x14ac:dyDescent="0.25">
      <c r="A20" s="355" t="str">
        <f>+'SEMANA DEL 2 AL 7-3-26'!A20</f>
        <v>LUIS ROJAS</v>
      </c>
      <c r="B20" s="356">
        <f>+'SEMANA DEL 2 AL 7-3-26'!AX20</f>
        <v>0</v>
      </c>
      <c r="C20" s="356">
        <f>+'SEMANA DEL 2 AL 7-3-26'!AY20</f>
        <v>0</v>
      </c>
      <c r="D20" s="356">
        <f>+'SEMANA DEL 2 AL 7-3-26'!AZ20</f>
        <v>0</v>
      </c>
      <c r="E20" s="356">
        <f>+'SEMANA DEL 2 AL 7-3-26'!BA20</f>
        <v>0</v>
      </c>
      <c r="F20" s="356">
        <f>+'SEMANA DEL 2 AL 7-3-26'!BB20</f>
        <v>0</v>
      </c>
      <c r="G20" s="356">
        <f>+'SEMANA DEL 2 AL 7-3-26'!BC20</f>
        <v>0</v>
      </c>
      <c r="H20" s="356">
        <f>+'SEMANA DEL 2 AL 7-3-26'!BD20</f>
        <v>0</v>
      </c>
      <c r="I20" s="356">
        <f>+'SEMANA DEL 2 AL 7-3-26'!BE20</f>
        <v>0</v>
      </c>
      <c r="J20" s="356">
        <f>+'SEMANA DEL 2 AL 7-3-26'!BF20</f>
        <v>0</v>
      </c>
      <c r="K20" s="356">
        <f>+'SEMANA DEL 2 AL 7-3-26'!BG20</f>
        <v>0</v>
      </c>
      <c r="L20" s="356">
        <f>+'SEMANA DEL 2 AL 7-3-26'!BH20</f>
        <v>0</v>
      </c>
      <c r="M20" s="356">
        <f>+'SEMANA DEL 2 AL 7-3-26'!BI20</f>
        <v>0</v>
      </c>
      <c r="N20" s="356">
        <f>+'SEMANA DEL 2 AL 7-3-26'!BJ20</f>
        <v>0</v>
      </c>
      <c r="O20" s="356">
        <f>+'SEMANA DEL 2 AL 7-3-26'!BK20</f>
        <v>0</v>
      </c>
      <c r="P20" s="356">
        <f>+'SEMANA DEL 2 AL 7-3-26'!BL20</f>
        <v>0</v>
      </c>
      <c r="Q20" s="356">
        <f>+'SEMANA DEL 2 AL 7-3-26'!BM20</f>
        <v>0</v>
      </c>
      <c r="R20" s="357">
        <v>0</v>
      </c>
      <c r="S20" s="357">
        <v>0</v>
      </c>
      <c r="T20" s="357">
        <v>0</v>
      </c>
      <c r="U20" s="357">
        <v>0</v>
      </c>
      <c r="V20" s="289"/>
      <c r="W20" s="190"/>
      <c r="X20" s="190"/>
      <c r="Y20" s="190"/>
      <c r="Z20" s="190"/>
      <c r="AA20" s="190"/>
      <c r="AB20" s="190"/>
      <c r="AC20" s="190"/>
      <c r="AD20" s="289"/>
      <c r="AE20" s="289"/>
      <c r="AF20" s="289"/>
      <c r="AG20" s="298"/>
      <c r="AH20" s="357"/>
      <c r="AI20" s="357"/>
      <c r="AJ20" s="357"/>
      <c r="AK20" s="357"/>
      <c r="AL20" s="289"/>
      <c r="AM20" s="190"/>
      <c r="AN20" s="190"/>
      <c r="AO20" s="190"/>
      <c r="AP20" s="183"/>
      <c r="AQ20" s="183"/>
      <c r="AR20" s="183"/>
      <c r="AS20" s="113"/>
      <c r="AT20" s="113"/>
      <c r="AU20" s="190"/>
      <c r="AV20" s="190"/>
      <c r="AW20" s="189"/>
      <c r="AX20" s="189">
        <f t="shared" si="11"/>
        <v>0</v>
      </c>
      <c r="AY20" s="189">
        <f t="shared" si="12"/>
        <v>0</v>
      </c>
      <c r="AZ20" s="189">
        <f t="shared" si="13"/>
        <v>0</v>
      </c>
      <c r="BA20" s="189">
        <f t="shared" si="14"/>
        <v>0</v>
      </c>
      <c r="BB20" s="189">
        <f t="shared" si="15"/>
        <v>0</v>
      </c>
      <c r="BC20" s="189">
        <f t="shared" si="16"/>
        <v>0</v>
      </c>
      <c r="BD20" s="189">
        <f t="shared" si="17"/>
        <v>0</v>
      </c>
      <c r="BE20" s="189">
        <f t="shared" si="18"/>
        <v>0</v>
      </c>
      <c r="BF20" s="189">
        <f t="shared" si="19"/>
        <v>0</v>
      </c>
      <c r="BG20" s="189">
        <f t="shared" si="20"/>
        <v>0</v>
      </c>
      <c r="BH20" s="189">
        <f t="shared" si="21"/>
        <v>0</v>
      </c>
      <c r="BI20" s="189">
        <f t="shared" si="22"/>
        <v>0</v>
      </c>
      <c r="BJ20" s="189">
        <f t="shared" si="23"/>
        <v>0</v>
      </c>
      <c r="BK20" s="189">
        <f t="shared" si="24"/>
        <v>0</v>
      </c>
      <c r="BL20" s="189">
        <f t="shared" si="25"/>
        <v>0</v>
      </c>
      <c r="BM20" s="189">
        <f t="shared" si="26"/>
        <v>0</v>
      </c>
      <c r="BN20" s="258"/>
      <c r="BO20" s="258">
        <f t="shared" si="1"/>
        <v>0</v>
      </c>
      <c r="BP20" s="71">
        <f t="shared" si="44"/>
        <v>0</v>
      </c>
      <c r="BQ20" s="112">
        <f t="shared" si="3"/>
        <v>0</v>
      </c>
      <c r="BR20" s="112">
        <f t="shared" si="27"/>
        <v>0</v>
      </c>
      <c r="BS20" s="112">
        <f t="shared" si="28"/>
        <v>0</v>
      </c>
      <c r="BT20" s="112">
        <f t="shared" si="45"/>
        <v>0</v>
      </c>
      <c r="BU20" s="112">
        <f t="shared" si="46"/>
        <v>0</v>
      </c>
      <c r="BV20" s="112">
        <f t="shared" si="29"/>
        <v>0</v>
      </c>
      <c r="BW20" s="112">
        <f t="shared" si="43"/>
        <v>0</v>
      </c>
      <c r="BX20" s="112">
        <f t="shared" si="6"/>
        <v>0</v>
      </c>
      <c r="BY20" s="71">
        <f t="shared" si="30"/>
        <v>0</v>
      </c>
      <c r="BZ20" s="112">
        <f t="shared" si="31"/>
        <v>0</v>
      </c>
      <c r="CA20" s="189"/>
      <c r="CB20" s="183"/>
      <c r="CC20" s="71">
        <f t="shared" si="32"/>
        <v>0</v>
      </c>
      <c r="CD20" s="71">
        <f t="shared" si="42"/>
        <v>0</v>
      </c>
      <c r="CE20" s="71">
        <f t="shared" si="33"/>
        <v>0</v>
      </c>
      <c r="CF20" s="71">
        <f t="shared" si="34"/>
        <v>0</v>
      </c>
      <c r="CG20" s="71">
        <f t="shared" si="35"/>
        <v>0</v>
      </c>
      <c r="CH20" s="166">
        <f t="shared" si="36"/>
        <v>0</v>
      </c>
      <c r="CI20" s="259">
        <f t="shared" si="37"/>
        <v>0</v>
      </c>
      <c r="CJ20" s="79"/>
      <c r="CK20" s="78"/>
      <c r="CL20" s="153"/>
      <c r="CM20" s="147"/>
      <c r="CN20" s="174"/>
      <c r="CO20" s="175"/>
      <c r="CP20" s="174"/>
      <c r="CQ20" s="79"/>
      <c r="CR20" s="297" t="str">
        <f t="shared" si="38"/>
        <v>LUIS ROJAS</v>
      </c>
      <c r="CS20" s="310" t="str">
        <f>+'SEMANA DEL 2 AL 7-3-26'!CS20</f>
        <v>CC.79.336.610</v>
      </c>
      <c r="CT20" s="304">
        <f t="shared" si="47"/>
        <v>0</v>
      </c>
      <c r="CU20" s="304">
        <f t="shared" si="48"/>
        <v>0</v>
      </c>
      <c r="CV20" s="304"/>
      <c r="CW20" s="305">
        <f t="shared" si="49"/>
        <v>0</v>
      </c>
      <c r="CX20" s="305"/>
      <c r="CY20" s="304"/>
      <c r="CZ20" s="304">
        <f t="shared" si="50"/>
        <v>0</v>
      </c>
      <c r="DA20" s="304">
        <f t="shared" si="41"/>
        <v>0</v>
      </c>
      <c r="DB20" s="306">
        <f t="shared" si="9"/>
        <v>0</v>
      </c>
      <c r="DC20" s="321">
        <f t="shared" si="10"/>
        <v>0</v>
      </c>
    </row>
    <row r="21" spans="1:107" ht="18" customHeight="1" x14ac:dyDescent="0.25">
      <c r="A21" s="355" t="str">
        <f>+'SEMANA DEL 2 AL 7-3-26'!A21</f>
        <v xml:space="preserve">LUIS VALDERRAMA </v>
      </c>
      <c r="B21" s="356">
        <f>+'SEMANA DEL 2 AL 7-3-26'!AX21</f>
        <v>0</v>
      </c>
      <c r="C21" s="356">
        <f>+'SEMANA DEL 2 AL 7-3-26'!AY21</f>
        <v>0</v>
      </c>
      <c r="D21" s="356">
        <f>+'SEMANA DEL 2 AL 7-3-26'!AZ21</f>
        <v>0</v>
      </c>
      <c r="E21" s="356">
        <f>+'SEMANA DEL 2 AL 7-3-26'!BA21</f>
        <v>0</v>
      </c>
      <c r="F21" s="356">
        <f>+'SEMANA DEL 2 AL 7-3-26'!BB21</f>
        <v>0</v>
      </c>
      <c r="G21" s="356">
        <f>+'SEMANA DEL 2 AL 7-3-26'!BC21</f>
        <v>0</v>
      </c>
      <c r="H21" s="356">
        <f>+'SEMANA DEL 2 AL 7-3-26'!BD21</f>
        <v>0</v>
      </c>
      <c r="I21" s="356">
        <f>+'SEMANA DEL 2 AL 7-3-26'!BE21</f>
        <v>0</v>
      </c>
      <c r="J21" s="356">
        <f>+'SEMANA DEL 2 AL 7-3-26'!BF21</f>
        <v>0</v>
      </c>
      <c r="K21" s="356">
        <f>+'SEMANA DEL 2 AL 7-3-26'!BG21</f>
        <v>0</v>
      </c>
      <c r="L21" s="356">
        <f>+'SEMANA DEL 2 AL 7-3-26'!BH21</f>
        <v>0</v>
      </c>
      <c r="M21" s="356">
        <f>+'SEMANA DEL 2 AL 7-3-26'!BI21</f>
        <v>0</v>
      </c>
      <c r="N21" s="356">
        <f>+'SEMANA DEL 2 AL 7-3-26'!BJ21</f>
        <v>0</v>
      </c>
      <c r="O21" s="356">
        <f>+'SEMANA DEL 2 AL 7-3-26'!BK21</f>
        <v>0</v>
      </c>
      <c r="P21" s="356">
        <f>+'SEMANA DEL 2 AL 7-3-26'!BL21</f>
        <v>0</v>
      </c>
      <c r="Q21" s="356">
        <f>+'SEMANA DEL 2 AL 7-3-26'!BM21</f>
        <v>0</v>
      </c>
      <c r="R21" s="357">
        <v>18</v>
      </c>
      <c r="S21" s="357">
        <v>32.4</v>
      </c>
      <c r="T21" s="357">
        <v>126</v>
      </c>
      <c r="U21" s="357">
        <v>15</v>
      </c>
      <c r="V21" s="289"/>
      <c r="W21" s="190"/>
      <c r="X21" s="190"/>
      <c r="Y21" s="190"/>
      <c r="Z21" s="190"/>
      <c r="AA21" s="190"/>
      <c r="AB21" s="190"/>
      <c r="AC21" s="190"/>
      <c r="AD21" s="289"/>
      <c r="AE21" s="289"/>
      <c r="AF21" s="289"/>
      <c r="AG21" s="298"/>
      <c r="AH21" s="357">
        <v>18</v>
      </c>
      <c r="AI21" s="357">
        <v>32.4</v>
      </c>
      <c r="AJ21" s="357">
        <v>126</v>
      </c>
      <c r="AK21" s="357">
        <v>15</v>
      </c>
      <c r="AL21" s="289"/>
      <c r="AM21" s="190"/>
      <c r="AN21" s="190"/>
      <c r="AO21" s="190"/>
      <c r="AP21" s="183"/>
      <c r="AQ21" s="183"/>
      <c r="AR21" s="183"/>
      <c r="AS21" s="113"/>
      <c r="AT21" s="113"/>
      <c r="AU21" s="190"/>
      <c r="AV21" s="190"/>
      <c r="AW21" s="189"/>
      <c r="AX21" s="189">
        <f t="shared" si="11"/>
        <v>0</v>
      </c>
      <c r="AY21" s="189">
        <f t="shared" si="12"/>
        <v>0</v>
      </c>
      <c r="AZ21" s="189">
        <f t="shared" si="13"/>
        <v>0</v>
      </c>
      <c r="BA21" s="189">
        <f t="shared" si="14"/>
        <v>0</v>
      </c>
      <c r="BB21" s="189">
        <f t="shared" si="15"/>
        <v>0</v>
      </c>
      <c r="BC21" s="189">
        <f t="shared" si="16"/>
        <v>0</v>
      </c>
      <c r="BD21" s="189">
        <f t="shared" si="17"/>
        <v>0</v>
      </c>
      <c r="BE21" s="189">
        <f t="shared" si="18"/>
        <v>0</v>
      </c>
      <c r="BF21" s="189">
        <f t="shared" si="19"/>
        <v>0</v>
      </c>
      <c r="BG21" s="189">
        <f t="shared" si="20"/>
        <v>0</v>
      </c>
      <c r="BH21" s="189">
        <f t="shared" si="21"/>
        <v>0</v>
      </c>
      <c r="BI21" s="189">
        <f t="shared" si="22"/>
        <v>0</v>
      </c>
      <c r="BJ21" s="189">
        <f t="shared" si="23"/>
        <v>0</v>
      </c>
      <c r="BK21" s="189">
        <f t="shared" si="24"/>
        <v>0</v>
      </c>
      <c r="BL21" s="189">
        <f t="shared" si="25"/>
        <v>0</v>
      </c>
      <c r="BM21" s="189">
        <f t="shared" si="26"/>
        <v>0</v>
      </c>
      <c r="BN21" s="258">
        <v>18000</v>
      </c>
      <c r="BO21" s="258">
        <f t="shared" ref="BO21:BO41" si="51">+AL21*2500</f>
        <v>0</v>
      </c>
      <c r="BP21" s="71">
        <f t="shared" ref="BP21:BP41" si="52">+AM21*60000</f>
        <v>0</v>
      </c>
      <c r="BQ21" s="112">
        <f t="shared" ref="BQ21:BQ41" si="53">+AN21*3000</f>
        <v>0</v>
      </c>
      <c r="BR21" s="112">
        <f t="shared" ref="BR21:BR41" si="54">+AO21*6000</f>
        <v>0</v>
      </c>
      <c r="BS21" s="112">
        <f t="shared" ref="BS21:BS41" si="55">+AP21*8000</f>
        <v>0</v>
      </c>
      <c r="BT21" s="112">
        <f t="shared" ref="BT21:BT41" si="56">+AQ21*8000</f>
        <v>0</v>
      </c>
      <c r="BU21" s="112">
        <f t="shared" ref="BU21:BU41" si="57">+AR21*150000</f>
        <v>0</v>
      </c>
      <c r="BV21" s="112">
        <f t="shared" ref="BV21:BV41" si="58">+AS21*3000</f>
        <v>0</v>
      </c>
      <c r="BW21" s="112">
        <f t="shared" ref="BW21:BW41" si="59">+AT21*8000</f>
        <v>0</v>
      </c>
      <c r="BX21" s="112">
        <f t="shared" ref="BX21:BX41" si="60">+AU21*200000</f>
        <v>0</v>
      </c>
      <c r="BY21" s="71">
        <f t="shared" ref="BY21:BY41" si="61">+AV21*8000</f>
        <v>0</v>
      </c>
      <c r="BZ21" s="112">
        <f t="shared" ref="BZ21:BZ41" si="62">+AW21*1.5</f>
        <v>0</v>
      </c>
      <c r="CA21" s="189"/>
      <c r="CB21" s="183"/>
      <c r="CC21" s="71">
        <f t="shared" si="32"/>
        <v>288</v>
      </c>
      <c r="CD21" s="71">
        <f>+AI21*12+43.2</f>
        <v>431.99999999999994</v>
      </c>
      <c r="CE21" s="71">
        <f t="shared" si="33"/>
        <v>378</v>
      </c>
      <c r="CF21" s="71">
        <f t="shared" si="34"/>
        <v>1098</v>
      </c>
      <c r="CG21" s="71">
        <f t="shared" si="35"/>
        <v>1531098</v>
      </c>
      <c r="CH21" s="166">
        <f t="shared" si="36"/>
        <v>0</v>
      </c>
      <c r="CI21" s="259">
        <f t="shared" si="37"/>
        <v>1530000</v>
      </c>
      <c r="CJ21" s="79"/>
      <c r="CK21" s="78"/>
      <c r="CL21" s="153"/>
      <c r="CM21" s="147"/>
      <c r="CN21" s="174"/>
      <c r="CO21" s="175"/>
      <c r="CP21" s="174"/>
      <c r="CQ21" s="79"/>
      <c r="CR21" s="297" t="str">
        <f t="shared" si="38"/>
        <v xml:space="preserve">LUIS VALDERRAMA </v>
      </c>
      <c r="CS21" s="310" t="str">
        <f>+'SEMANA DEL 2 AL 7-3-26'!CS21</f>
        <v>V-23.095.433</v>
      </c>
      <c r="CT21" s="304">
        <f t="shared" si="47"/>
        <v>18000</v>
      </c>
      <c r="CU21" s="304">
        <f t="shared" si="48"/>
        <v>0</v>
      </c>
      <c r="CV21" s="304">
        <v>700</v>
      </c>
      <c r="CW21" s="305">
        <f t="shared" si="49"/>
        <v>161000</v>
      </c>
      <c r="CX21" s="305">
        <v>8</v>
      </c>
      <c r="CY21" s="304">
        <v>12.4</v>
      </c>
      <c r="CZ21" s="304">
        <f>+CX21*6500+CY21*3500</f>
        <v>95400</v>
      </c>
      <c r="DA21" s="304">
        <f>+CT21*75</f>
        <v>1350000</v>
      </c>
      <c r="DB21" s="306">
        <f t="shared" si="9"/>
        <v>1530000</v>
      </c>
      <c r="DC21" s="321">
        <f t="shared" si="10"/>
        <v>1786400</v>
      </c>
    </row>
    <row r="22" spans="1:107" ht="18" customHeight="1" x14ac:dyDescent="0.25">
      <c r="A22" s="355" t="str">
        <f>+'SEMANA DEL 2 AL 7-3-26'!A22</f>
        <v>LILIANA  VEGA</v>
      </c>
      <c r="B22" s="356">
        <f>+'SEMANA DEL 2 AL 7-3-26'!AX22</f>
        <v>0</v>
      </c>
      <c r="C22" s="356">
        <f>+'SEMANA DEL 2 AL 7-3-26'!AY22</f>
        <v>0</v>
      </c>
      <c r="D22" s="356">
        <f>+'SEMANA DEL 2 AL 7-3-26'!AZ22</f>
        <v>0</v>
      </c>
      <c r="E22" s="356">
        <f>+'SEMANA DEL 2 AL 7-3-26'!BA22</f>
        <v>0</v>
      </c>
      <c r="F22" s="356">
        <f>+'SEMANA DEL 2 AL 7-3-26'!BB22</f>
        <v>0</v>
      </c>
      <c r="G22" s="356">
        <f>+'SEMANA DEL 2 AL 7-3-26'!BC22</f>
        <v>0</v>
      </c>
      <c r="H22" s="356">
        <f>+'SEMANA DEL 2 AL 7-3-26'!BD22</f>
        <v>0</v>
      </c>
      <c r="I22" s="356">
        <f>+'SEMANA DEL 2 AL 7-3-26'!BE22</f>
        <v>0</v>
      </c>
      <c r="J22" s="356">
        <f>+'SEMANA DEL 2 AL 7-3-26'!BF22</f>
        <v>0</v>
      </c>
      <c r="K22" s="356">
        <f>+'SEMANA DEL 2 AL 7-3-26'!BG22</f>
        <v>0</v>
      </c>
      <c r="L22" s="356">
        <f>+'SEMANA DEL 2 AL 7-3-26'!BH22</f>
        <v>0</v>
      </c>
      <c r="M22" s="356">
        <f>+'SEMANA DEL 2 AL 7-3-26'!BI22</f>
        <v>0</v>
      </c>
      <c r="N22" s="356">
        <f>+'SEMANA DEL 2 AL 7-3-26'!BJ22</f>
        <v>0</v>
      </c>
      <c r="O22" s="356">
        <f>+'SEMANA DEL 2 AL 7-3-26'!BK22</f>
        <v>0</v>
      </c>
      <c r="P22" s="356">
        <f>+'SEMANA DEL 2 AL 7-3-26'!BL22</f>
        <v>0</v>
      </c>
      <c r="Q22" s="356">
        <f>+'SEMANA DEL 2 AL 7-3-26'!BM22</f>
        <v>0</v>
      </c>
      <c r="R22" s="357">
        <v>10</v>
      </c>
      <c r="S22" s="357">
        <v>18</v>
      </c>
      <c r="T22" s="357">
        <v>70</v>
      </c>
      <c r="U22" s="357">
        <v>8</v>
      </c>
      <c r="V22" s="289"/>
      <c r="W22" s="190"/>
      <c r="X22" s="190"/>
      <c r="Y22" s="190"/>
      <c r="Z22" s="190"/>
      <c r="AA22" s="190"/>
      <c r="AB22" s="190"/>
      <c r="AC22" s="190"/>
      <c r="AD22" s="289"/>
      <c r="AE22" s="289"/>
      <c r="AF22" s="289"/>
      <c r="AG22" s="299"/>
      <c r="AH22" s="357">
        <v>10</v>
      </c>
      <c r="AI22" s="357">
        <v>18</v>
      </c>
      <c r="AJ22" s="357">
        <v>70</v>
      </c>
      <c r="AK22" s="357">
        <v>8</v>
      </c>
      <c r="AL22" s="289"/>
      <c r="AM22" s="190"/>
      <c r="AN22" s="190"/>
      <c r="AO22" s="190"/>
      <c r="AP22" s="183"/>
      <c r="AQ22" s="183"/>
      <c r="AR22" s="183"/>
      <c r="AS22" s="113"/>
      <c r="AT22" s="113"/>
      <c r="AU22" s="190"/>
      <c r="AV22" s="190"/>
      <c r="AW22" s="189"/>
      <c r="AX22" s="189">
        <f t="shared" si="11"/>
        <v>0</v>
      </c>
      <c r="AY22" s="189">
        <f t="shared" si="12"/>
        <v>0</v>
      </c>
      <c r="AZ22" s="189">
        <f t="shared" si="13"/>
        <v>0</v>
      </c>
      <c r="BA22" s="189">
        <f t="shared" si="14"/>
        <v>0</v>
      </c>
      <c r="BB22" s="189">
        <f t="shared" si="15"/>
        <v>0</v>
      </c>
      <c r="BC22" s="189">
        <f t="shared" si="16"/>
        <v>0</v>
      </c>
      <c r="BD22" s="189">
        <f t="shared" si="17"/>
        <v>0</v>
      </c>
      <c r="BE22" s="189">
        <f t="shared" si="18"/>
        <v>0</v>
      </c>
      <c r="BF22" s="189">
        <f t="shared" si="19"/>
        <v>0</v>
      </c>
      <c r="BG22" s="189">
        <f t="shared" si="20"/>
        <v>0</v>
      </c>
      <c r="BH22" s="189">
        <f t="shared" si="21"/>
        <v>0</v>
      </c>
      <c r="BI22" s="189">
        <f t="shared" si="22"/>
        <v>0</v>
      </c>
      <c r="BJ22" s="189">
        <f t="shared" si="23"/>
        <v>0</v>
      </c>
      <c r="BK22" s="189">
        <f t="shared" si="24"/>
        <v>0</v>
      </c>
      <c r="BL22" s="189">
        <f t="shared" si="25"/>
        <v>0</v>
      </c>
      <c r="BM22" s="189">
        <f t="shared" si="26"/>
        <v>0</v>
      </c>
      <c r="BN22" s="258">
        <v>10000</v>
      </c>
      <c r="BO22" s="258">
        <f t="shared" si="51"/>
        <v>0</v>
      </c>
      <c r="BP22" s="71">
        <f t="shared" si="52"/>
        <v>0</v>
      </c>
      <c r="BQ22" s="112">
        <f t="shared" si="53"/>
        <v>0</v>
      </c>
      <c r="BR22" s="112">
        <f t="shared" si="54"/>
        <v>0</v>
      </c>
      <c r="BS22" s="112">
        <f t="shared" si="55"/>
        <v>0</v>
      </c>
      <c r="BT22" s="112">
        <f t="shared" si="56"/>
        <v>0</v>
      </c>
      <c r="BU22" s="112">
        <f t="shared" si="57"/>
        <v>0</v>
      </c>
      <c r="BV22" s="112">
        <f t="shared" si="58"/>
        <v>0</v>
      </c>
      <c r="BW22" s="112">
        <f t="shared" si="59"/>
        <v>0</v>
      </c>
      <c r="BX22" s="112">
        <f t="shared" si="60"/>
        <v>0</v>
      </c>
      <c r="BY22" s="71">
        <f t="shared" si="61"/>
        <v>0</v>
      </c>
      <c r="BZ22" s="112">
        <f t="shared" si="62"/>
        <v>0</v>
      </c>
      <c r="CA22" s="189">
        <v>50000</v>
      </c>
      <c r="CB22" s="183"/>
      <c r="CC22" s="71">
        <f t="shared" si="32"/>
        <v>160</v>
      </c>
      <c r="CD22" s="71">
        <f>+AI22*12+24</f>
        <v>240</v>
      </c>
      <c r="CE22" s="71">
        <f t="shared" si="33"/>
        <v>210</v>
      </c>
      <c r="CF22" s="71">
        <f t="shared" si="34"/>
        <v>610</v>
      </c>
      <c r="CG22" s="71">
        <f t="shared" si="35"/>
        <v>850610</v>
      </c>
      <c r="CH22" s="166">
        <f t="shared" si="36"/>
        <v>50000</v>
      </c>
      <c r="CI22" s="259">
        <f t="shared" si="37"/>
        <v>800000</v>
      </c>
      <c r="CJ22" s="79"/>
      <c r="CK22" s="78"/>
      <c r="CL22" s="153"/>
      <c r="CM22" s="147"/>
      <c r="CN22" s="174"/>
      <c r="CO22" s="175"/>
      <c r="CP22" s="174"/>
      <c r="CQ22" s="79"/>
      <c r="CR22" s="297" t="str">
        <f t="shared" si="38"/>
        <v>LILIANA  VEGA</v>
      </c>
      <c r="CS22" s="310" t="str">
        <f>+'SEMANA DEL 2 AL 7-3-26'!CS22</f>
        <v>V-11.021.605</v>
      </c>
      <c r="CT22" s="304">
        <f t="shared" si="47"/>
        <v>10000</v>
      </c>
      <c r="CU22" s="304">
        <f t="shared" si="48"/>
        <v>0</v>
      </c>
      <c r="CV22" s="304">
        <v>150</v>
      </c>
      <c r="CW22" s="305">
        <f t="shared" si="49"/>
        <v>34500</v>
      </c>
      <c r="CX22" s="305">
        <v>6.6</v>
      </c>
      <c r="CY22" s="304">
        <v>6</v>
      </c>
      <c r="CZ22" s="304">
        <f>+CX22*6500+CY22*3500</f>
        <v>63900</v>
      </c>
      <c r="DA22" s="304">
        <f>+CT22*75</f>
        <v>750000</v>
      </c>
      <c r="DB22" s="306">
        <f t="shared" si="9"/>
        <v>800000</v>
      </c>
      <c r="DC22" s="321">
        <f t="shared" si="10"/>
        <v>898400</v>
      </c>
    </row>
    <row r="23" spans="1:107" ht="18" customHeight="1" x14ac:dyDescent="0.25">
      <c r="A23" s="355" t="str">
        <f>+'SEMANA DEL 2 AL 7-3-26'!A23</f>
        <v xml:space="preserve">LUIS ERNESTO ALMEIDA </v>
      </c>
      <c r="B23" s="356">
        <f>+'SEMANA DEL 2 AL 7-3-26'!AX23</f>
        <v>0</v>
      </c>
      <c r="C23" s="356">
        <f>+'SEMANA DEL 2 AL 7-3-26'!AY23</f>
        <v>0</v>
      </c>
      <c r="D23" s="356">
        <f>+'SEMANA DEL 2 AL 7-3-26'!AZ23</f>
        <v>0</v>
      </c>
      <c r="E23" s="356">
        <f>+'SEMANA DEL 2 AL 7-3-26'!BA23</f>
        <v>0</v>
      </c>
      <c r="F23" s="356">
        <f>+'SEMANA DEL 2 AL 7-3-26'!BB23</f>
        <v>0</v>
      </c>
      <c r="G23" s="356">
        <f>+'SEMANA DEL 2 AL 7-3-26'!BC23</f>
        <v>0</v>
      </c>
      <c r="H23" s="356">
        <f>+'SEMANA DEL 2 AL 7-3-26'!BD23</f>
        <v>0</v>
      </c>
      <c r="I23" s="356">
        <f>+'SEMANA DEL 2 AL 7-3-26'!BE23</f>
        <v>0</v>
      </c>
      <c r="J23" s="356">
        <f>+'SEMANA DEL 2 AL 7-3-26'!BF23</f>
        <v>0</v>
      </c>
      <c r="K23" s="356">
        <f>+'SEMANA DEL 2 AL 7-3-26'!BG23</f>
        <v>0</v>
      </c>
      <c r="L23" s="356">
        <f>+'SEMANA DEL 2 AL 7-3-26'!BH23</f>
        <v>0</v>
      </c>
      <c r="M23" s="356">
        <f>+'SEMANA DEL 2 AL 7-3-26'!BI23</f>
        <v>0</v>
      </c>
      <c r="N23" s="356">
        <f>+'SEMANA DEL 2 AL 7-3-26'!BJ23</f>
        <v>0</v>
      </c>
      <c r="O23" s="356">
        <f>+'SEMANA DEL 2 AL 7-3-26'!BK23</f>
        <v>0</v>
      </c>
      <c r="P23" s="356">
        <f>+'SEMANA DEL 2 AL 7-3-26'!BL23</f>
        <v>0</v>
      </c>
      <c r="Q23" s="356">
        <f>+'SEMANA DEL 2 AL 7-3-26'!BM23</f>
        <v>0</v>
      </c>
      <c r="R23" s="357">
        <v>8</v>
      </c>
      <c r="S23" s="357">
        <v>14.4</v>
      </c>
      <c r="T23" s="357">
        <v>56</v>
      </c>
      <c r="U23" s="357">
        <v>7</v>
      </c>
      <c r="V23" s="289"/>
      <c r="W23" s="190"/>
      <c r="X23" s="190"/>
      <c r="Y23" s="190"/>
      <c r="Z23" s="190"/>
      <c r="AA23" s="190"/>
      <c r="AB23" s="190"/>
      <c r="AC23" s="190"/>
      <c r="AD23" s="289"/>
      <c r="AE23" s="289"/>
      <c r="AF23" s="289"/>
      <c r="AG23" s="299"/>
      <c r="AH23" s="357">
        <v>8</v>
      </c>
      <c r="AI23" s="357">
        <v>14.4</v>
      </c>
      <c r="AJ23" s="357">
        <v>56</v>
      </c>
      <c r="AK23" s="357">
        <v>7</v>
      </c>
      <c r="AL23" s="289"/>
      <c r="AM23" s="190"/>
      <c r="AN23" s="190"/>
      <c r="AO23" s="183"/>
      <c r="AP23" s="183"/>
      <c r="AQ23" s="183"/>
      <c r="AR23" s="183"/>
      <c r="AS23" s="113"/>
      <c r="AT23" s="113"/>
      <c r="AU23" s="190"/>
      <c r="AV23" s="190"/>
      <c r="AW23" s="189"/>
      <c r="AX23" s="189">
        <f t="shared" si="11"/>
        <v>0</v>
      </c>
      <c r="AY23" s="189">
        <f t="shared" si="12"/>
        <v>0</v>
      </c>
      <c r="AZ23" s="189">
        <f t="shared" si="13"/>
        <v>0</v>
      </c>
      <c r="BA23" s="189">
        <f t="shared" si="14"/>
        <v>0</v>
      </c>
      <c r="BB23" s="189">
        <f t="shared" si="15"/>
        <v>0</v>
      </c>
      <c r="BC23" s="189">
        <f t="shared" si="16"/>
        <v>0</v>
      </c>
      <c r="BD23" s="189">
        <f t="shared" si="17"/>
        <v>0</v>
      </c>
      <c r="BE23" s="189">
        <f t="shared" si="18"/>
        <v>0</v>
      </c>
      <c r="BF23" s="189">
        <f t="shared" si="19"/>
        <v>0</v>
      </c>
      <c r="BG23" s="189">
        <f t="shared" si="20"/>
        <v>0</v>
      </c>
      <c r="BH23" s="189">
        <f t="shared" si="21"/>
        <v>0</v>
      </c>
      <c r="BI23" s="189">
        <f t="shared" si="22"/>
        <v>0</v>
      </c>
      <c r="BJ23" s="189">
        <f t="shared" si="23"/>
        <v>0</v>
      </c>
      <c r="BK23" s="189">
        <f t="shared" si="24"/>
        <v>0</v>
      </c>
      <c r="BL23" s="189">
        <f t="shared" si="25"/>
        <v>0</v>
      </c>
      <c r="BM23" s="189">
        <f t="shared" si="26"/>
        <v>0</v>
      </c>
      <c r="BN23" s="258">
        <v>8000</v>
      </c>
      <c r="BO23" s="258">
        <f t="shared" si="51"/>
        <v>0</v>
      </c>
      <c r="BP23" s="71">
        <f t="shared" si="52"/>
        <v>0</v>
      </c>
      <c r="BQ23" s="112">
        <f t="shared" si="53"/>
        <v>0</v>
      </c>
      <c r="BR23" s="112">
        <f t="shared" si="54"/>
        <v>0</v>
      </c>
      <c r="BS23" s="112">
        <f t="shared" si="55"/>
        <v>0</v>
      </c>
      <c r="BT23" s="112">
        <f t="shared" si="56"/>
        <v>0</v>
      </c>
      <c r="BU23" s="112">
        <f t="shared" si="57"/>
        <v>0</v>
      </c>
      <c r="BV23" s="112">
        <f t="shared" si="58"/>
        <v>0</v>
      </c>
      <c r="BW23" s="112">
        <f t="shared" si="59"/>
        <v>0</v>
      </c>
      <c r="BX23" s="112">
        <f t="shared" si="60"/>
        <v>0</v>
      </c>
      <c r="BY23" s="71">
        <f t="shared" si="61"/>
        <v>0</v>
      </c>
      <c r="BZ23" s="112">
        <f t="shared" si="62"/>
        <v>0</v>
      </c>
      <c r="CA23" s="189">
        <v>25000</v>
      </c>
      <c r="CB23" s="183"/>
      <c r="CC23" s="71">
        <f t="shared" si="32"/>
        <v>128</v>
      </c>
      <c r="CD23" s="71">
        <f>+AI23*12+19.2</f>
        <v>192</v>
      </c>
      <c r="CE23" s="71">
        <f t="shared" si="33"/>
        <v>168</v>
      </c>
      <c r="CF23" s="71">
        <f t="shared" si="34"/>
        <v>488</v>
      </c>
      <c r="CG23" s="71">
        <f t="shared" si="35"/>
        <v>680488</v>
      </c>
      <c r="CH23" s="166">
        <f t="shared" si="36"/>
        <v>25000</v>
      </c>
      <c r="CI23" s="259">
        <f t="shared" si="37"/>
        <v>655000</v>
      </c>
      <c r="CJ23" s="79"/>
      <c r="CK23" s="78" t="s">
        <v>108</v>
      </c>
      <c r="CL23" s="153" t="e">
        <f>+#REF!</f>
        <v>#REF!</v>
      </c>
      <c r="CM23" s="147" t="e">
        <f>+#REF!</f>
        <v>#REF!</v>
      </c>
      <c r="CN23" s="174" t="e">
        <f>+CL23+CM23</f>
        <v>#REF!</v>
      </c>
      <c r="CO23" s="175" t="e">
        <f>+#REF!</f>
        <v>#REF!</v>
      </c>
      <c r="CP23" s="174" t="e">
        <f>CN23-CO23</f>
        <v>#REF!</v>
      </c>
      <c r="CQ23" s="79"/>
      <c r="CR23" s="297" t="str">
        <f t="shared" si="38"/>
        <v xml:space="preserve">LUIS ERNESTO ALMEIDA </v>
      </c>
      <c r="CS23" s="310" t="str">
        <f>+'SEMANA DEL 2 AL 7-3-26'!CS23</f>
        <v>V-13.365.579</v>
      </c>
      <c r="CT23" s="304">
        <f t="shared" si="47"/>
        <v>8000</v>
      </c>
      <c r="CU23" s="304">
        <f t="shared" si="48"/>
        <v>0</v>
      </c>
      <c r="CV23" s="304"/>
      <c r="CW23" s="305">
        <f t="shared" si="49"/>
        <v>0</v>
      </c>
      <c r="CX23" s="305">
        <v>3.2</v>
      </c>
      <c r="CY23" s="304">
        <v>6.8</v>
      </c>
      <c r="CZ23" s="304">
        <f t="shared" si="50"/>
        <v>44600</v>
      </c>
      <c r="DA23" s="304">
        <f t="shared" si="41"/>
        <v>600000</v>
      </c>
      <c r="DB23" s="306">
        <f t="shared" si="9"/>
        <v>655000</v>
      </c>
      <c r="DC23" s="321">
        <f t="shared" si="10"/>
        <v>699600</v>
      </c>
    </row>
    <row r="24" spans="1:107" ht="18" customHeight="1" x14ac:dyDescent="0.25">
      <c r="A24" s="355" t="str">
        <f>+'SEMANA DEL 2 AL 7-3-26'!A24</f>
        <v xml:space="preserve">LEIDY SERRANO </v>
      </c>
      <c r="B24" s="356">
        <f>+'SEMANA DEL 2 AL 7-3-26'!AX24</f>
        <v>0</v>
      </c>
      <c r="C24" s="356">
        <f>+'SEMANA DEL 2 AL 7-3-26'!AY24</f>
        <v>0</v>
      </c>
      <c r="D24" s="356">
        <f>+'SEMANA DEL 2 AL 7-3-26'!AZ24</f>
        <v>0</v>
      </c>
      <c r="E24" s="356">
        <f>+'SEMANA DEL 2 AL 7-3-26'!BA24</f>
        <v>0</v>
      </c>
      <c r="F24" s="356">
        <f>+'SEMANA DEL 2 AL 7-3-26'!BB24</f>
        <v>0</v>
      </c>
      <c r="G24" s="356">
        <f>+'SEMANA DEL 2 AL 7-3-26'!BC24</f>
        <v>0</v>
      </c>
      <c r="H24" s="356">
        <f>+'SEMANA DEL 2 AL 7-3-26'!BD24</f>
        <v>0</v>
      </c>
      <c r="I24" s="356">
        <f>+'SEMANA DEL 2 AL 7-3-26'!BE24</f>
        <v>0</v>
      </c>
      <c r="J24" s="356">
        <f>+'SEMANA DEL 2 AL 7-3-26'!BF24</f>
        <v>0</v>
      </c>
      <c r="K24" s="356">
        <f>+'SEMANA DEL 2 AL 7-3-26'!BG24</f>
        <v>0</v>
      </c>
      <c r="L24" s="356">
        <f>+'SEMANA DEL 2 AL 7-3-26'!BH24</f>
        <v>0</v>
      </c>
      <c r="M24" s="356">
        <f>+'SEMANA DEL 2 AL 7-3-26'!BI24</f>
        <v>0</v>
      </c>
      <c r="N24" s="356">
        <f>+'SEMANA DEL 2 AL 7-3-26'!BJ24</f>
        <v>0</v>
      </c>
      <c r="O24" s="356">
        <f>+'SEMANA DEL 2 AL 7-3-26'!BK24</f>
        <v>0</v>
      </c>
      <c r="P24" s="356">
        <f>+'SEMANA DEL 2 AL 7-3-26'!BL24</f>
        <v>0</v>
      </c>
      <c r="Q24" s="356">
        <f>+'SEMANA DEL 2 AL 7-3-26'!BM24</f>
        <v>0</v>
      </c>
      <c r="R24" s="357">
        <v>5</v>
      </c>
      <c r="S24" s="357">
        <v>9</v>
      </c>
      <c r="T24" s="357">
        <v>35</v>
      </c>
      <c r="U24" s="357">
        <v>4</v>
      </c>
      <c r="V24" s="289"/>
      <c r="W24" s="190"/>
      <c r="X24" s="190"/>
      <c r="Y24" s="190"/>
      <c r="Z24" s="190"/>
      <c r="AA24" s="190"/>
      <c r="AB24" s="190"/>
      <c r="AC24" s="190"/>
      <c r="AD24" s="289"/>
      <c r="AE24" s="289"/>
      <c r="AF24" s="289"/>
      <c r="AG24" s="299"/>
      <c r="AH24" s="357">
        <v>5</v>
      </c>
      <c r="AI24" s="357">
        <v>9</v>
      </c>
      <c r="AJ24" s="357">
        <v>35</v>
      </c>
      <c r="AK24" s="357">
        <v>4</v>
      </c>
      <c r="AL24" s="299"/>
      <c r="AM24" s="183"/>
      <c r="AN24" s="289"/>
      <c r="AO24" s="183"/>
      <c r="AP24" s="183"/>
      <c r="AQ24" s="183"/>
      <c r="AR24" s="183"/>
      <c r="AS24" s="113"/>
      <c r="AT24" s="113"/>
      <c r="AU24" s="190"/>
      <c r="AV24" s="190"/>
      <c r="AW24" s="189"/>
      <c r="AX24" s="189">
        <f t="shared" si="11"/>
        <v>0</v>
      </c>
      <c r="AY24" s="189">
        <f t="shared" si="12"/>
        <v>0</v>
      </c>
      <c r="AZ24" s="189">
        <f t="shared" si="13"/>
        <v>0</v>
      </c>
      <c r="BA24" s="189">
        <f t="shared" si="14"/>
        <v>0</v>
      </c>
      <c r="BB24" s="189">
        <f t="shared" si="15"/>
        <v>0</v>
      </c>
      <c r="BC24" s="189">
        <f t="shared" si="16"/>
        <v>0</v>
      </c>
      <c r="BD24" s="189">
        <f t="shared" si="17"/>
        <v>0</v>
      </c>
      <c r="BE24" s="189">
        <f t="shared" si="18"/>
        <v>0</v>
      </c>
      <c r="BF24" s="189">
        <f t="shared" si="19"/>
        <v>0</v>
      </c>
      <c r="BG24" s="189">
        <f t="shared" si="20"/>
        <v>0</v>
      </c>
      <c r="BH24" s="189">
        <f t="shared" si="21"/>
        <v>0</v>
      </c>
      <c r="BI24" s="189">
        <f t="shared" si="22"/>
        <v>0</v>
      </c>
      <c r="BJ24" s="189">
        <f t="shared" si="23"/>
        <v>0</v>
      </c>
      <c r="BK24" s="189">
        <f t="shared" si="24"/>
        <v>0</v>
      </c>
      <c r="BL24" s="189">
        <f t="shared" si="25"/>
        <v>0</v>
      </c>
      <c r="BM24" s="189">
        <f t="shared" si="26"/>
        <v>0</v>
      </c>
      <c r="BN24" s="258">
        <v>5000</v>
      </c>
      <c r="BO24" s="258">
        <f t="shared" si="51"/>
        <v>0</v>
      </c>
      <c r="BP24" s="71">
        <f t="shared" si="52"/>
        <v>0</v>
      </c>
      <c r="BQ24" s="112">
        <f t="shared" si="53"/>
        <v>0</v>
      </c>
      <c r="BR24" s="112">
        <f t="shared" si="54"/>
        <v>0</v>
      </c>
      <c r="BS24" s="112">
        <f t="shared" si="55"/>
        <v>0</v>
      </c>
      <c r="BT24" s="112">
        <f t="shared" si="56"/>
        <v>0</v>
      </c>
      <c r="BU24" s="112">
        <f t="shared" si="57"/>
        <v>0</v>
      </c>
      <c r="BV24" s="112">
        <f t="shared" si="58"/>
        <v>0</v>
      </c>
      <c r="BW24" s="112">
        <f t="shared" si="59"/>
        <v>0</v>
      </c>
      <c r="BX24" s="112">
        <f t="shared" si="60"/>
        <v>0</v>
      </c>
      <c r="BY24" s="71">
        <f t="shared" si="61"/>
        <v>0</v>
      </c>
      <c r="BZ24" s="112">
        <f t="shared" si="62"/>
        <v>0</v>
      </c>
      <c r="CA24" s="189"/>
      <c r="CB24" s="183"/>
      <c r="CC24" s="71">
        <f t="shared" si="32"/>
        <v>80</v>
      </c>
      <c r="CD24" s="71">
        <f>+AI24*12+12</f>
        <v>120</v>
      </c>
      <c r="CE24" s="71">
        <f t="shared" si="33"/>
        <v>105</v>
      </c>
      <c r="CF24" s="71">
        <f t="shared" si="34"/>
        <v>305</v>
      </c>
      <c r="CG24" s="71">
        <f t="shared" si="35"/>
        <v>425305</v>
      </c>
      <c r="CH24" s="166">
        <f t="shared" si="36"/>
        <v>0</v>
      </c>
      <c r="CI24" s="259">
        <f t="shared" si="37"/>
        <v>425000</v>
      </c>
      <c r="CJ24" s="79"/>
      <c r="CK24" s="172" t="s">
        <v>71</v>
      </c>
      <c r="CL24" s="198" t="e">
        <f>+'SEMANA DEL 2 AL 7-3-26'!#REF!</f>
        <v>#REF!</v>
      </c>
      <c r="CM24" s="173" t="e">
        <f>+#REF!</f>
        <v>#REF!</v>
      </c>
      <c r="CN24" s="197" t="e">
        <f>+CL24+CM24</f>
        <v>#REF!</v>
      </c>
      <c r="CO24" s="195" t="e">
        <f>+#REF!</f>
        <v>#REF!</v>
      </c>
      <c r="CP24" s="197" t="e">
        <f>CN24-CO24</f>
        <v>#REF!</v>
      </c>
      <c r="CQ24" s="79"/>
      <c r="CR24" s="297" t="str">
        <f t="shared" si="38"/>
        <v xml:space="preserve">LEIDY SERRANO </v>
      </c>
      <c r="CS24" s="310" t="str">
        <f>+'SEMANA DEL 2 AL 7-3-26'!CS24</f>
        <v>V-15.958.666</v>
      </c>
      <c r="CT24" s="304">
        <f t="shared" si="47"/>
        <v>5000</v>
      </c>
      <c r="CU24" s="304">
        <f t="shared" si="48"/>
        <v>0</v>
      </c>
      <c r="CV24" s="304"/>
      <c r="CW24" s="305">
        <f t="shared" si="49"/>
        <v>0</v>
      </c>
      <c r="CX24" s="305">
        <v>4.2</v>
      </c>
      <c r="CY24" s="304">
        <v>5</v>
      </c>
      <c r="CZ24" s="304">
        <f t="shared" si="50"/>
        <v>44800</v>
      </c>
      <c r="DA24" s="304">
        <f t="shared" si="41"/>
        <v>375000</v>
      </c>
      <c r="DB24" s="306">
        <f t="shared" si="9"/>
        <v>425000</v>
      </c>
      <c r="DC24" s="321">
        <f t="shared" si="10"/>
        <v>469800</v>
      </c>
    </row>
    <row r="25" spans="1:107" ht="18" customHeight="1" x14ac:dyDescent="0.25">
      <c r="A25" s="355" t="str">
        <f>+'SEMANA DEL 2 AL 7-3-26'!A25</f>
        <v xml:space="preserve">MAYERLIN BOLIVAR </v>
      </c>
      <c r="B25" s="356">
        <f>+'SEMANA DEL 2 AL 7-3-26'!AX25</f>
        <v>0.30000000000000071</v>
      </c>
      <c r="C25" s="356">
        <f>+'SEMANA DEL 2 AL 7-3-26'!AY25</f>
        <v>1.3399999999999963</v>
      </c>
      <c r="D25" s="356">
        <f>+'SEMANA DEL 2 AL 7-3-26'!AZ25</f>
        <v>2.0999999999999801</v>
      </c>
      <c r="E25" s="356">
        <f>+'SEMANA DEL 2 AL 7-3-26'!BA25</f>
        <v>0</v>
      </c>
      <c r="F25" s="356">
        <f>+'SEMANA DEL 2 AL 7-3-26'!BB25</f>
        <v>0</v>
      </c>
      <c r="G25" s="356">
        <f>+'SEMANA DEL 2 AL 7-3-26'!BC25</f>
        <v>0</v>
      </c>
      <c r="H25" s="356">
        <f>+'SEMANA DEL 2 AL 7-3-26'!BD25</f>
        <v>0</v>
      </c>
      <c r="I25" s="356">
        <f>+'SEMANA DEL 2 AL 7-3-26'!BE25</f>
        <v>0</v>
      </c>
      <c r="J25" s="356">
        <f>+'SEMANA DEL 2 AL 7-3-26'!BF25</f>
        <v>0</v>
      </c>
      <c r="K25" s="356">
        <f>+'SEMANA DEL 2 AL 7-3-26'!BG25</f>
        <v>0</v>
      </c>
      <c r="L25" s="356">
        <f>+'SEMANA DEL 2 AL 7-3-26'!BH25</f>
        <v>0</v>
      </c>
      <c r="M25" s="356">
        <f>+'SEMANA DEL 2 AL 7-3-26'!BI25</f>
        <v>0</v>
      </c>
      <c r="N25" s="356">
        <f>+'SEMANA DEL 2 AL 7-3-26'!BJ25</f>
        <v>0</v>
      </c>
      <c r="O25" s="356">
        <f>+'SEMANA DEL 2 AL 7-3-26'!BK25</f>
        <v>0</v>
      </c>
      <c r="P25" s="356">
        <f>+'SEMANA DEL 2 AL 7-3-26'!BL25</f>
        <v>0</v>
      </c>
      <c r="Q25" s="356">
        <f>+'SEMANA DEL 2 AL 7-3-26'!BM25</f>
        <v>0</v>
      </c>
      <c r="R25" s="357">
        <v>15</v>
      </c>
      <c r="S25" s="357">
        <v>27</v>
      </c>
      <c r="T25" s="357">
        <v>105</v>
      </c>
      <c r="U25" s="357">
        <v>12</v>
      </c>
      <c r="V25" s="289"/>
      <c r="W25" s="190"/>
      <c r="X25" s="190"/>
      <c r="Y25" s="190"/>
      <c r="Z25" s="190"/>
      <c r="AA25" s="190"/>
      <c r="AB25" s="190"/>
      <c r="AC25" s="190"/>
      <c r="AD25" s="289"/>
      <c r="AE25" s="289"/>
      <c r="AF25" s="289"/>
      <c r="AG25" s="299"/>
      <c r="AH25" s="357">
        <v>15</v>
      </c>
      <c r="AI25" s="357">
        <v>27</v>
      </c>
      <c r="AJ25" s="357">
        <v>105</v>
      </c>
      <c r="AK25" s="357">
        <v>12</v>
      </c>
      <c r="AL25" s="299"/>
      <c r="AM25" s="183"/>
      <c r="AN25" s="289"/>
      <c r="AO25" s="183"/>
      <c r="AP25" s="183"/>
      <c r="AQ25" s="183"/>
      <c r="AR25" s="183"/>
      <c r="AS25" s="113"/>
      <c r="AT25" s="113"/>
      <c r="AU25" s="190"/>
      <c r="AV25" s="190"/>
      <c r="AW25" s="189"/>
      <c r="AX25" s="189">
        <f t="shared" si="11"/>
        <v>0.30000000000000071</v>
      </c>
      <c r="AY25" s="189">
        <f t="shared" si="12"/>
        <v>1.3399999999999963</v>
      </c>
      <c r="AZ25" s="189">
        <f t="shared" si="13"/>
        <v>2.0999999999999801</v>
      </c>
      <c r="BA25" s="189">
        <f t="shared" si="14"/>
        <v>0</v>
      </c>
      <c r="BB25" s="189">
        <f t="shared" si="15"/>
        <v>0</v>
      </c>
      <c r="BC25" s="189">
        <f t="shared" si="16"/>
        <v>0</v>
      </c>
      <c r="BD25" s="189">
        <f t="shared" si="17"/>
        <v>0</v>
      </c>
      <c r="BE25" s="189">
        <f t="shared" si="18"/>
        <v>0</v>
      </c>
      <c r="BF25" s="189">
        <f t="shared" si="19"/>
        <v>0</v>
      </c>
      <c r="BG25" s="189">
        <f t="shared" si="20"/>
        <v>0</v>
      </c>
      <c r="BH25" s="189">
        <f t="shared" si="21"/>
        <v>0</v>
      </c>
      <c r="BI25" s="189">
        <f t="shared" si="22"/>
        <v>0</v>
      </c>
      <c r="BJ25" s="189">
        <f t="shared" si="23"/>
        <v>0</v>
      </c>
      <c r="BK25" s="189">
        <f t="shared" si="24"/>
        <v>0</v>
      </c>
      <c r="BL25" s="189">
        <f t="shared" si="25"/>
        <v>0</v>
      </c>
      <c r="BM25" s="189">
        <f t="shared" si="26"/>
        <v>0</v>
      </c>
      <c r="BN25" s="258">
        <v>15000</v>
      </c>
      <c r="BO25" s="258">
        <f t="shared" si="51"/>
        <v>0</v>
      </c>
      <c r="BP25" s="71">
        <f t="shared" si="52"/>
        <v>0</v>
      </c>
      <c r="BQ25" s="112">
        <f t="shared" si="53"/>
        <v>0</v>
      </c>
      <c r="BR25" s="112">
        <f t="shared" si="54"/>
        <v>0</v>
      </c>
      <c r="BS25" s="112">
        <f t="shared" si="55"/>
        <v>0</v>
      </c>
      <c r="BT25" s="112">
        <f t="shared" si="56"/>
        <v>0</v>
      </c>
      <c r="BU25" s="112">
        <f t="shared" si="57"/>
        <v>0</v>
      </c>
      <c r="BV25" s="112">
        <f t="shared" si="58"/>
        <v>0</v>
      </c>
      <c r="BW25" s="112">
        <f t="shared" si="59"/>
        <v>0</v>
      </c>
      <c r="BX25" s="112">
        <f t="shared" si="60"/>
        <v>0</v>
      </c>
      <c r="BY25" s="71">
        <f t="shared" si="61"/>
        <v>0</v>
      </c>
      <c r="BZ25" s="112">
        <f t="shared" si="62"/>
        <v>0</v>
      </c>
      <c r="CA25" s="189"/>
      <c r="CB25" s="183"/>
      <c r="CC25" s="71">
        <f t="shared" si="32"/>
        <v>240</v>
      </c>
      <c r="CD25" s="71">
        <f>+AI25*12+36</f>
        <v>360</v>
      </c>
      <c r="CE25" s="71">
        <f t="shared" si="33"/>
        <v>315</v>
      </c>
      <c r="CF25" s="71">
        <f t="shared" si="34"/>
        <v>915</v>
      </c>
      <c r="CG25" s="71">
        <f t="shared" si="35"/>
        <v>1275915</v>
      </c>
      <c r="CH25" s="166">
        <f t="shared" si="36"/>
        <v>0</v>
      </c>
      <c r="CI25" s="259">
        <f t="shared" si="37"/>
        <v>1275000</v>
      </c>
      <c r="CJ25" s="79"/>
      <c r="CK25" s="172"/>
      <c r="CL25" s="198"/>
      <c r="CM25" s="173"/>
      <c r="CN25" s="197"/>
      <c r="CO25" s="195"/>
      <c r="CP25" s="197"/>
      <c r="CQ25" s="79"/>
      <c r="CR25" s="297" t="str">
        <f t="shared" si="38"/>
        <v xml:space="preserve">MAYERLIN BOLIVAR </v>
      </c>
      <c r="CS25" s="310" t="str">
        <f>+'SEMANA DEL 2 AL 7-3-26'!CS25</f>
        <v>V-15,774,803</v>
      </c>
      <c r="CT25" s="304">
        <f t="shared" si="47"/>
        <v>15000</v>
      </c>
      <c r="CU25" s="304">
        <f t="shared" si="48"/>
        <v>0</v>
      </c>
      <c r="CV25" s="304"/>
      <c r="CW25" s="305">
        <f t="shared" si="49"/>
        <v>0</v>
      </c>
      <c r="CX25" s="305">
        <v>2.9</v>
      </c>
      <c r="CY25" s="304">
        <v>4.8</v>
      </c>
      <c r="CZ25" s="304">
        <f t="shared" si="50"/>
        <v>35650</v>
      </c>
      <c r="DA25" s="304">
        <f t="shared" si="41"/>
        <v>1125000</v>
      </c>
      <c r="DB25" s="306">
        <f t="shared" si="9"/>
        <v>1275000</v>
      </c>
      <c r="DC25" s="321">
        <f t="shared" si="10"/>
        <v>1310650</v>
      </c>
    </row>
    <row r="26" spans="1:107" ht="18.75" customHeight="1" x14ac:dyDescent="0.25">
      <c r="A26" s="355" t="str">
        <f>+'SEMANA DEL 2 AL 7-3-26'!A26</f>
        <v xml:space="preserve">MARTHA SILVA </v>
      </c>
      <c r="B26" s="356">
        <f>+'SEMANA DEL 2 AL 7-3-26'!AX26</f>
        <v>9.9999999999999645E-2</v>
      </c>
      <c r="C26" s="356">
        <f>+'SEMANA DEL 2 AL 7-3-26'!AY26</f>
        <v>0.17999999999999972</v>
      </c>
      <c r="D26" s="356">
        <f>+'SEMANA DEL 2 AL 7-3-26'!AZ26</f>
        <v>12.000000000000021</v>
      </c>
      <c r="E26" s="356">
        <f>+'SEMANA DEL 2 AL 7-3-26'!BA26</f>
        <v>0</v>
      </c>
      <c r="F26" s="356">
        <f>+'SEMANA DEL 2 AL 7-3-26'!BB26</f>
        <v>0</v>
      </c>
      <c r="G26" s="356">
        <f>+'SEMANA DEL 2 AL 7-3-26'!BC26</f>
        <v>0</v>
      </c>
      <c r="H26" s="356">
        <f>+'SEMANA DEL 2 AL 7-3-26'!BD26</f>
        <v>0</v>
      </c>
      <c r="I26" s="356">
        <f>+'SEMANA DEL 2 AL 7-3-26'!BE26</f>
        <v>0</v>
      </c>
      <c r="J26" s="356">
        <f>+'SEMANA DEL 2 AL 7-3-26'!BF26</f>
        <v>0</v>
      </c>
      <c r="K26" s="356">
        <f>+'SEMANA DEL 2 AL 7-3-26'!BG26</f>
        <v>0</v>
      </c>
      <c r="L26" s="356">
        <f>+'SEMANA DEL 2 AL 7-3-26'!BH26</f>
        <v>0</v>
      </c>
      <c r="M26" s="356">
        <f>+'SEMANA DEL 2 AL 7-3-26'!BI26</f>
        <v>0</v>
      </c>
      <c r="N26" s="356">
        <f>+'SEMANA DEL 2 AL 7-3-26'!BJ26</f>
        <v>0</v>
      </c>
      <c r="O26" s="356">
        <f>+'SEMANA DEL 2 AL 7-3-26'!BK26</f>
        <v>0</v>
      </c>
      <c r="P26" s="356">
        <f>+'SEMANA DEL 2 AL 7-3-26'!BL26</f>
        <v>0</v>
      </c>
      <c r="Q26" s="356">
        <f>+'SEMANA DEL 2 AL 7-3-26'!BM26</f>
        <v>0</v>
      </c>
      <c r="R26" s="357">
        <v>0</v>
      </c>
      <c r="S26" s="357">
        <v>0</v>
      </c>
      <c r="T26" s="357">
        <v>0</v>
      </c>
      <c r="U26" s="357">
        <v>0</v>
      </c>
      <c r="V26" s="289"/>
      <c r="W26" s="190"/>
      <c r="X26" s="190"/>
      <c r="Y26" s="190"/>
      <c r="Z26" s="190"/>
      <c r="AA26" s="190"/>
      <c r="AB26" s="190"/>
      <c r="AC26" s="190"/>
      <c r="AD26" s="289"/>
      <c r="AE26" s="289"/>
      <c r="AF26" s="289"/>
      <c r="AG26" s="299"/>
      <c r="AH26" s="289"/>
      <c r="AI26" s="289"/>
      <c r="AJ26" s="289"/>
      <c r="AK26" s="289"/>
      <c r="AL26" s="289"/>
      <c r="AM26" s="190"/>
      <c r="AN26" s="289"/>
      <c r="AO26" s="289"/>
      <c r="AP26" s="183"/>
      <c r="AQ26" s="183"/>
      <c r="AR26" s="183"/>
      <c r="AS26" s="113"/>
      <c r="AT26" s="113"/>
      <c r="AU26" s="190"/>
      <c r="AV26" s="190"/>
      <c r="AW26" s="189"/>
      <c r="AX26" s="189">
        <f t="shared" si="11"/>
        <v>9.9999999999999645E-2</v>
      </c>
      <c r="AY26" s="189">
        <f t="shared" si="12"/>
        <v>0.17999999999999972</v>
      </c>
      <c r="AZ26" s="189">
        <f t="shared" si="13"/>
        <v>12.000000000000021</v>
      </c>
      <c r="BA26" s="189">
        <f t="shared" si="14"/>
        <v>0</v>
      </c>
      <c r="BB26" s="189">
        <f t="shared" si="15"/>
        <v>0</v>
      </c>
      <c r="BC26" s="189">
        <f t="shared" si="16"/>
        <v>0</v>
      </c>
      <c r="BD26" s="189">
        <f t="shared" si="17"/>
        <v>0</v>
      </c>
      <c r="BE26" s="189">
        <f t="shared" si="18"/>
        <v>0</v>
      </c>
      <c r="BF26" s="189">
        <f t="shared" si="19"/>
        <v>0</v>
      </c>
      <c r="BG26" s="189">
        <f t="shared" si="20"/>
        <v>0</v>
      </c>
      <c r="BH26" s="189">
        <f t="shared" si="21"/>
        <v>0</v>
      </c>
      <c r="BI26" s="189">
        <f t="shared" si="22"/>
        <v>0</v>
      </c>
      <c r="BJ26" s="189">
        <f t="shared" si="23"/>
        <v>0</v>
      </c>
      <c r="BK26" s="189">
        <f t="shared" si="24"/>
        <v>0</v>
      </c>
      <c r="BL26" s="189">
        <f t="shared" si="25"/>
        <v>0</v>
      </c>
      <c r="BM26" s="189">
        <f t="shared" si="26"/>
        <v>0</v>
      </c>
      <c r="BN26" s="258"/>
      <c r="BO26" s="258">
        <f t="shared" si="51"/>
        <v>0</v>
      </c>
      <c r="BP26" s="71">
        <f t="shared" si="52"/>
        <v>0</v>
      </c>
      <c r="BQ26" s="112">
        <f t="shared" si="53"/>
        <v>0</v>
      </c>
      <c r="BR26" s="112">
        <f t="shared" si="54"/>
        <v>0</v>
      </c>
      <c r="BS26" s="112">
        <f t="shared" si="55"/>
        <v>0</v>
      </c>
      <c r="BT26" s="112">
        <f t="shared" si="56"/>
        <v>0</v>
      </c>
      <c r="BU26" s="112">
        <f t="shared" si="57"/>
        <v>0</v>
      </c>
      <c r="BV26" s="112">
        <f t="shared" si="58"/>
        <v>0</v>
      </c>
      <c r="BW26" s="112">
        <f t="shared" si="59"/>
        <v>0</v>
      </c>
      <c r="BX26" s="112">
        <f t="shared" si="60"/>
        <v>0</v>
      </c>
      <c r="BY26" s="71">
        <f t="shared" si="61"/>
        <v>0</v>
      </c>
      <c r="BZ26" s="112">
        <f t="shared" si="62"/>
        <v>0</v>
      </c>
      <c r="CA26" s="189"/>
      <c r="CB26" s="183"/>
      <c r="CC26" s="71">
        <f t="shared" si="32"/>
        <v>0</v>
      </c>
      <c r="CD26" s="71">
        <f t="shared" si="42"/>
        <v>0</v>
      </c>
      <c r="CE26" s="71">
        <f t="shared" si="33"/>
        <v>0</v>
      </c>
      <c r="CF26" s="71">
        <f t="shared" si="34"/>
        <v>0</v>
      </c>
      <c r="CG26" s="71">
        <f t="shared" si="35"/>
        <v>0</v>
      </c>
      <c r="CH26" s="166">
        <f t="shared" si="36"/>
        <v>0</v>
      </c>
      <c r="CI26" s="259">
        <f t="shared" si="37"/>
        <v>0</v>
      </c>
      <c r="CJ26" s="79"/>
      <c r="CK26" s="172"/>
      <c r="CL26" s="198"/>
      <c r="CM26" s="173"/>
      <c r="CN26" s="197"/>
      <c r="CO26" s="195"/>
      <c r="CP26" s="197"/>
      <c r="CQ26" s="79"/>
      <c r="CR26" s="297" t="str">
        <f t="shared" si="38"/>
        <v xml:space="preserve">MARTHA SILVA </v>
      </c>
      <c r="CS26" s="310" t="str">
        <f>+'SEMANA DEL 2 AL 7-3-26'!CS26</f>
        <v>V-28,636.032</v>
      </c>
      <c r="CT26" s="304">
        <f t="shared" si="47"/>
        <v>0</v>
      </c>
      <c r="CU26" s="304">
        <f t="shared" si="48"/>
        <v>0</v>
      </c>
      <c r="CV26" s="304"/>
      <c r="CW26" s="305">
        <f t="shared" si="49"/>
        <v>0</v>
      </c>
      <c r="CX26" s="305"/>
      <c r="CY26" s="304"/>
      <c r="CZ26" s="304">
        <f t="shared" si="50"/>
        <v>0</v>
      </c>
      <c r="DA26" s="304">
        <f t="shared" si="41"/>
        <v>0</v>
      </c>
      <c r="DB26" s="306">
        <f t="shared" si="9"/>
        <v>0</v>
      </c>
      <c r="DC26" s="321">
        <f t="shared" si="10"/>
        <v>0</v>
      </c>
    </row>
    <row r="27" spans="1:107" ht="18" customHeight="1" x14ac:dyDescent="0.25">
      <c r="A27" s="355" t="str">
        <f>+'SEMANA DEL 2 AL 7-3-26'!A27</f>
        <v>MARIELA MARTINEZ</v>
      </c>
      <c r="B27" s="356">
        <f>+'SEMANA DEL 2 AL 7-3-26'!AX27</f>
        <v>0</v>
      </c>
      <c r="C27" s="356">
        <f>+'SEMANA DEL 2 AL 7-3-26'!AY27</f>
        <v>-3.9999999999977831E-3</v>
      </c>
      <c r="D27" s="356">
        <f>+'SEMANA DEL 2 AL 7-3-26'!AZ27</f>
        <v>0</v>
      </c>
      <c r="E27" s="356">
        <f>+'SEMANA DEL 2 AL 7-3-26'!BA27</f>
        <v>0</v>
      </c>
      <c r="F27" s="356">
        <f>+'SEMANA DEL 2 AL 7-3-26'!BB27</f>
        <v>0</v>
      </c>
      <c r="G27" s="356">
        <f>+'SEMANA DEL 2 AL 7-3-26'!BC27</f>
        <v>0</v>
      </c>
      <c r="H27" s="356">
        <f>+'SEMANA DEL 2 AL 7-3-26'!BD27</f>
        <v>0</v>
      </c>
      <c r="I27" s="356">
        <f>+'SEMANA DEL 2 AL 7-3-26'!BE27</f>
        <v>0</v>
      </c>
      <c r="J27" s="356">
        <f>+'SEMANA DEL 2 AL 7-3-26'!BF27</f>
        <v>0</v>
      </c>
      <c r="K27" s="356">
        <f>+'SEMANA DEL 2 AL 7-3-26'!BG27</f>
        <v>0</v>
      </c>
      <c r="L27" s="356">
        <f>+'SEMANA DEL 2 AL 7-3-26'!BH27</f>
        <v>0</v>
      </c>
      <c r="M27" s="356">
        <f>+'SEMANA DEL 2 AL 7-3-26'!BI27</f>
        <v>0</v>
      </c>
      <c r="N27" s="356">
        <f>+'SEMANA DEL 2 AL 7-3-26'!BJ27</f>
        <v>0</v>
      </c>
      <c r="O27" s="356">
        <f>+'SEMANA DEL 2 AL 7-3-26'!BK27</f>
        <v>0</v>
      </c>
      <c r="P27" s="356">
        <f>+'SEMANA DEL 2 AL 7-3-26'!BL27</f>
        <v>0</v>
      </c>
      <c r="Q27" s="356">
        <f>+'SEMANA DEL 2 AL 7-3-26'!BM27</f>
        <v>0</v>
      </c>
      <c r="R27" s="357">
        <v>0</v>
      </c>
      <c r="S27" s="357">
        <v>0</v>
      </c>
      <c r="T27" s="357">
        <v>0</v>
      </c>
      <c r="U27" s="357">
        <v>0</v>
      </c>
      <c r="V27" s="289"/>
      <c r="W27" s="190"/>
      <c r="X27" s="190"/>
      <c r="Y27" s="190"/>
      <c r="Z27" s="190"/>
      <c r="AA27" s="190"/>
      <c r="AB27" s="190"/>
      <c r="AC27" s="190"/>
      <c r="AD27" s="289"/>
      <c r="AE27" s="289"/>
      <c r="AF27" s="289"/>
      <c r="AG27" s="299"/>
      <c r="AH27" s="289"/>
      <c r="AI27" s="289"/>
      <c r="AJ27" s="289"/>
      <c r="AK27" s="289"/>
      <c r="AL27" s="299"/>
      <c r="AM27" s="183"/>
      <c r="AN27" s="289"/>
      <c r="AO27" s="289"/>
      <c r="AP27" s="183"/>
      <c r="AQ27" s="183"/>
      <c r="AR27" s="183"/>
      <c r="AS27" s="113"/>
      <c r="AT27" s="113"/>
      <c r="AU27" s="190"/>
      <c r="AV27" s="190"/>
      <c r="AW27" s="189"/>
      <c r="AX27" s="189">
        <f t="shared" si="11"/>
        <v>0</v>
      </c>
      <c r="AY27" s="189">
        <f t="shared" si="12"/>
        <v>-3.9999999999977831E-3</v>
      </c>
      <c r="AZ27" s="189">
        <f t="shared" si="13"/>
        <v>0</v>
      </c>
      <c r="BA27" s="189">
        <f t="shared" si="14"/>
        <v>0</v>
      </c>
      <c r="BB27" s="189">
        <f t="shared" si="15"/>
        <v>0</v>
      </c>
      <c r="BC27" s="189">
        <f t="shared" si="16"/>
        <v>0</v>
      </c>
      <c r="BD27" s="189">
        <f t="shared" si="17"/>
        <v>0</v>
      </c>
      <c r="BE27" s="189">
        <f t="shared" si="18"/>
        <v>0</v>
      </c>
      <c r="BF27" s="189">
        <f t="shared" si="19"/>
        <v>0</v>
      </c>
      <c r="BG27" s="189">
        <f t="shared" si="20"/>
        <v>0</v>
      </c>
      <c r="BH27" s="189">
        <f t="shared" si="21"/>
        <v>0</v>
      </c>
      <c r="BI27" s="189">
        <f t="shared" si="22"/>
        <v>0</v>
      </c>
      <c r="BJ27" s="189">
        <f t="shared" si="23"/>
        <v>0</v>
      </c>
      <c r="BK27" s="189">
        <f t="shared" si="24"/>
        <v>0</v>
      </c>
      <c r="BL27" s="189">
        <f t="shared" si="25"/>
        <v>0</v>
      </c>
      <c r="BM27" s="189">
        <f t="shared" si="26"/>
        <v>0</v>
      </c>
      <c r="BN27" s="258"/>
      <c r="BO27" s="258">
        <f t="shared" si="51"/>
        <v>0</v>
      </c>
      <c r="BP27" s="71">
        <f t="shared" si="52"/>
        <v>0</v>
      </c>
      <c r="BQ27" s="112">
        <f t="shared" si="53"/>
        <v>0</v>
      </c>
      <c r="BR27" s="112">
        <f t="shared" si="54"/>
        <v>0</v>
      </c>
      <c r="BS27" s="112">
        <f t="shared" si="55"/>
        <v>0</v>
      </c>
      <c r="BT27" s="112">
        <f t="shared" si="56"/>
        <v>0</v>
      </c>
      <c r="BU27" s="112">
        <f t="shared" si="57"/>
        <v>0</v>
      </c>
      <c r="BV27" s="112">
        <f t="shared" si="58"/>
        <v>0</v>
      </c>
      <c r="BW27" s="112">
        <f t="shared" si="59"/>
        <v>0</v>
      </c>
      <c r="BX27" s="112">
        <f t="shared" si="60"/>
        <v>0</v>
      </c>
      <c r="BY27" s="71">
        <f t="shared" si="61"/>
        <v>0</v>
      </c>
      <c r="BZ27" s="112">
        <f t="shared" si="62"/>
        <v>0</v>
      </c>
      <c r="CA27" s="189"/>
      <c r="CB27" s="183"/>
      <c r="CC27" s="71">
        <f t="shared" si="32"/>
        <v>0</v>
      </c>
      <c r="CD27" s="71">
        <f t="shared" si="42"/>
        <v>0</v>
      </c>
      <c r="CE27" s="71">
        <f t="shared" si="33"/>
        <v>0</v>
      </c>
      <c r="CF27" s="71">
        <f t="shared" si="34"/>
        <v>0</v>
      </c>
      <c r="CG27" s="71">
        <f t="shared" si="35"/>
        <v>0</v>
      </c>
      <c r="CH27" s="166">
        <f t="shared" si="36"/>
        <v>0</v>
      </c>
      <c r="CI27" s="259">
        <f t="shared" si="37"/>
        <v>0</v>
      </c>
      <c r="CJ27" s="52"/>
      <c r="CK27" s="172"/>
      <c r="CL27" s="198"/>
      <c r="CM27" s="173"/>
      <c r="CN27" s="197"/>
      <c r="CO27" s="195"/>
      <c r="CP27" s="197"/>
      <c r="CQ27" s="135"/>
      <c r="CR27" s="297" t="str">
        <f t="shared" si="38"/>
        <v>MARIELA MARTINEZ</v>
      </c>
      <c r="CS27" s="310">
        <f>+'SEMANA DEL 2 AL 7-3-26'!CS27</f>
        <v>0</v>
      </c>
      <c r="CT27" s="304">
        <f t="shared" si="47"/>
        <v>0</v>
      </c>
      <c r="CU27" s="304">
        <f t="shared" si="48"/>
        <v>0</v>
      </c>
      <c r="CV27" s="304"/>
      <c r="CW27" s="305">
        <f t="shared" si="49"/>
        <v>0</v>
      </c>
      <c r="CX27" s="305"/>
      <c r="CY27" s="304"/>
      <c r="CZ27" s="304">
        <f t="shared" si="50"/>
        <v>0</v>
      </c>
      <c r="DA27" s="304">
        <f t="shared" si="41"/>
        <v>0</v>
      </c>
      <c r="DB27" s="306">
        <f t="shared" si="9"/>
        <v>0</v>
      </c>
      <c r="DC27" s="321">
        <f t="shared" si="10"/>
        <v>0</v>
      </c>
    </row>
    <row r="28" spans="1:107" ht="18" customHeight="1" x14ac:dyDescent="0.25">
      <c r="A28" s="355" t="str">
        <f>+'SEMANA DEL 2 AL 7-3-26'!A28</f>
        <v xml:space="preserve">MANUEL CONTRERAS </v>
      </c>
      <c r="B28" s="356">
        <f>+'SEMANA DEL 2 AL 7-3-26'!AX28</f>
        <v>0</v>
      </c>
      <c r="C28" s="356">
        <f>+'SEMANA DEL 2 AL 7-3-26'!AY28</f>
        <v>-3.9999999999977831E-3</v>
      </c>
      <c r="D28" s="356">
        <f>+'SEMANA DEL 2 AL 7-3-26'!AZ28</f>
        <v>0</v>
      </c>
      <c r="E28" s="356">
        <f>+'SEMANA DEL 2 AL 7-3-26'!BA28</f>
        <v>0</v>
      </c>
      <c r="F28" s="356">
        <f>+'SEMANA DEL 2 AL 7-3-26'!BB28</f>
        <v>0</v>
      </c>
      <c r="G28" s="356">
        <f>+'SEMANA DEL 2 AL 7-3-26'!BC28</f>
        <v>0</v>
      </c>
      <c r="H28" s="356">
        <f>+'SEMANA DEL 2 AL 7-3-26'!BD28</f>
        <v>0</v>
      </c>
      <c r="I28" s="356">
        <f>+'SEMANA DEL 2 AL 7-3-26'!BE28</f>
        <v>0</v>
      </c>
      <c r="J28" s="356">
        <f>+'SEMANA DEL 2 AL 7-3-26'!BF28</f>
        <v>0</v>
      </c>
      <c r="K28" s="356">
        <f>+'SEMANA DEL 2 AL 7-3-26'!BG28</f>
        <v>0</v>
      </c>
      <c r="L28" s="356">
        <f>+'SEMANA DEL 2 AL 7-3-26'!BH28</f>
        <v>0</v>
      </c>
      <c r="M28" s="356">
        <f>+'SEMANA DEL 2 AL 7-3-26'!BI28</f>
        <v>0</v>
      </c>
      <c r="N28" s="356">
        <f>+'SEMANA DEL 2 AL 7-3-26'!BJ28</f>
        <v>0</v>
      </c>
      <c r="O28" s="356">
        <f>+'SEMANA DEL 2 AL 7-3-26'!BK28</f>
        <v>0</v>
      </c>
      <c r="P28" s="356">
        <f>+'SEMANA DEL 2 AL 7-3-26'!BL28</f>
        <v>0</v>
      </c>
      <c r="Q28" s="356">
        <f>+'SEMANA DEL 2 AL 7-3-26'!BM28</f>
        <v>0</v>
      </c>
      <c r="R28" s="357">
        <v>0</v>
      </c>
      <c r="S28" s="357">
        <v>0</v>
      </c>
      <c r="T28" s="357">
        <v>0</v>
      </c>
      <c r="U28" s="357">
        <v>0</v>
      </c>
      <c r="V28" s="289"/>
      <c r="W28" s="190"/>
      <c r="X28" s="190"/>
      <c r="Y28" s="190"/>
      <c r="Z28" s="190"/>
      <c r="AA28" s="190"/>
      <c r="AB28" s="190"/>
      <c r="AC28" s="190"/>
      <c r="AD28" s="289"/>
      <c r="AE28" s="289"/>
      <c r="AF28" s="289"/>
      <c r="AG28" s="299"/>
      <c r="AH28" s="357"/>
      <c r="AI28" s="357"/>
      <c r="AJ28" s="357"/>
      <c r="AK28" s="357"/>
      <c r="AL28" s="289"/>
      <c r="AM28" s="190"/>
      <c r="AN28" s="190"/>
      <c r="AO28" s="289"/>
      <c r="AP28" s="183"/>
      <c r="AQ28" s="183"/>
      <c r="AR28" s="183"/>
      <c r="AS28" s="113"/>
      <c r="AT28" s="113"/>
      <c r="AU28" s="190"/>
      <c r="AV28" s="190"/>
      <c r="AW28" s="189"/>
      <c r="AX28" s="189">
        <f t="shared" si="11"/>
        <v>0</v>
      </c>
      <c r="AY28" s="189">
        <f t="shared" si="12"/>
        <v>-3.9999999999977831E-3</v>
      </c>
      <c r="AZ28" s="189">
        <f t="shared" si="13"/>
        <v>0</v>
      </c>
      <c r="BA28" s="189">
        <f t="shared" si="14"/>
        <v>0</v>
      </c>
      <c r="BB28" s="189">
        <f t="shared" si="15"/>
        <v>0</v>
      </c>
      <c r="BC28" s="189">
        <f t="shared" si="16"/>
        <v>0</v>
      </c>
      <c r="BD28" s="189">
        <f t="shared" si="17"/>
        <v>0</v>
      </c>
      <c r="BE28" s="189">
        <f t="shared" si="18"/>
        <v>0</v>
      </c>
      <c r="BF28" s="189">
        <f t="shared" si="19"/>
        <v>0</v>
      </c>
      <c r="BG28" s="189">
        <f t="shared" si="20"/>
        <v>0</v>
      </c>
      <c r="BH28" s="189">
        <f t="shared" si="21"/>
        <v>0</v>
      </c>
      <c r="BI28" s="189">
        <f t="shared" si="22"/>
        <v>0</v>
      </c>
      <c r="BJ28" s="189">
        <f t="shared" si="23"/>
        <v>0</v>
      </c>
      <c r="BK28" s="189">
        <f t="shared" si="24"/>
        <v>0</v>
      </c>
      <c r="BL28" s="189">
        <f t="shared" si="25"/>
        <v>0</v>
      </c>
      <c r="BM28" s="189">
        <f t="shared" si="26"/>
        <v>0</v>
      </c>
      <c r="BN28" s="258"/>
      <c r="BO28" s="258">
        <f t="shared" si="51"/>
        <v>0</v>
      </c>
      <c r="BP28" s="71">
        <f t="shared" si="52"/>
        <v>0</v>
      </c>
      <c r="BQ28" s="112">
        <f t="shared" si="53"/>
        <v>0</v>
      </c>
      <c r="BR28" s="112">
        <f t="shared" si="54"/>
        <v>0</v>
      </c>
      <c r="BS28" s="112">
        <f t="shared" si="55"/>
        <v>0</v>
      </c>
      <c r="BT28" s="112">
        <f t="shared" si="56"/>
        <v>0</v>
      </c>
      <c r="BU28" s="112">
        <f t="shared" si="57"/>
        <v>0</v>
      </c>
      <c r="BV28" s="112">
        <f t="shared" si="58"/>
        <v>0</v>
      </c>
      <c r="BW28" s="112">
        <f t="shared" si="59"/>
        <v>0</v>
      </c>
      <c r="BX28" s="112">
        <f t="shared" si="60"/>
        <v>0</v>
      </c>
      <c r="BY28" s="71">
        <f t="shared" si="61"/>
        <v>0</v>
      </c>
      <c r="BZ28" s="112">
        <f t="shared" si="62"/>
        <v>0</v>
      </c>
      <c r="CA28" s="189"/>
      <c r="CB28" s="183"/>
      <c r="CC28" s="71">
        <f t="shared" si="32"/>
        <v>0</v>
      </c>
      <c r="CD28" s="71">
        <f t="shared" si="42"/>
        <v>0</v>
      </c>
      <c r="CE28" s="71">
        <f t="shared" si="33"/>
        <v>0</v>
      </c>
      <c r="CF28" s="71">
        <f t="shared" si="34"/>
        <v>0</v>
      </c>
      <c r="CG28" s="71">
        <f t="shared" si="35"/>
        <v>0</v>
      </c>
      <c r="CH28" s="166">
        <f t="shared" si="36"/>
        <v>0</v>
      </c>
      <c r="CI28" s="259">
        <f t="shared" si="37"/>
        <v>0</v>
      </c>
      <c r="CJ28" s="52"/>
      <c r="CK28" s="172"/>
      <c r="CL28" s="198"/>
      <c r="CM28" s="173"/>
      <c r="CN28" s="197"/>
      <c r="CO28" s="195"/>
      <c r="CP28" s="197"/>
      <c r="CQ28" s="135"/>
      <c r="CR28" s="297" t="str">
        <f t="shared" si="38"/>
        <v xml:space="preserve">MANUEL CONTRERAS </v>
      </c>
      <c r="CS28" s="310">
        <f>+'SEMANA DEL 2 AL 7-3-26'!CS28</f>
        <v>0</v>
      </c>
      <c r="CT28" s="304">
        <f t="shared" si="47"/>
        <v>0</v>
      </c>
      <c r="CU28" s="304">
        <f t="shared" si="48"/>
        <v>0</v>
      </c>
      <c r="CV28" s="304"/>
      <c r="CW28" s="305">
        <f t="shared" si="49"/>
        <v>0</v>
      </c>
      <c r="CX28" s="305"/>
      <c r="CY28" s="304"/>
      <c r="CZ28" s="304">
        <f t="shared" si="50"/>
        <v>0</v>
      </c>
      <c r="DA28" s="304">
        <f t="shared" si="41"/>
        <v>0</v>
      </c>
      <c r="DB28" s="306">
        <f t="shared" si="9"/>
        <v>0</v>
      </c>
      <c r="DC28" s="321">
        <f t="shared" si="10"/>
        <v>0</v>
      </c>
    </row>
    <row r="29" spans="1:107" ht="18" customHeight="1" x14ac:dyDescent="0.25">
      <c r="A29" s="355" t="str">
        <f>+'SEMANA DEL 2 AL 7-3-26'!A29</f>
        <v xml:space="preserve">MARIA MEDINA </v>
      </c>
      <c r="B29" s="356">
        <f>+'SEMANA DEL 2 AL 7-3-26'!AX29</f>
        <v>0</v>
      </c>
      <c r="C29" s="356">
        <f>+'SEMANA DEL 2 AL 7-3-26'!AY29</f>
        <v>-3.9999999999977831E-3</v>
      </c>
      <c r="D29" s="356">
        <f>+'SEMANA DEL 2 AL 7-3-26'!AZ29</f>
        <v>0</v>
      </c>
      <c r="E29" s="356">
        <f>+'SEMANA DEL 2 AL 7-3-26'!BA29</f>
        <v>0</v>
      </c>
      <c r="F29" s="356">
        <f>+'SEMANA DEL 2 AL 7-3-26'!BB29</f>
        <v>0</v>
      </c>
      <c r="G29" s="356">
        <f>+'SEMANA DEL 2 AL 7-3-26'!BC29</f>
        <v>0</v>
      </c>
      <c r="H29" s="356">
        <f>+'SEMANA DEL 2 AL 7-3-26'!BD29</f>
        <v>0</v>
      </c>
      <c r="I29" s="356">
        <f>+'SEMANA DEL 2 AL 7-3-26'!BE29</f>
        <v>0</v>
      </c>
      <c r="J29" s="356">
        <f>+'SEMANA DEL 2 AL 7-3-26'!BF29</f>
        <v>0</v>
      </c>
      <c r="K29" s="356">
        <f>+'SEMANA DEL 2 AL 7-3-26'!BG29</f>
        <v>0</v>
      </c>
      <c r="L29" s="356">
        <f>+'SEMANA DEL 2 AL 7-3-26'!BH29</f>
        <v>0</v>
      </c>
      <c r="M29" s="356">
        <f>+'SEMANA DEL 2 AL 7-3-26'!BI29</f>
        <v>0</v>
      </c>
      <c r="N29" s="356">
        <f>+'SEMANA DEL 2 AL 7-3-26'!BJ29</f>
        <v>0</v>
      </c>
      <c r="O29" s="356">
        <f>+'SEMANA DEL 2 AL 7-3-26'!BK29</f>
        <v>0</v>
      </c>
      <c r="P29" s="356">
        <f>+'SEMANA DEL 2 AL 7-3-26'!BL29</f>
        <v>0</v>
      </c>
      <c r="Q29" s="356">
        <f>+'SEMANA DEL 2 AL 7-3-26'!BM29</f>
        <v>0</v>
      </c>
      <c r="R29" s="357">
        <v>5</v>
      </c>
      <c r="S29" s="357">
        <v>9</v>
      </c>
      <c r="T29" s="357">
        <v>35</v>
      </c>
      <c r="U29" s="357">
        <v>4</v>
      </c>
      <c r="V29" s="289"/>
      <c r="W29" s="190"/>
      <c r="X29" s="190"/>
      <c r="Y29" s="190"/>
      <c r="Z29" s="190"/>
      <c r="AA29" s="190"/>
      <c r="AB29" s="190"/>
      <c r="AC29" s="190"/>
      <c r="AD29" s="289"/>
      <c r="AE29" s="289"/>
      <c r="AF29" s="289"/>
      <c r="AG29" s="299"/>
      <c r="AH29" s="289">
        <v>5</v>
      </c>
      <c r="AI29" s="289">
        <v>9</v>
      </c>
      <c r="AJ29" s="289">
        <v>35</v>
      </c>
      <c r="AK29" s="289">
        <v>4</v>
      </c>
      <c r="AL29" s="289"/>
      <c r="AM29" s="183"/>
      <c r="AN29" s="289"/>
      <c r="AO29" s="289"/>
      <c r="AP29" s="183"/>
      <c r="AQ29" s="183"/>
      <c r="AR29" s="183"/>
      <c r="AS29" s="113"/>
      <c r="AT29" s="113"/>
      <c r="AU29" s="190"/>
      <c r="AV29" s="190"/>
      <c r="AW29" s="189"/>
      <c r="AX29" s="189">
        <f t="shared" si="11"/>
        <v>0</v>
      </c>
      <c r="AY29" s="189">
        <f t="shared" si="12"/>
        <v>-3.9999999999977831E-3</v>
      </c>
      <c r="AZ29" s="189">
        <f t="shared" si="13"/>
        <v>0</v>
      </c>
      <c r="BA29" s="189">
        <f t="shared" si="14"/>
        <v>0</v>
      </c>
      <c r="BB29" s="189">
        <f t="shared" si="15"/>
        <v>0</v>
      </c>
      <c r="BC29" s="189">
        <f t="shared" si="16"/>
        <v>0</v>
      </c>
      <c r="BD29" s="189">
        <f t="shared" si="17"/>
        <v>0</v>
      </c>
      <c r="BE29" s="189">
        <f t="shared" si="18"/>
        <v>0</v>
      </c>
      <c r="BF29" s="189">
        <f t="shared" si="19"/>
        <v>0</v>
      </c>
      <c r="BG29" s="189">
        <f t="shared" si="20"/>
        <v>0</v>
      </c>
      <c r="BH29" s="189">
        <f t="shared" si="21"/>
        <v>0</v>
      </c>
      <c r="BI29" s="189">
        <f t="shared" si="22"/>
        <v>0</v>
      </c>
      <c r="BJ29" s="189">
        <f t="shared" si="23"/>
        <v>0</v>
      </c>
      <c r="BK29" s="189">
        <f t="shared" si="24"/>
        <v>0</v>
      </c>
      <c r="BL29" s="189">
        <f t="shared" si="25"/>
        <v>0</v>
      </c>
      <c r="BM29" s="189">
        <f t="shared" si="26"/>
        <v>0</v>
      </c>
      <c r="BN29" s="258">
        <v>5000</v>
      </c>
      <c r="BO29" s="258">
        <f t="shared" si="51"/>
        <v>0</v>
      </c>
      <c r="BP29" s="71">
        <f t="shared" si="52"/>
        <v>0</v>
      </c>
      <c r="BQ29" s="112">
        <f t="shared" si="53"/>
        <v>0</v>
      </c>
      <c r="BR29" s="112">
        <f t="shared" si="54"/>
        <v>0</v>
      </c>
      <c r="BS29" s="112">
        <f t="shared" si="55"/>
        <v>0</v>
      </c>
      <c r="BT29" s="112">
        <f t="shared" si="56"/>
        <v>0</v>
      </c>
      <c r="BU29" s="112">
        <f t="shared" si="57"/>
        <v>0</v>
      </c>
      <c r="BV29" s="112">
        <f t="shared" si="58"/>
        <v>0</v>
      </c>
      <c r="BW29" s="112">
        <f t="shared" si="59"/>
        <v>0</v>
      </c>
      <c r="BX29" s="112">
        <f t="shared" si="60"/>
        <v>0</v>
      </c>
      <c r="BY29" s="71">
        <f t="shared" si="61"/>
        <v>0</v>
      </c>
      <c r="BZ29" s="112">
        <f t="shared" si="62"/>
        <v>0</v>
      </c>
      <c r="CA29" s="189"/>
      <c r="CB29" s="183"/>
      <c r="CC29" s="71">
        <f t="shared" si="32"/>
        <v>80</v>
      </c>
      <c r="CD29" s="71">
        <f>+AI29*12+12</f>
        <v>120</v>
      </c>
      <c r="CE29" s="71">
        <f t="shared" si="33"/>
        <v>105</v>
      </c>
      <c r="CF29" s="71">
        <f t="shared" si="34"/>
        <v>305</v>
      </c>
      <c r="CG29" s="71">
        <f t="shared" si="35"/>
        <v>425305</v>
      </c>
      <c r="CH29" s="166">
        <f t="shared" si="36"/>
        <v>0</v>
      </c>
      <c r="CI29" s="259">
        <f t="shared" si="37"/>
        <v>425000</v>
      </c>
      <c r="CJ29" s="52"/>
      <c r="CK29" s="172"/>
      <c r="CL29" s="198"/>
      <c r="CM29" s="173"/>
      <c r="CN29" s="197"/>
      <c r="CO29" s="195"/>
      <c r="CP29" s="197"/>
      <c r="CQ29" s="135"/>
      <c r="CR29" s="297" t="str">
        <f t="shared" si="38"/>
        <v xml:space="preserve">MARIA MEDINA </v>
      </c>
      <c r="CS29" s="310" t="str">
        <f>+'SEMANA DEL 2 AL 7-3-26'!CS29</f>
        <v>V-22.680.548</v>
      </c>
      <c r="CT29" s="304">
        <f>+BN29</f>
        <v>5000</v>
      </c>
      <c r="CU29" s="304">
        <f>+AW29</f>
        <v>0</v>
      </c>
      <c r="CV29" s="304"/>
      <c r="CW29" s="305">
        <f>+CV29*230</f>
        <v>0</v>
      </c>
      <c r="CX29" s="305">
        <v>1.1000000000000001</v>
      </c>
      <c r="CY29" s="304">
        <v>1</v>
      </c>
      <c r="CZ29" s="304">
        <f>+CX29*6500+CY29*3500</f>
        <v>10650</v>
      </c>
      <c r="DA29" s="304">
        <f t="shared" si="41"/>
        <v>375000</v>
      </c>
      <c r="DB29" s="306">
        <f t="shared" si="9"/>
        <v>425000</v>
      </c>
      <c r="DC29" s="321">
        <f t="shared" si="10"/>
        <v>435650</v>
      </c>
    </row>
    <row r="30" spans="1:107" ht="18" customHeight="1" x14ac:dyDescent="0.25">
      <c r="A30" s="355" t="str">
        <f>+'SEMANA DEL 2 AL 7-3-26'!A30</f>
        <v xml:space="preserve">PETTER BENAVIDES </v>
      </c>
      <c r="B30" s="356">
        <f>+'SEMANA DEL 2 AL 7-3-26'!AX30</f>
        <v>0</v>
      </c>
      <c r="C30" s="356">
        <f>+'SEMANA DEL 2 AL 7-3-26'!AY30</f>
        <v>0</v>
      </c>
      <c r="D30" s="356">
        <f>+'SEMANA DEL 2 AL 7-3-26'!AZ30</f>
        <v>0</v>
      </c>
      <c r="E30" s="356">
        <f>+'SEMANA DEL 2 AL 7-3-26'!BA30</f>
        <v>0</v>
      </c>
      <c r="F30" s="356">
        <f>+'SEMANA DEL 2 AL 7-3-26'!BB30</f>
        <v>0</v>
      </c>
      <c r="G30" s="356">
        <f>+'SEMANA DEL 2 AL 7-3-26'!BC30</f>
        <v>0</v>
      </c>
      <c r="H30" s="356">
        <f>+'SEMANA DEL 2 AL 7-3-26'!BD30</f>
        <v>0</v>
      </c>
      <c r="I30" s="356">
        <f>+'SEMANA DEL 2 AL 7-3-26'!BE30</f>
        <v>2</v>
      </c>
      <c r="J30" s="356">
        <f>+'SEMANA DEL 2 AL 7-3-26'!BF30</f>
        <v>0</v>
      </c>
      <c r="K30" s="356">
        <f>+'SEMANA DEL 2 AL 7-3-26'!BG30</f>
        <v>0</v>
      </c>
      <c r="L30" s="356">
        <f>+'SEMANA DEL 2 AL 7-3-26'!BH30</f>
        <v>0</v>
      </c>
      <c r="M30" s="356">
        <f>+'SEMANA DEL 2 AL 7-3-26'!BI30</f>
        <v>0</v>
      </c>
      <c r="N30" s="356">
        <f>+'SEMANA DEL 2 AL 7-3-26'!BJ30</f>
        <v>0</v>
      </c>
      <c r="O30" s="356">
        <f>+'SEMANA DEL 2 AL 7-3-26'!BK30</f>
        <v>0</v>
      </c>
      <c r="P30" s="356">
        <f>+'SEMANA DEL 2 AL 7-3-26'!BL30</f>
        <v>0</v>
      </c>
      <c r="Q30" s="356">
        <f>+'SEMANA DEL 2 AL 7-3-26'!BM30</f>
        <v>0</v>
      </c>
      <c r="R30" s="357">
        <v>10</v>
      </c>
      <c r="S30" s="357">
        <v>18</v>
      </c>
      <c r="T30" s="357">
        <v>70</v>
      </c>
      <c r="U30" s="357">
        <v>8</v>
      </c>
      <c r="V30" s="289"/>
      <c r="W30" s="190"/>
      <c r="X30" s="190"/>
      <c r="Y30" s="190"/>
      <c r="Z30" s="190"/>
      <c r="AA30" s="190"/>
      <c r="AB30" s="190"/>
      <c r="AC30" s="190"/>
      <c r="AD30" s="289"/>
      <c r="AE30" s="289"/>
      <c r="AF30" s="289"/>
      <c r="AG30" s="299"/>
      <c r="AH30" s="357"/>
      <c r="AI30" s="357"/>
      <c r="AJ30" s="357"/>
      <c r="AK30" s="357"/>
      <c r="AL30" s="299"/>
      <c r="AM30" s="183"/>
      <c r="AN30" s="289"/>
      <c r="AO30" s="183"/>
      <c r="AP30" s="183"/>
      <c r="AQ30" s="183"/>
      <c r="AR30" s="183"/>
      <c r="AS30" s="113"/>
      <c r="AT30" s="113"/>
      <c r="AU30" s="190"/>
      <c r="AV30" s="190"/>
      <c r="AW30" s="189"/>
      <c r="AX30" s="189">
        <f t="shared" si="11"/>
        <v>10</v>
      </c>
      <c r="AY30" s="189">
        <f t="shared" si="12"/>
        <v>18</v>
      </c>
      <c r="AZ30" s="189">
        <f t="shared" si="13"/>
        <v>70</v>
      </c>
      <c r="BA30" s="189">
        <f t="shared" si="14"/>
        <v>8</v>
      </c>
      <c r="BB30" s="189">
        <f t="shared" si="15"/>
        <v>0</v>
      </c>
      <c r="BC30" s="189">
        <f t="shared" si="16"/>
        <v>0</v>
      </c>
      <c r="BD30" s="189">
        <f t="shared" si="17"/>
        <v>0</v>
      </c>
      <c r="BE30" s="189">
        <f t="shared" si="18"/>
        <v>2</v>
      </c>
      <c r="BF30" s="189">
        <f t="shared" si="19"/>
        <v>0</v>
      </c>
      <c r="BG30" s="189">
        <f t="shared" si="20"/>
        <v>0</v>
      </c>
      <c r="BH30" s="189">
        <f t="shared" si="21"/>
        <v>0</v>
      </c>
      <c r="BI30" s="189">
        <f t="shared" si="22"/>
        <v>0</v>
      </c>
      <c r="BJ30" s="189">
        <f t="shared" si="23"/>
        <v>0</v>
      </c>
      <c r="BK30" s="189">
        <f t="shared" si="24"/>
        <v>0</v>
      </c>
      <c r="BL30" s="189">
        <f t="shared" si="25"/>
        <v>0</v>
      </c>
      <c r="BM30" s="189">
        <f t="shared" si="26"/>
        <v>0</v>
      </c>
      <c r="BN30" s="258"/>
      <c r="BO30" s="258">
        <f t="shared" si="51"/>
        <v>0</v>
      </c>
      <c r="BP30" s="71">
        <f t="shared" si="52"/>
        <v>0</v>
      </c>
      <c r="BQ30" s="112">
        <f t="shared" si="53"/>
        <v>0</v>
      </c>
      <c r="BR30" s="112">
        <f t="shared" si="54"/>
        <v>0</v>
      </c>
      <c r="BS30" s="112">
        <f t="shared" si="55"/>
        <v>0</v>
      </c>
      <c r="BT30" s="112">
        <f t="shared" si="56"/>
        <v>0</v>
      </c>
      <c r="BU30" s="112">
        <f t="shared" si="57"/>
        <v>0</v>
      </c>
      <c r="BV30" s="112">
        <f t="shared" si="58"/>
        <v>0</v>
      </c>
      <c r="BW30" s="112">
        <f t="shared" si="59"/>
        <v>0</v>
      </c>
      <c r="BX30" s="112">
        <f t="shared" si="60"/>
        <v>0</v>
      </c>
      <c r="BY30" s="71">
        <f t="shared" si="61"/>
        <v>0</v>
      </c>
      <c r="BZ30" s="112">
        <f t="shared" si="62"/>
        <v>0</v>
      </c>
      <c r="CA30" s="189"/>
      <c r="CB30" s="183"/>
      <c r="CC30" s="71">
        <f t="shared" si="32"/>
        <v>0</v>
      </c>
      <c r="CD30" s="71">
        <f t="shared" si="42"/>
        <v>0</v>
      </c>
      <c r="CE30" s="71">
        <f t="shared" si="33"/>
        <v>0</v>
      </c>
      <c r="CF30" s="71">
        <f t="shared" si="34"/>
        <v>0</v>
      </c>
      <c r="CG30" s="71">
        <f t="shared" si="35"/>
        <v>0</v>
      </c>
      <c r="CH30" s="166">
        <f t="shared" si="36"/>
        <v>0</v>
      </c>
      <c r="CI30" s="259">
        <f t="shared" si="37"/>
        <v>0</v>
      </c>
      <c r="CJ30" s="52"/>
      <c r="CK30" s="172"/>
      <c r="CL30" s="198"/>
      <c r="CM30" s="173"/>
      <c r="CN30" s="197"/>
      <c r="CO30" s="195"/>
      <c r="CP30" s="197"/>
      <c r="CQ30" s="135"/>
      <c r="CR30" s="297" t="str">
        <f t="shared" si="38"/>
        <v xml:space="preserve">PETTER BENAVIDES </v>
      </c>
      <c r="CS30" s="310" t="str">
        <f>+'SEMANA DEL 2 AL 7-3-26'!CS30</f>
        <v>V-8991.028</v>
      </c>
      <c r="CT30" s="304">
        <f t="shared" si="47"/>
        <v>0</v>
      </c>
      <c r="CU30" s="304">
        <f t="shared" si="48"/>
        <v>0</v>
      </c>
      <c r="CV30" s="304"/>
      <c r="CW30" s="305">
        <f t="shared" si="49"/>
        <v>0</v>
      </c>
      <c r="CX30" s="305"/>
      <c r="CY30" s="304"/>
      <c r="CZ30" s="304">
        <f t="shared" ref="CZ30:CZ45" si="63">+CX30*6500+CY30*3500</f>
        <v>0</v>
      </c>
      <c r="DA30" s="304">
        <f t="shared" si="41"/>
        <v>0</v>
      </c>
      <c r="DB30" s="306">
        <f t="shared" si="9"/>
        <v>0</v>
      </c>
      <c r="DC30" s="321">
        <f t="shared" si="10"/>
        <v>0</v>
      </c>
    </row>
    <row r="31" spans="1:107" ht="18" customHeight="1" x14ac:dyDescent="0.25">
      <c r="A31" s="355" t="str">
        <f>+'SEMANA DEL 2 AL 7-3-26'!A31</f>
        <v xml:space="preserve">RAMON PARRA </v>
      </c>
      <c r="B31" s="356">
        <f>+'SEMANA DEL 2 AL 7-3-26'!AX31</f>
        <v>0</v>
      </c>
      <c r="C31" s="356">
        <f>+'SEMANA DEL 2 AL 7-3-26'!AY31</f>
        <v>0</v>
      </c>
      <c r="D31" s="356">
        <f>+'SEMANA DEL 2 AL 7-3-26'!AZ31</f>
        <v>0</v>
      </c>
      <c r="E31" s="356">
        <f>+'SEMANA DEL 2 AL 7-3-26'!BA31</f>
        <v>0</v>
      </c>
      <c r="F31" s="356">
        <f>+'SEMANA DEL 2 AL 7-3-26'!BB31</f>
        <v>0</v>
      </c>
      <c r="G31" s="356">
        <f>+'SEMANA DEL 2 AL 7-3-26'!BC31</f>
        <v>0</v>
      </c>
      <c r="H31" s="356">
        <f>+'SEMANA DEL 2 AL 7-3-26'!BD31</f>
        <v>0</v>
      </c>
      <c r="I31" s="356">
        <f>+'SEMANA DEL 2 AL 7-3-26'!BE31</f>
        <v>0</v>
      </c>
      <c r="J31" s="356">
        <f>+'SEMANA DEL 2 AL 7-3-26'!BF31</f>
        <v>0</v>
      </c>
      <c r="K31" s="356">
        <f>+'SEMANA DEL 2 AL 7-3-26'!BG31</f>
        <v>0</v>
      </c>
      <c r="L31" s="356">
        <f>+'SEMANA DEL 2 AL 7-3-26'!BH31</f>
        <v>0</v>
      </c>
      <c r="M31" s="356">
        <f>+'SEMANA DEL 2 AL 7-3-26'!BI31</f>
        <v>0</v>
      </c>
      <c r="N31" s="356">
        <f>+'SEMANA DEL 2 AL 7-3-26'!BJ31</f>
        <v>0</v>
      </c>
      <c r="O31" s="356">
        <f>+'SEMANA DEL 2 AL 7-3-26'!BK31</f>
        <v>0</v>
      </c>
      <c r="P31" s="356">
        <f>+'SEMANA DEL 2 AL 7-3-26'!BL31</f>
        <v>0</v>
      </c>
      <c r="Q31" s="356">
        <f>+'SEMANA DEL 2 AL 7-3-26'!BM31</f>
        <v>0</v>
      </c>
      <c r="R31" s="357">
        <v>5</v>
      </c>
      <c r="S31" s="357">
        <v>9</v>
      </c>
      <c r="T31" s="357">
        <v>35</v>
      </c>
      <c r="U31" s="357">
        <v>4</v>
      </c>
      <c r="V31" s="289"/>
      <c r="W31" s="190"/>
      <c r="X31" s="190"/>
      <c r="Y31" s="190"/>
      <c r="Z31" s="190"/>
      <c r="AA31" s="190"/>
      <c r="AB31" s="190"/>
      <c r="AC31" s="190"/>
      <c r="AD31" s="289"/>
      <c r="AE31" s="289"/>
      <c r="AF31" s="289"/>
      <c r="AG31" s="299"/>
      <c r="AH31" s="357">
        <v>5</v>
      </c>
      <c r="AI31" s="357">
        <v>9</v>
      </c>
      <c r="AJ31" s="357">
        <v>35</v>
      </c>
      <c r="AK31" s="357">
        <v>4</v>
      </c>
      <c r="AL31" s="289"/>
      <c r="AM31" s="190"/>
      <c r="AN31" s="190"/>
      <c r="AO31" s="190"/>
      <c r="AP31" s="183"/>
      <c r="AQ31" s="183"/>
      <c r="AR31" s="183"/>
      <c r="AS31" s="113"/>
      <c r="AT31" s="113"/>
      <c r="AU31" s="190"/>
      <c r="AV31" s="190"/>
      <c r="AW31" s="189"/>
      <c r="AX31" s="189">
        <f t="shared" si="11"/>
        <v>0</v>
      </c>
      <c r="AY31" s="189">
        <f t="shared" si="12"/>
        <v>0</v>
      </c>
      <c r="AZ31" s="189">
        <f t="shared" si="13"/>
        <v>0</v>
      </c>
      <c r="BA31" s="189">
        <f t="shared" si="14"/>
        <v>0</v>
      </c>
      <c r="BB31" s="189">
        <f t="shared" si="15"/>
        <v>0</v>
      </c>
      <c r="BC31" s="189">
        <f t="shared" si="16"/>
        <v>0</v>
      </c>
      <c r="BD31" s="189">
        <f t="shared" si="17"/>
        <v>0</v>
      </c>
      <c r="BE31" s="189">
        <f t="shared" si="18"/>
        <v>0</v>
      </c>
      <c r="BF31" s="189">
        <f t="shared" si="19"/>
        <v>0</v>
      </c>
      <c r="BG31" s="189">
        <f t="shared" si="20"/>
        <v>0</v>
      </c>
      <c r="BH31" s="189">
        <f t="shared" si="21"/>
        <v>0</v>
      </c>
      <c r="BI31" s="189">
        <f t="shared" si="22"/>
        <v>0</v>
      </c>
      <c r="BJ31" s="189">
        <f t="shared" si="23"/>
        <v>0</v>
      </c>
      <c r="BK31" s="189">
        <f t="shared" si="24"/>
        <v>0</v>
      </c>
      <c r="BL31" s="189">
        <f t="shared" si="25"/>
        <v>0</v>
      </c>
      <c r="BM31" s="189">
        <f t="shared" si="26"/>
        <v>0</v>
      </c>
      <c r="BN31" s="258"/>
      <c r="BO31" s="258">
        <f t="shared" si="51"/>
        <v>0</v>
      </c>
      <c r="BP31" s="71">
        <f t="shared" si="52"/>
        <v>0</v>
      </c>
      <c r="BQ31" s="112">
        <f t="shared" si="53"/>
        <v>0</v>
      </c>
      <c r="BR31" s="112">
        <f t="shared" si="54"/>
        <v>0</v>
      </c>
      <c r="BS31" s="112">
        <f t="shared" si="55"/>
        <v>0</v>
      </c>
      <c r="BT31" s="112">
        <f t="shared" si="56"/>
        <v>0</v>
      </c>
      <c r="BU31" s="112">
        <f t="shared" si="57"/>
        <v>0</v>
      </c>
      <c r="BV31" s="112">
        <f t="shared" si="58"/>
        <v>0</v>
      </c>
      <c r="BW31" s="112">
        <f t="shared" si="59"/>
        <v>0</v>
      </c>
      <c r="BX31" s="112">
        <f t="shared" si="60"/>
        <v>0</v>
      </c>
      <c r="BY31" s="71">
        <f t="shared" si="61"/>
        <v>0</v>
      </c>
      <c r="BZ31" s="112">
        <f t="shared" si="62"/>
        <v>0</v>
      </c>
      <c r="CA31" s="189"/>
      <c r="CB31" s="183"/>
      <c r="CC31" s="71">
        <f t="shared" si="32"/>
        <v>80</v>
      </c>
      <c r="CD31" s="71">
        <f t="shared" si="42"/>
        <v>108</v>
      </c>
      <c r="CE31" s="71">
        <f t="shared" si="33"/>
        <v>105</v>
      </c>
      <c r="CF31" s="71">
        <f t="shared" si="34"/>
        <v>293</v>
      </c>
      <c r="CG31" s="71">
        <f t="shared" si="35"/>
        <v>0</v>
      </c>
      <c r="CH31" s="166">
        <f t="shared" si="36"/>
        <v>0</v>
      </c>
      <c r="CI31" s="259">
        <f t="shared" si="37"/>
        <v>-293</v>
      </c>
      <c r="CJ31" s="52"/>
      <c r="CK31" s="172"/>
      <c r="CL31" s="198"/>
      <c r="CM31" s="173"/>
      <c r="CN31" s="197"/>
      <c r="CO31" s="195"/>
      <c r="CP31" s="197"/>
      <c r="CQ31" s="135"/>
      <c r="CR31" s="297" t="str">
        <f t="shared" si="38"/>
        <v xml:space="preserve">RAMON PARRA </v>
      </c>
      <c r="CS31" s="310" t="str">
        <f>+'SEMANA DEL 2 AL 7-3-26'!CS31</f>
        <v>V-5.327.891</v>
      </c>
      <c r="CT31" s="304">
        <f>+BN31</f>
        <v>0</v>
      </c>
      <c r="CU31" s="304">
        <f>+AW31</f>
        <v>0</v>
      </c>
      <c r="CV31" s="304"/>
      <c r="CW31" s="305">
        <f>+CV31*230</f>
        <v>0</v>
      </c>
      <c r="CX31" s="305"/>
      <c r="CY31" s="304"/>
      <c r="CZ31" s="304">
        <f t="shared" si="63"/>
        <v>0</v>
      </c>
      <c r="DA31" s="304">
        <f t="shared" si="41"/>
        <v>0</v>
      </c>
      <c r="DB31" s="306">
        <f t="shared" si="9"/>
        <v>-293</v>
      </c>
      <c r="DC31" s="321">
        <f t="shared" si="10"/>
        <v>-293</v>
      </c>
    </row>
    <row r="32" spans="1:107" ht="18" customHeight="1" x14ac:dyDescent="0.25">
      <c r="A32" s="355" t="str">
        <f>+'SEMANA DEL 2 AL 7-3-26'!A32</f>
        <v>SULAY ALMEIDA</v>
      </c>
      <c r="B32" s="356">
        <f>+'SEMANA DEL 2 AL 7-3-26'!AX32</f>
        <v>1</v>
      </c>
      <c r="C32" s="356">
        <f>+'SEMANA DEL 2 AL 7-3-26'!AY32</f>
        <v>1.8099999999999996</v>
      </c>
      <c r="D32" s="356">
        <f>+'SEMANA DEL 2 AL 7-3-26'!AZ32</f>
        <v>6.9500000000000028</v>
      </c>
      <c r="E32" s="356">
        <f>+'SEMANA DEL 2 AL 7-3-26'!BA32</f>
        <v>0</v>
      </c>
      <c r="F32" s="356">
        <f>+'SEMANA DEL 2 AL 7-3-26'!BB32</f>
        <v>0</v>
      </c>
      <c r="G32" s="356">
        <f>+'SEMANA DEL 2 AL 7-3-26'!BC32</f>
        <v>0</v>
      </c>
      <c r="H32" s="356">
        <f>+'SEMANA DEL 2 AL 7-3-26'!BD32</f>
        <v>0</v>
      </c>
      <c r="I32" s="356">
        <f>+'SEMANA DEL 2 AL 7-3-26'!BE32</f>
        <v>0</v>
      </c>
      <c r="J32" s="356">
        <f>+'SEMANA DEL 2 AL 7-3-26'!BF32</f>
        <v>0</v>
      </c>
      <c r="K32" s="356">
        <f>+'SEMANA DEL 2 AL 7-3-26'!BG32</f>
        <v>0</v>
      </c>
      <c r="L32" s="356">
        <f>+'SEMANA DEL 2 AL 7-3-26'!BH32</f>
        <v>0</v>
      </c>
      <c r="M32" s="356">
        <f>+'SEMANA DEL 2 AL 7-3-26'!BI32</f>
        <v>0</v>
      </c>
      <c r="N32" s="356">
        <f>+'SEMANA DEL 2 AL 7-3-26'!BJ32</f>
        <v>0</v>
      </c>
      <c r="O32" s="356">
        <f>+'SEMANA DEL 2 AL 7-3-26'!BK32</f>
        <v>0</v>
      </c>
      <c r="P32" s="356">
        <f>+'SEMANA DEL 2 AL 7-3-26'!BL32</f>
        <v>0</v>
      </c>
      <c r="Q32" s="356">
        <f>+'SEMANA DEL 2 AL 7-3-26'!BM32</f>
        <v>0</v>
      </c>
      <c r="R32" s="357">
        <v>0</v>
      </c>
      <c r="S32" s="357">
        <v>0</v>
      </c>
      <c r="T32" s="357">
        <v>0</v>
      </c>
      <c r="U32" s="357">
        <v>0</v>
      </c>
      <c r="V32" s="289"/>
      <c r="W32" s="190"/>
      <c r="X32" s="190"/>
      <c r="Y32" s="190"/>
      <c r="Z32" s="190"/>
      <c r="AA32" s="190"/>
      <c r="AB32" s="190"/>
      <c r="AC32" s="190"/>
      <c r="AD32" s="289"/>
      <c r="AE32" s="289"/>
      <c r="AF32" s="289"/>
      <c r="AG32" s="299"/>
      <c r="AH32" s="289"/>
      <c r="AI32" s="289"/>
      <c r="AJ32" s="289"/>
      <c r="AK32" s="289"/>
      <c r="AL32" s="299"/>
      <c r="AM32" s="190"/>
      <c r="AN32" s="190"/>
      <c r="AO32" s="190"/>
      <c r="AP32" s="183"/>
      <c r="AQ32" s="183"/>
      <c r="AR32" s="183"/>
      <c r="AS32" s="113"/>
      <c r="AT32" s="113"/>
      <c r="AU32" s="190"/>
      <c r="AV32" s="190"/>
      <c r="AW32" s="189"/>
      <c r="AX32" s="189">
        <f t="shared" si="11"/>
        <v>1</v>
      </c>
      <c r="AY32" s="189">
        <f t="shared" si="12"/>
        <v>1.8099999999999996</v>
      </c>
      <c r="AZ32" s="189">
        <f t="shared" si="13"/>
        <v>6.9500000000000028</v>
      </c>
      <c r="BA32" s="189">
        <f t="shared" si="14"/>
        <v>0</v>
      </c>
      <c r="BB32" s="189">
        <f t="shared" si="15"/>
        <v>0</v>
      </c>
      <c r="BC32" s="189">
        <f t="shared" si="16"/>
        <v>0</v>
      </c>
      <c r="BD32" s="189">
        <f t="shared" si="17"/>
        <v>0</v>
      </c>
      <c r="BE32" s="189">
        <f t="shared" si="18"/>
        <v>0</v>
      </c>
      <c r="BF32" s="189">
        <f t="shared" si="19"/>
        <v>0</v>
      </c>
      <c r="BG32" s="189">
        <f t="shared" si="20"/>
        <v>0</v>
      </c>
      <c r="BH32" s="189">
        <f t="shared" si="21"/>
        <v>0</v>
      </c>
      <c r="BI32" s="189">
        <f t="shared" si="22"/>
        <v>0</v>
      </c>
      <c r="BJ32" s="189">
        <f t="shared" si="23"/>
        <v>0</v>
      </c>
      <c r="BK32" s="189">
        <f t="shared" si="24"/>
        <v>0</v>
      </c>
      <c r="BL32" s="189">
        <f t="shared" si="25"/>
        <v>0</v>
      </c>
      <c r="BM32" s="189">
        <f t="shared" si="26"/>
        <v>0</v>
      </c>
      <c r="BN32" s="258"/>
      <c r="BO32" s="258">
        <f t="shared" si="51"/>
        <v>0</v>
      </c>
      <c r="BP32" s="71">
        <f t="shared" si="52"/>
        <v>0</v>
      </c>
      <c r="BQ32" s="112">
        <f t="shared" si="53"/>
        <v>0</v>
      </c>
      <c r="BR32" s="112">
        <f t="shared" si="54"/>
        <v>0</v>
      </c>
      <c r="BS32" s="112">
        <f t="shared" si="55"/>
        <v>0</v>
      </c>
      <c r="BT32" s="112">
        <f t="shared" si="56"/>
        <v>0</v>
      </c>
      <c r="BU32" s="112">
        <f t="shared" si="57"/>
        <v>0</v>
      </c>
      <c r="BV32" s="112">
        <f t="shared" si="58"/>
        <v>0</v>
      </c>
      <c r="BW32" s="112">
        <f t="shared" si="59"/>
        <v>0</v>
      </c>
      <c r="BX32" s="112">
        <f t="shared" si="60"/>
        <v>0</v>
      </c>
      <c r="BY32" s="71">
        <f t="shared" si="61"/>
        <v>0</v>
      </c>
      <c r="BZ32" s="112">
        <f t="shared" si="62"/>
        <v>0</v>
      </c>
      <c r="CA32" s="189"/>
      <c r="CB32" s="183"/>
      <c r="CC32" s="71">
        <f t="shared" si="32"/>
        <v>0</v>
      </c>
      <c r="CD32" s="71">
        <f t="shared" si="42"/>
        <v>0</v>
      </c>
      <c r="CE32" s="71">
        <f t="shared" si="33"/>
        <v>0</v>
      </c>
      <c r="CF32" s="71">
        <f t="shared" si="34"/>
        <v>0</v>
      </c>
      <c r="CG32" s="71">
        <f t="shared" si="35"/>
        <v>0</v>
      </c>
      <c r="CH32" s="166">
        <f t="shared" si="36"/>
        <v>0</v>
      </c>
      <c r="CI32" s="259">
        <f t="shared" si="37"/>
        <v>0</v>
      </c>
      <c r="CJ32" s="52"/>
      <c r="CK32" s="172"/>
      <c r="CL32" s="198"/>
      <c r="CM32" s="173"/>
      <c r="CN32" s="197"/>
      <c r="CO32" s="195"/>
      <c r="CP32" s="197"/>
      <c r="CQ32" s="135"/>
      <c r="CR32" s="297" t="str">
        <f t="shared" si="38"/>
        <v>SULAY ALMEIDA</v>
      </c>
      <c r="CS32" s="310" t="str">
        <f>+'SEMANA DEL 2 AL 7-3-26'!CS32</f>
        <v>V-18.718.244</v>
      </c>
      <c r="CT32" s="304">
        <f t="shared" si="47"/>
        <v>0</v>
      </c>
      <c r="CU32" s="304">
        <f t="shared" si="48"/>
        <v>0</v>
      </c>
      <c r="CV32" s="304"/>
      <c r="CW32" s="305">
        <f t="shared" si="49"/>
        <v>0</v>
      </c>
      <c r="CX32" s="305"/>
      <c r="CY32" s="304"/>
      <c r="CZ32" s="304">
        <f t="shared" si="63"/>
        <v>0</v>
      </c>
      <c r="DA32" s="304">
        <f t="shared" si="41"/>
        <v>0</v>
      </c>
      <c r="DB32" s="306">
        <f t="shared" si="9"/>
        <v>0</v>
      </c>
      <c r="DC32" s="321">
        <f t="shared" si="10"/>
        <v>0</v>
      </c>
    </row>
    <row r="33" spans="1:107" ht="18" customHeight="1" x14ac:dyDescent="0.25">
      <c r="A33" s="355" t="str">
        <f>+'SEMANA DEL 2 AL 7-3-26'!A33</f>
        <v xml:space="preserve">RENE ALMEIDA </v>
      </c>
      <c r="B33" s="356">
        <f>+'SEMANA DEL 2 AL 7-3-26'!AX33</f>
        <v>1.3999999999999995</v>
      </c>
      <c r="C33" s="356">
        <f>+'SEMANA DEL 2 AL 7-3-26'!AY33</f>
        <v>0.52000000000000046</v>
      </c>
      <c r="D33" s="356">
        <f>+'SEMANA DEL 2 AL 7-3-26'!AZ33</f>
        <v>10.600000000000001</v>
      </c>
      <c r="E33" s="356">
        <f>+'SEMANA DEL 2 AL 7-3-26'!BA33</f>
        <v>0</v>
      </c>
      <c r="F33" s="356">
        <f>+'SEMANA DEL 2 AL 7-3-26'!BB33</f>
        <v>0</v>
      </c>
      <c r="G33" s="356">
        <f>+'SEMANA DEL 2 AL 7-3-26'!BC33</f>
        <v>0</v>
      </c>
      <c r="H33" s="356">
        <f>+'SEMANA DEL 2 AL 7-3-26'!BD33</f>
        <v>0</v>
      </c>
      <c r="I33" s="356">
        <f>+'SEMANA DEL 2 AL 7-3-26'!BE33</f>
        <v>0</v>
      </c>
      <c r="J33" s="356">
        <f>+'SEMANA DEL 2 AL 7-3-26'!BF33</f>
        <v>0</v>
      </c>
      <c r="K33" s="356">
        <f>+'SEMANA DEL 2 AL 7-3-26'!BG33</f>
        <v>0</v>
      </c>
      <c r="L33" s="356">
        <f>+'SEMANA DEL 2 AL 7-3-26'!BH33</f>
        <v>0</v>
      </c>
      <c r="M33" s="356">
        <f>+'SEMANA DEL 2 AL 7-3-26'!BI33</f>
        <v>0</v>
      </c>
      <c r="N33" s="356">
        <f>+'SEMANA DEL 2 AL 7-3-26'!BJ33</f>
        <v>0</v>
      </c>
      <c r="O33" s="356">
        <f>+'SEMANA DEL 2 AL 7-3-26'!BK33</f>
        <v>0</v>
      </c>
      <c r="P33" s="356">
        <f>+'SEMANA DEL 2 AL 7-3-26'!BL33</f>
        <v>0</v>
      </c>
      <c r="Q33" s="356">
        <f>+'SEMANA DEL 2 AL 7-3-26'!BM33</f>
        <v>0</v>
      </c>
      <c r="R33" s="357">
        <v>2.5</v>
      </c>
      <c r="S33" s="357">
        <v>4</v>
      </c>
      <c r="T33" s="357">
        <v>14</v>
      </c>
      <c r="U33" s="358">
        <v>2</v>
      </c>
      <c r="V33" s="289"/>
      <c r="W33" s="190"/>
      <c r="X33" s="190"/>
      <c r="Y33" s="190"/>
      <c r="Z33" s="190"/>
      <c r="AA33" s="190"/>
      <c r="AB33" s="190"/>
      <c r="AC33" s="190"/>
      <c r="AD33" s="289"/>
      <c r="AE33" s="289"/>
      <c r="AF33" s="289"/>
      <c r="AG33" s="299"/>
      <c r="AH33" s="357"/>
      <c r="AI33" s="357"/>
      <c r="AJ33" s="357"/>
      <c r="AK33" s="358"/>
      <c r="AL33" s="299"/>
      <c r="AM33" s="299"/>
      <c r="AN33" s="289"/>
      <c r="AO33" s="289"/>
      <c r="AP33" s="289"/>
      <c r="AQ33" s="289"/>
      <c r="AR33" s="289"/>
      <c r="AS33" s="189"/>
      <c r="AT33" s="189"/>
      <c r="AU33" s="189"/>
      <c r="AV33" s="190"/>
      <c r="AW33" s="189"/>
      <c r="AX33" s="189">
        <f t="shared" si="11"/>
        <v>3.8999999999999995</v>
      </c>
      <c r="AY33" s="189">
        <f t="shared" si="12"/>
        <v>4.5200000000000005</v>
      </c>
      <c r="AZ33" s="189">
        <f t="shared" si="13"/>
        <v>24.6</v>
      </c>
      <c r="BA33" s="189">
        <f t="shared" si="14"/>
        <v>2</v>
      </c>
      <c r="BB33" s="189">
        <f t="shared" si="15"/>
        <v>0</v>
      </c>
      <c r="BC33" s="189">
        <f t="shared" si="16"/>
        <v>0</v>
      </c>
      <c r="BD33" s="189">
        <f t="shared" si="17"/>
        <v>0</v>
      </c>
      <c r="BE33" s="189">
        <f t="shared" si="18"/>
        <v>0</v>
      </c>
      <c r="BF33" s="189">
        <f t="shared" si="19"/>
        <v>0</v>
      </c>
      <c r="BG33" s="189">
        <f t="shared" si="20"/>
        <v>0</v>
      </c>
      <c r="BH33" s="189">
        <f t="shared" si="21"/>
        <v>0</v>
      </c>
      <c r="BI33" s="189">
        <f t="shared" si="22"/>
        <v>0</v>
      </c>
      <c r="BJ33" s="189">
        <f t="shared" si="23"/>
        <v>0</v>
      </c>
      <c r="BK33" s="189">
        <f t="shared" si="24"/>
        <v>0</v>
      </c>
      <c r="BL33" s="189">
        <f t="shared" si="25"/>
        <v>0</v>
      </c>
      <c r="BM33" s="189">
        <f t="shared" si="26"/>
        <v>0</v>
      </c>
      <c r="BN33" s="258"/>
      <c r="BO33" s="258">
        <f t="shared" si="51"/>
        <v>0</v>
      </c>
      <c r="BP33" s="71">
        <f t="shared" si="52"/>
        <v>0</v>
      </c>
      <c r="BQ33" s="112">
        <f t="shared" si="53"/>
        <v>0</v>
      </c>
      <c r="BR33" s="112">
        <f t="shared" si="54"/>
        <v>0</v>
      </c>
      <c r="BS33" s="112">
        <f t="shared" si="55"/>
        <v>0</v>
      </c>
      <c r="BT33" s="112">
        <f t="shared" si="56"/>
        <v>0</v>
      </c>
      <c r="BU33" s="112">
        <f t="shared" si="57"/>
        <v>0</v>
      </c>
      <c r="BV33" s="112">
        <f t="shared" si="58"/>
        <v>0</v>
      </c>
      <c r="BW33" s="112">
        <f t="shared" si="59"/>
        <v>0</v>
      </c>
      <c r="BX33" s="112">
        <f t="shared" si="60"/>
        <v>0</v>
      </c>
      <c r="BY33" s="71">
        <f t="shared" si="61"/>
        <v>0</v>
      </c>
      <c r="BZ33" s="112">
        <f t="shared" si="62"/>
        <v>0</v>
      </c>
      <c r="CA33" s="189"/>
      <c r="CB33" s="183"/>
      <c r="CC33" s="71">
        <f t="shared" si="32"/>
        <v>0</v>
      </c>
      <c r="CD33" s="71">
        <f t="shared" si="42"/>
        <v>0</v>
      </c>
      <c r="CE33" s="71">
        <f t="shared" si="33"/>
        <v>0</v>
      </c>
      <c r="CF33" s="71">
        <f t="shared" si="34"/>
        <v>0</v>
      </c>
      <c r="CG33" s="71">
        <f t="shared" si="35"/>
        <v>0</v>
      </c>
      <c r="CH33" s="166">
        <f t="shared" si="36"/>
        <v>0</v>
      </c>
      <c r="CI33" s="259">
        <f t="shared" si="37"/>
        <v>0</v>
      </c>
      <c r="CJ33" s="52"/>
      <c r="CK33" s="196" t="s">
        <v>113</v>
      </c>
      <c r="CL33" s="198" t="e">
        <f>+'SEMANA DEL 2 AL 7-3-26'!#REF!</f>
        <v>#REF!</v>
      </c>
      <c r="CM33" s="173" t="e">
        <f>+#REF!</f>
        <v>#REF!</v>
      </c>
      <c r="CN33" s="197" t="e">
        <f>+CL33+CM33</f>
        <v>#REF!</v>
      </c>
      <c r="CO33" s="195" t="e">
        <f>+#REF!</f>
        <v>#REF!</v>
      </c>
      <c r="CP33" s="197" t="e">
        <f>CN33-CO33</f>
        <v>#REF!</v>
      </c>
      <c r="CQ33" s="136"/>
      <c r="CR33" s="297" t="str">
        <f t="shared" si="38"/>
        <v xml:space="preserve">RENE ALMEIDA </v>
      </c>
      <c r="CS33" s="310" t="str">
        <f>+'SEMANA DEL 2 AL 7-3-26'!CS33</f>
        <v>V-21.033.815</v>
      </c>
      <c r="CT33" s="304">
        <f t="shared" si="47"/>
        <v>0</v>
      </c>
      <c r="CU33" s="304">
        <f t="shared" si="48"/>
        <v>0</v>
      </c>
      <c r="CV33" s="304"/>
      <c r="CW33" s="305">
        <f t="shared" si="49"/>
        <v>0</v>
      </c>
      <c r="CX33" s="305"/>
      <c r="CY33" s="304"/>
      <c r="CZ33" s="304">
        <f t="shared" si="63"/>
        <v>0</v>
      </c>
      <c r="DA33" s="304">
        <f t="shared" si="41"/>
        <v>0</v>
      </c>
      <c r="DB33" s="306">
        <f t="shared" si="9"/>
        <v>0</v>
      </c>
      <c r="DC33" s="321">
        <f t="shared" si="10"/>
        <v>0</v>
      </c>
    </row>
    <row r="34" spans="1:107" ht="18" customHeight="1" x14ac:dyDescent="0.25">
      <c r="A34" s="355" t="str">
        <f>+'SEMANA DEL 2 AL 7-3-26'!A34</f>
        <v>RUBIELA MARTINEZ</v>
      </c>
      <c r="B34" s="356">
        <f>+'SEMANA DEL 2 AL 7-3-26'!AX34</f>
        <v>0</v>
      </c>
      <c r="C34" s="356">
        <f>+'SEMANA DEL 2 AL 7-3-26'!AY34</f>
        <v>1.0599999999999987</v>
      </c>
      <c r="D34" s="356">
        <f>+'SEMANA DEL 2 AL 7-3-26'!AZ34</f>
        <v>-2.0000000000095497E-3</v>
      </c>
      <c r="E34" s="356">
        <f>+'SEMANA DEL 2 AL 7-3-26'!BA34</f>
        <v>0</v>
      </c>
      <c r="F34" s="356">
        <f>+'SEMANA DEL 2 AL 7-3-26'!BB34</f>
        <v>0</v>
      </c>
      <c r="G34" s="356">
        <f>+'SEMANA DEL 2 AL 7-3-26'!BC34</f>
        <v>0</v>
      </c>
      <c r="H34" s="356">
        <f>+'SEMANA DEL 2 AL 7-3-26'!BD34</f>
        <v>0</v>
      </c>
      <c r="I34" s="356">
        <f>+'SEMANA DEL 2 AL 7-3-26'!BE34</f>
        <v>0</v>
      </c>
      <c r="J34" s="356">
        <f>+'SEMANA DEL 2 AL 7-3-26'!BF34</f>
        <v>0</v>
      </c>
      <c r="K34" s="356">
        <f>+'SEMANA DEL 2 AL 7-3-26'!BG34</f>
        <v>0</v>
      </c>
      <c r="L34" s="356">
        <f>+'SEMANA DEL 2 AL 7-3-26'!BH34</f>
        <v>0</v>
      </c>
      <c r="M34" s="356">
        <f>+'SEMANA DEL 2 AL 7-3-26'!BI34</f>
        <v>0</v>
      </c>
      <c r="N34" s="356">
        <f>+'SEMANA DEL 2 AL 7-3-26'!BJ34</f>
        <v>0</v>
      </c>
      <c r="O34" s="356">
        <f>+'SEMANA DEL 2 AL 7-3-26'!BK34</f>
        <v>0</v>
      </c>
      <c r="P34" s="356">
        <f>+'SEMANA DEL 2 AL 7-3-26'!BL34</f>
        <v>0</v>
      </c>
      <c r="Q34" s="356">
        <f>+'SEMANA DEL 2 AL 7-3-26'!BM34</f>
        <v>0</v>
      </c>
      <c r="R34" s="357">
        <v>11</v>
      </c>
      <c r="S34" s="357">
        <v>19.3</v>
      </c>
      <c r="T34" s="357">
        <v>77</v>
      </c>
      <c r="U34" s="358">
        <v>9</v>
      </c>
      <c r="V34" s="299"/>
      <c r="W34" s="190"/>
      <c r="X34" s="190"/>
      <c r="Y34" s="190">
        <v>2</v>
      </c>
      <c r="Z34" s="190"/>
      <c r="AA34" s="190"/>
      <c r="AB34" s="190"/>
      <c r="AC34" s="190"/>
      <c r="AD34" s="289"/>
      <c r="AE34" s="289"/>
      <c r="AF34" s="289"/>
      <c r="AG34" s="299"/>
      <c r="AH34" s="357"/>
      <c r="AI34" s="357"/>
      <c r="AJ34" s="357"/>
      <c r="AK34" s="358"/>
      <c r="AL34" s="299"/>
      <c r="AM34" s="299"/>
      <c r="AN34" s="289"/>
      <c r="AO34" s="289"/>
      <c r="AP34" s="289"/>
      <c r="AQ34" s="289"/>
      <c r="AR34" s="289"/>
      <c r="AS34" s="189"/>
      <c r="AT34" s="189"/>
      <c r="AU34" s="189"/>
      <c r="AV34" s="190"/>
      <c r="AW34" s="189"/>
      <c r="AX34" s="189">
        <f t="shared" si="11"/>
        <v>11</v>
      </c>
      <c r="AY34" s="189">
        <f t="shared" si="12"/>
        <v>20.36</v>
      </c>
      <c r="AZ34" s="189">
        <f t="shared" si="13"/>
        <v>76.99799999999999</v>
      </c>
      <c r="BA34" s="189">
        <f t="shared" si="14"/>
        <v>9</v>
      </c>
      <c r="BB34" s="189">
        <f t="shared" si="15"/>
        <v>0</v>
      </c>
      <c r="BC34" s="189">
        <f t="shared" si="16"/>
        <v>0</v>
      </c>
      <c r="BD34" s="189">
        <f t="shared" si="17"/>
        <v>0</v>
      </c>
      <c r="BE34" s="189">
        <f t="shared" si="18"/>
        <v>2</v>
      </c>
      <c r="BF34" s="189">
        <f t="shared" si="19"/>
        <v>0</v>
      </c>
      <c r="BG34" s="189">
        <f t="shared" si="20"/>
        <v>0</v>
      </c>
      <c r="BH34" s="189">
        <f t="shared" si="21"/>
        <v>0</v>
      </c>
      <c r="BI34" s="189">
        <f t="shared" si="22"/>
        <v>0</v>
      </c>
      <c r="BJ34" s="189">
        <f t="shared" si="23"/>
        <v>0</v>
      </c>
      <c r="BK34" s="189">
        <f t="shared" si="24"/>
        <v>0</v>
      </c>
      <c r="BL34" s="189">
        <f t="shared" si="25"/>
        <v>0</v>
      </c>
      <c r="BM34" s="189">
        <f t="shared" si="26"/>
        <v>0</v>
      </c>
      <c r="BN34" s="258"/>
      <c r="BO34" s="258">
        <f t="shared" si="51"/>
        <v>0</v>
      </c>
      <c r="BP34" s="71">
        <f t="shared" si="52"/>
        <v>0</v>
      </c>
      <c r="BQ34" s="112">
        <f t="shared" si="53"/>
        <v>0</v>
      </c>
      <c r="BR34" s="112">
        <f t="shared" si="54"/>
        <v>0</v>
      </c>
      <c r="BS34" s="112">
        <f t="shared" si="55"/>
        <v>0</v>
      </c>
      <c r="BT34" s="112">
        <f t="shared" si="56"/>
        <v>0</v>
      </c>
      <c r="BU34" s="112">
        <f t="shared" si="57"/>
        <v>0</v>
      </c>
      <c r="BV34" s="112">
        <f t="shared" si="58"/>
        <v>0</v>
      </c>
      <c r="BW34" s="112">
        <f t="shared" si="59"/>
        <v>0</v>
      </c>
      <c r="BX34" s="112">
        <f t="shared" si="60"/>
        <v>0</v>
      </c>
      <c r="BY34" s="71">
        <f t="shared" si="61"/>
        <v>0</v>
      </c>
      <c r="BZ34" s="112">
        <f t="shared" si="62"/>
        <v>0</v>
      </c>
      <c r="CA34" s="189"/>
      <c r="CB34" s="183"/>
      <c r="CC34" s="71">
        <f t="shared" si="32"/>
        <v>0</v>
      </c>
      <c r="CD34" s="71">
        <f t="shared" si="42"/>
        <v>0</v>
      </c>
      <c r="CE34" s="71">
        <f t="shared" si="33"/>
        <v>0</v>
      </c>
      <c r="CF34" s="71">
        <f t="shared" si="34"/>
        <v>0</v>
      </c>
      <c r="CG34" s="71">
        <f t="shared" si="35"/>
        <v>0</v>
      </c>
      <c r="CH34" s="166">
        <f t="shared" si="36"/>
        <v>0</v>
      </c>
      <c r="CI34" s="259">
        <f t="shared" si="37"/>
        <v>0</v>
      </c>
      <c r="CJ34" s="52"/>
      <c r="CK34" s="196"/>
      <c r="CL34" s="198"/>
      <c r="CM34" s="173"/>
      <c r="CN34" s="197"/>
      <c r="CO34" s="195"/>
      <c r="CP34" s="197"/>
      <c r="CQ34" s="136"/>
      <c r="CR34" s="297" t="str">
        <f t="shared" si="38"/>
        <v>RUBIELA MARTINEZ</v>
      </c>
      <c r="CS34" s="310" t="str">
        <f>+'SEMANA DEL 2 AL 7-3-26'!CS34</f>
        <v>CC-60.412.324</v>
      </c>
      <c r="CT34" s="304">
        <f>+BN34</f>
        <v>0</v>
      </c>
      <c r="CU34" s="304">
        <f>+AW34</f>
        <v>0</v>
      </c>
      <c r="CV34" s="304"/>
      <c r="CW34" s="305">
        <f t="shared" si="49"/>
        <v>0</v>
      </c>
      <c r="CX34" s="305"/>
      <c r="CY34" s="304"/>
      <c r="CZ34" s="304">
        <f t="shared" si="63"/>
        <v>0</v>
      </c>
      <c r="DA34" s="304">
        <f>+CT34*75</f>
        <v>0</v>
      </c>
      <c r="DB34" s="306">
        <f t="shared" si="9"/>
        <v>0</v>
      </c>
      <c r="DC34" s="321">
        <f t="shared" si="10"/>
        <v>0</v>
      </c>
    </row>
    <row r="35" spans="1:107" ht="18" customHeight="1" x14ac:dyDescent="0.25">
      <c r="A35" s="355" t="str">
        <f>+'SEMANA DEL 2 AL 7-3-26'!A35</f>
        <v xml:space="preserve">ROSMIRA DURAN </v>
      </c>
      <c r="B35" s="356">
        <f>+'SEMANA DEL 2 AL 7-3-26'!AX35</f>
        <v>-3.9999999999995595E-3</v>
      </c>
      <c r="C35" s="356">
        <f>+'SEMANA DEL 2 AL 7-3-26'!AY35</f>
        <v>0</v>
      </c>
      <c r="D35" s="356">
        <f>+'SEMANA DEL 2 AL 7-3-26'!AZ35</f>
        <v>0</v>
      </c>
      <c r="E35" s="356">
        <f>+'SEMANA DEL 2 AL 7-3-26'!BA35</f>
        <v>1</v>
      </c>
      <c r="F35" s="356">
        <f>+'SEMANA DEL 2 AL 7-3-26'!BB35</f>
        <v>0</v>
      </c>
      <c r="G35" s="356">
        <f>+'SEMANA DEL 2 AL 7-3-26'!BC35</f>
        <v>0</v>
      </c>
      <c r="H35" s="356">
        <f>+'SEMANA DEL 2 AL 7-3-26'!BD35</f>
        <v>0</v>
      </c>
      <c r="I35" s="356">
        <f>+'SEMANA DEL 2 AL 7-3-26'!BE35</f>
        <v>0</v>
      </c>
      <c r="J35" s="356">
        <f>+'SEMANA DEL 2 AL 7-3-26'!BF35</f>
        <v>0</v>
      </c>
      <c r="K35" s="356">
        <f>+'SEMANA DEL 2 AL 7-3-26'!BG35</f>
        <v>0</v>
      </c>
      <c r="L35" s="356">
        <f>+'SEMANA DEL 2 AL 7-3-26'!BH35</f>
        <v>0</v>
      </c>
      <c r="M35" s="356">
        <f>+'SEMANA DEL 2 AL 7-3-26'!BI35</f>
        <v>0</v>
      </c>
      <c r="N35" s="356">
        <f>+'SEMANA DEL 2 AL 7-3-26'!BJ35</f>
        <v>0</v>
      </c>
      <c r="O35" s="356">
        <f>+'SEMANA DEL 2 AL 7-3-26'!BK35</f>
        <v>0</v>
      </c>
      <c r="P35" s="356">
        <f>+'SEMANA DEL 2 AL 7-3-26'!BL35</f>
        <v>0</v>
      </c>
      <c r="Q35" s="356">
        <f>+'SEMANA DEL 2 AL 7-3-26'!BM35</f>
        <v>0</v>
      </c>
      <c r="R35" s="357">
        <v>5</v>
      </c>
      <c r="S35" s="357">
        <v>9</v>
      </c>
      <c r="T35" s="357">
        <v>35</v>
      </c>
      <c r="U35" s="358">
        <v>3</v>
      </c>
      <c r="V35" s="299"/>
      <c r="W35" s="299"/>
      <c r="X35" s="289"/>
      <c r="Y35" s="289">
        <v>1</v>
      </c>
      <c r="Z35" s="289"/>
      <c r="AA35" s="289"/>
      <c r="AB35" s="289"/>
      <c r="AC35" s="289"/>
      <c r="AD35" s="289"/>
      <c r="AE35" s="289"/>
      <c r="AF35" s="289"/>
      <c r="AG35" s="299"/>
      <c r="AH35" s="299"/>
      <c r="AI35" s="299"/>
      <c r="AJ35" s="299"/>
      <c r="AK35" s="299"/>
      <c r="AL35" s="289"/>
      <c r="AM35" s="289"/>
      <c r="AN35" s="289"/>
      <c r="AO35" s="289"/>
      <c r="AP35" s="289"/>
      <c r="AQ35" s="289"/>
      <c r="AR35" s="289"/>
      <c r="AS35" s="189"/>
      <c r="AT35" s="113"/>
      <c r="AU35" s="190"/>
      <c r="AV35" s="190"/>
      <c r="AW35" s="189"/>
      <c r="AX35" s="189">
        <f t="shared" si="11"/>
        <v>4.9960000000000004</v>
      </c>
      <c r="AY35" s="189">
        <f t="shared" si="12"/>
        <v>9</v>
      </c>
      <c r="AZ35" s="189">
        <f t="shared" si="13"/>
        <v>35</v>
      </c>
      <c r="BA35" s="189">
        <f t="shared" si="14"/>
        <v>4</v>
      </c>
      <c r="BB35" s="189">
        <f t="shared" si="15"/>
        <v>0</v>
      </c>
      <c r="BC35" s="189">
        <f t="shared" si="16"/>
        <v>0</v>
      </c>
      <c r="BD35" s="189">
        <f t="shared" si="17"/>
        <v>0</v>
      </c>
      <c r="BE35" s="189">
        <f t="shared" si="18"/>
        <v>1</v>
      </c>
      <c r="BF35" s="189">
        <f t="shared" si="19"/>
        <v>0</v>
      </c>
      <c r="BG35" s="189">
        <f t="shared" si="20"/>
        <v>0</v>
      </c>
      <c r="BH35" s="189">
        <f t="shared" si="21"/>
        <v>0</v>
      </c>
      <c r="BI35" s="189">
        <f t="shared" si="22"/>
        <v>0</v>
      </c>
      <c r="BJ35" s="189">
        <f t="shared" si="23"/>
        <v>0</v>
      </c>
      <c r="BK35" s="189">
        <f t="shared" si="24"/>
        <v>0</v>
      </c>
      <c r="BL35" s="189">
        <f t="shared" si="25"/>
        <v>0</v>
      </c>
      <c r="BM35" s="189">
        <f t="shared" si="26"/>
        <v>0</v>
      </c>
      <c r="BN35" s="258"/>
      <c r="BO35" s="258">
        <f t="shared" si="51"/>
        <v>0</v>
      </c>
      <c r="BP35" s="71">
        <f t="shared" si="52"/>
        <v>0</v>
      </c>
      <c r="BQ35" s="112">
        <f t="shared" si="53"/>
        <v>0</v>
      </c>
      <c r="BR35" s="112">
        <f t="shared" si="54"/>
        <v>0</v>
      </c>
      <c r="BS35" s="112">
        <f t="shared" si="55"/>
        <v>0</v>
      </c>
      <c r="BT35" s="112">
        <f t="shared" si="56"/>
        <v>0</v>
      </c>
      <c r="BU35" s="112">
        <f t="shared" si="57"/>
        <v>0</v>
      </c>
      <c r="BV35" s="112">
        <f t="shared" si="58"/>
        <v>0</v>
      </c>
      <c r="BW35" s="112">
        <f t="shared" si="59"/>
        <v>0</v>
      </c>
      <c r="BX35" s="112">
        <f t="shared" si="60"/>
        <v>0</v>
      </c>
      <c r="BY35" s="71">
        <f t="shared" si="61"/>
        <v>0</v>
      </c>
      <c r="BZ35" s="112">
        <f t="shared" si="62"/>
        <v>0</v>
      </c>
      <c r="CA35" s="189"/>
      <c r="CB35" s="183"/>
      <c r="CC35" s="71">
        <f t="shared" si="32"/>
        <v>0</v>
      </c>
      <c r="CD35" s="71">
        <f t="shared" si="42"/>
        <v>0</v>
      </c>
      <c r="CE35" s="71">
        <f t="shared" si="33"/>
        <v>0</v>
      </c>
      <c r="CF35" s="71">
        <f t="shared" si="34"/>
        <v>0</v>
      </c>
      <c r="CG35" s="71">
        <f t="shared" si="35"/>
        <v>0</v>
      </c>
      <c r="CH35" s="166">
        <f t="shared" si="36"/>
        <v>0</v>
      </c>
      <c r="CI35" s="259">
        <f t="shared" si="37"/>
        <v>0</v>
      </c>
      <c r="CJ35" s="52"/>
      <c r="CK35" s="172" t="s">
        <v>10</v>
      </c>
      <c r="CL35" s="198" t="e">
        <f>+'SEMANA DEL 2 AL 7-3-26'!CP20</f>
        <v>#REF!</v>
      </c>
      <c r="CM35" s="173" t="e">
        <f>+#REF!</f>
        <v>#REF!</v>
      </c>
      <c r="CN35" s="197" t="e">
        <f>+CL35+CM35</f>
        <v>#REF!</v>
      </c>
      <c r="CO35" s="195">
        <f>+AO337</f>
        <v>0</v>
      </c>
      <c r="CP35" s="197" t="e">
        <f>CN35-CO35</f>
        <v>#REF!</v>
      </c>
      <c r="CQ35" s="136"/>
      <c r="CR35" s="297" t="str">
        <f t="shared" si="38"/>
        <v xml:space="preserve">ROSMIRA DURAN </v>
      </c>
      <c r="CS35" s="310" t="str">
        <f>+'SEMANA DEL 2 AL 7-3-26'!CS35</f>
        <v>CC-37.543.611</v>
      </c>
      <c r="CT35" s="304">
        <f t="shared" si="47"/>
        <v>0</v>
      </c>
      <c r="CU35" s="304">
        <f t="shared" si="48"/>
        <v>0</v>
      </c>
      <c r="CV35" s="304"/>
      <c r="CW35" s="305">
        <f t="shared" si="49"/>
        <v>0</v>
      </c>
      <c r="CX35" s="305"/>
      <c r="CY35" s="304"/>
      <c r="CZ35" s="304">
        <f t="shared" si="63"/>
        <v>0</v>
      </c>
      <c r="DA35" s="304">
        <f t="shared" si="41"/>
        <v>0</v>
      </c>
      <c r="DB35" s="306">
        <f t="shared" si="9"/>
        <v>0</v>
      </c>
      <c r="DC35" s="321">
        <f t="shared" si="10"/>
        <v>0</v>
      </c>
    </row>
    <row r="36" spans="1:107" ht="18" customHeight="1" x14ac:dyDescent="0.25">
      <c r="A36" s="355" t="str">
        <f>+'SEMANA DEL 2 AL 7-3-26'!A36</f>
        <v xml:space="preserve">ROSALBA MATAGIRA </v>
      </c>
      <c r="B36" s="356">
        <f>+'SEMANA DEL 2 AL 7-3-26'!AX36</f>
        <v>0</v>
      </c>
      <c r="C36" s="356">
        <f>+'SEMANA DEL 2 AL 7-3-26'!AY36</f>
        <v>0</v>
      </c>
      <c r="D36" s="356">
        <f>+'SEMANA DEL 2 AL 7-3-26'!AZ36</f>
        <v>0</v>
      </c>
      <c r="E36" s="356">
        <f>+'SEMANA DEL 2 AL 7-3-26'!BA36</f>
        <v>0</v>
      </c>
      <c r="F36" s="356">
        <f>+'SEMANA DEL 2 AL 7-3-26'!BB36</f>
        <v>0</v>
      </c>
      <c r="G36" s="356">
        <f>+'SEMANA DEL 2 AL 7-3-26'!BC36</f>
        <v>0</v>
      </c>
      <c r="H36" s="356">
        <f>+'SEMANA DEL 2 AL 7-3-26'!BD36</f>
        <v>0</v>
      </c>
      <c r="I36" s="356">
        <f>+'SEMANA DEL 2 AL 7-3-26'!BE36</f>
        <v>0</v>
      </c>
      <c r="J36" s="356">
        <f>+'SEMANA DEL 2 AL 7-3-26'!BF36</f>
        <v>0</v>
      </c>
      <c r="K36" s="356">
        <f>+'SEMANA DEL 2 AL 7-3-26'!BG36</f>
        <v>0</v>
      </c>
      <c r="L36" s="356">
        <f>+'SEMANA DEL 2 AL 7-3-26'!BH36</f>
        <v>0</v>
      </c>
      <c r="M36" s="356">
        <f>+'SEMANA DEL 2 AL 7-3-26'!BI36</f>
        <v>0</v>
      </c>
      <c r="N36" s="356">
        <f>+'SEMANA DEL 2 AL 7-3-26'!BJ36</f>
        <v>0</v>
      </c>
      <c r="O36" s="356">
        <f>+'SEMANA DEL 2 AL 7-3-26'!BK36</f>
        <v>0</v>
      </c>
      <c r="P36" s="356">
        <f>+'SEMANA DEL 2 AL 7-3-26'!BL36</f>
        <v>0</v>
      </c>
      <c r="Q36" s="356">
        <f>+'SEMANA DEL 2 AL 7-3-26'!BM36</f>
        <v>0</v>
      </c>
      <c r="R36" s="357">
        <v>11</v>
      </c>
      <c r="S36" s="357">
        <v>19.8</v>
      </c>
      <c r="T36" s="357">
        <v>77</v>
      </c>
      <c r="U36" s="358">
        <v>9</v>
      </c>
      <c r="V36" s="289"/>
      <c r="W36" s="299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99"/>
      <c r="AL36" s="299"/>
      <c r="AM36" s="299"/>
      <c r="AN36" s="289"/>
      <c r="AO36" s="183"/>
      <c r="AP36" s="183"/>
      <c r="AQ36" s="183"/>
      <c r="AR36" s="183"/>
      <c r="AS36" s="113"/>
      <c r="AT36" s="113"/>
      <c r="AU36" s="190"/>
      <c r="AV36" s="190"/>
      <c r="AW36" s="189"/>
      <c r="AX36" s="189">
        <f t="shared" si="11"/>
        <v>11</v>
      </c>
      <c r="AY36" s="189">
        <f t="shared" si="12"/>
        <v>19.8</v>
      </c>
      <c r="AZ36" s="189">
        <f t="shared" si="13"/>
        <v>77</v>
      </c>
      <c r="BA36" s="189">
        <f t="shared" si="14"/>
        <v>9</v>
      </c>
      <c r="BB36" s="189">
        <f t="shared" si="15"/>
        <v>0</v>
      </c>
      <c r="BC36" s="189">
        <f t="shared" si="16"/>
        <v>0</v>
      </c>
      <c r="BD36" s="189">
        <f t="shared" si="17"/>
        <v>0</v>
      </c>
      <c r="BE36" s="189">
        <f t="shared" si="18"/>
        <v>0</v>
      </c>
      <c r="BF36" s="189">
        <f t="shared" si="19"/>
        <v>0</v>
      </c>
      <c r="BG36" s="189">
        <f t="shared" si="20"/>
        <v>0</v>
      </c>
      <c r="BH36" s="189">
        <f t="shared" si="21"/>
        <v>0</v>
      </c>
      <c r="BI36" s="189">
        <f t="shared" si="22"/>
        <v>0</v>
      </c>
      <c r="BJ36" s="189">
        <f t="shared" si="23"/>
        <v>0</v>
      </c>
      <c r="BK36" s="189">
        <f t="shared" si="24"/>
        <v>0</v>
      </c>
      <c r="BL36" s="189">
        <f t="shared" si="25"/>
        <v>0</v>
      </c>
      <c r="BM36" s="189">
        <f t="shared" si="26"/>
        <v>0</v>
      </c>
      <c r="BN36" s="258"/>
      <c r="BO36" s="258">
        <f t="shared" si="51"/>
        <v>0</v>
      </c>
      <c r="BP36" s="71">
        <f t="shared" si="52"/>
        <v>0</v>
      </c>
      <c r="BQ36" s="112">
        <f t="shared" si="53"/>
        <v>0</v>
      </c>
      <c r="BR36" s="112">
        <f t="shared" si="54"/>
        <v>0</v>
      </c>
      <c r="BS36" s="112">
        <f t="shared" si="55"/>
        <v>0</v>
      </c>
      <c r="BT36" s="112">
        <f t="shared" si="56"/>
        <v>0</v>
      </c>
      <c r="BU36" s="112">
        <f t="shared" si="57"/>
        <v>0</v>
      </c>
      <c r="BV36" s="112">
        <f t="shared" si="58"/>
        <v>0</v>
      </c>
      <c r="BW36" s="112">
        <f t="shared" si="59"/>
        <v>0</v>
      </c>
      <c r="BX36" s="112">
        <f t="shared" si="60"/>
        <v>0</v>
      </c>
      <c r="BY36" s="71">
        <f t="shared" si="61"/>
        <v>0</v>
      </c>
      <c r="BZ36" s="112">
        <f t="shared" si="62"/>
        <v>0</v>
      </c>
      <c r="CA36" s="189"/>
      <c r="CB36" s="183"/>
      <c r="CC36" s="71">
        <f t="shared" si="32"/>
        <v>0</v>
      </c>
      <c r="CD36" s="71">
        <f t="shared" si="42"/>
        <v>0</v>
      </c>
      <c r="CE36" s="71">
        <f t="shared" si="33"/>
        <v>0</v>
      </c>
      <c r="CF36" s="71">
        <f t="shared" si="34"/>
        <v>0</v>
      </c>
      <c r="CG36" s="71">
        <f t="shared" si="35"/>
        <v>0</v>
      </c>
      <c r="CH36" s="166">
        <f t="shared" si="36"/>
        <v>0</v>
      </c>
      <c r="CI36" s="259">
        <f t="shared" si="37"/>
        <v>0</v>
      </c>
      <c r="CJ36" s="52"/>
      <c r="CK36" s="172" t="s">
        <v>114</v>
      </c>
      <c r="CL36" s="198" t="e">
        <f>+'SEMANA DEL 2 AL 7-3-26'!CP21</f>
        <v>#REF!</v>
      </c>
      <c r="CM36" s="173" t="e">
        <f>+#REF!</f>
        <v>#REF!</v>
      </c>
      <c r="CN36" s="197" t="e">
        <f>+CL36+CM36</f>
        <v>#REF!</v>
      </c>
      <c r="CO36" s="195" t="e">
        <f>+#REF!</f>
        <v>#REF!</v>
      </c>
      <c r="CP36" s="197" t="e">
        <f>CN36-CO36</f>
        <v>#REF!</v>
      </c>
      <c r="CQ36" s="136"/>
      <c r="CR36" s="297" t="str">
        <f t="shared" si="38"/>
        <v xml:space="preserve">ROSALBA MATAGIRA </v>
      </c>
      <c r="CS36" s="310" t="str">
        <f>+'SEMANA DEL 2 AL 7-3-26'!CS36</f>
        <v>CC-37.221.293</v>
      </c>
      <c r="CT36" s="304">
        <f t="shared" si="47"/>
        <v>0</v>
      </c>
      <c r="CU36" s="304">
        <f t="shared" si="48"/>
        <v>0</v>
      </c>
      <c r="CV36" s="304"/>
      <c r="CW36" s="305">
        <f t="shared" si="49"/>
        <v>0</v>
      </c>
      <c r="CX36" s="305"/>
      <c r="CY36" s="304"/>
      <c r="CZ36" s="304">
        <f t="shared" si="63"/>
        <v>0</v>
      </c>
      <c r="DA36" s="304">
        <f t="shared" si="41"/>
        <v>0</v>
      </c>
      <c r="DB36" s="306">
        <f t="shared" si="9"/>
        <v>0</v>
      </c>
      <c r="DC36" s="321">
        <f t="shared" si="10"/>
        <v>0</v>
      </c>
    </row>
    <row r="37" spans="1:107" ht="18" customHeight="1" x14ac:dyDescent="0.25">
      <c r="A37" s="355" t="str">
        <f>+'SEMANA DEL 2 AL 7-3-26'!A37</f>
        <v>STELLA SILVA</v>
      </c>
      <c r="B37" s="356">
        <f>+'SEMANA DEL 2 AL 7-3-26'!AX37</f>
        <v>0</v>
      </c>
      <c r="C37" s="356">
        <f>+'SEMANA DEL 2 AL 7-3-26'!AY37</f>
        <v>0</v>
      </c>
      <c r="D37" s="356">
        <f>+'SEMANA DEL 2 AL 7-3-26'!AZ37</f>
        <v>0</v>
      </c>
      <c r="E37" s="356">
        <f>+'SEMANA DEL 2 AL 7-3-26'!BA37</f>
        <v>0</v>
      </c>
      <c r="F37" s="356">
        <f>+'SEMANA DEL 2 AL 7-3-26'!BB37</f>
        <v>0</v>
      </c>
      <c r="G37" s="356">
        <f>+'SEMANA DEL 2 AL 7-3-26'!BC37</f>
        <v>0</v>
      </c>
      <c r="H37" s="356">
        <f>+'SEMANA DEL 2 AL 7-3-26'!BD37</f>
        <v>0</v>
      </c>
      <c r="I37" s="356">
        <f>+'SEMANA DEL 2 AL 7-3-26'!BE37</f>
        <v>0</v>
      </c>
      <c r="J37" s="356">
        <f>+'SEMANA DEL 2 AL 7-3-26'!BF37</f>
        <v>0</v>
      </c>
      <c r="K37" s="356">
        <f>+'SEMANA DEL 2 AL 7-3-26'!BG37</f>
        <v>0</v>
      </c>
      <c r="L37" s="356">
        <f>+'SEMANA DEL 2 AL 7-3-26'!BH37</f>
        <v>0</v>
      </c>
      <c r="M37" s="356">
        <f>+'SEMANA DEL 2 AL 7-3-26'!BI37</f>
        <v>0</v>
      </c>
      <c r="N37" s="356">
        <f>+'SEMANA DEL 2 AL 7-3-26'!BJ37</f>
        <v>0</v>
      </c>
      <c r="O37" s="356">
        <f>+'SEMANA DEL 2 AL 7-3-26'!BK37</f>
        <v>0</v>
      </c>
      <c r="P37" s="356">
        <f>+'SEMANA DEL 2 AL 7-3-26'!BL37</f>
        <v>0</v>
      </c>
      <c r="Q37" s="356">
        <f>+'SEMANA DEL 2 AL 7-3-26'!BM37</f>
        <v>0</v>
      </c>
      <c r="R37" s="357">
        <v>4</v>
      </c>
      <c r="S37" s="357">
        <v>7.2</v>
      </c>
      <c r="T37" s="357">
        <v>28</v>
      </c>
      <c r="U37" s="358">
        <v>3</v>
      </c>
      <c r="V37" s="299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99"/>
      <c r="AH37" s="299"/>
      <c r="AI37" s="299"/>
      <c r="AJ37" s="299"/>
      <c r="AK37" s="289"/>
      <c r="AL37" s="299"/>
      <c r="AM37" s="183"/>
      <c r="AN37" s="289"/>
      <c r="AO37" s="289"/>
      <c r="AP37" s="183"/>
      <c r="AQ37" s="183"/>
      <c r="AR37" s="183"/>
      <c r="AS37" s="113"/>
      <c r="AT37" s="113"/>
      <c r="AU37" s="190"/>
      <c r="AV37" s="190"/>
      <c r="AW37" s="189"/>
      <c r="AX37" s="189">
        <f t="shared" si="11"/>
        <v>4</v>
      </c>
      <c r="AY37" s="189">
        <f t="shared" si="12"/>
        <v>7.2</v>
      </c>
      <c r="AZ37" s="189">
        <f t="shared" si="13"/>
        <v>28</v>
      </c>
      <c r="BA37" s="189">
        <f t="shared" si="14"/>
        <v>3</v>
      </c>
      <c r="BB37" s="189">
        <f t="shared" si="15"/>
        <v>0</v>
      </c>
      <c r="BC37" s="189">
        <f t="shared" si="16"/>
        <v>0</v>
      </c>
      <c r="BD37" s="189">
        <f t="shared" si="17"/>
        <v>0</v>
      </c>
      <c r="BE37" s="189">
        <f t="shared" si="18"/>
        <v>0</v>
      </c>
      <c r="BF37" s="189">
        <f t="shared" si="19"/>
        <v>0</v>
      </c>
      <c r="BG37" s="189">
        <f t="shared" si="20"/>
        <v>0</v>
      </c>
      <c r="BH37" s="189">
        <f t="shared" si="21"/>
        <v>0</v>
      </c>
      <c r="BI37" s="189">
        <f t="shared" si="22"/>
        <v>0</v>
      </c>
      <c r="BJ37" s="189">
        <f t="shared" si="23"/>
        <v>0</v>
      </c>
      <c r="BK37" s="189">
        <f t="shared" si="24"/>
        <v>0</v>
      </c>
      <c r="BL37" s="189">
        <f t="shared" si="25"/>
        <v>0</v>
      </c>
      <c r="BM37" s="189">
        <f t="shared" si="26"/>
        <v>0</v>
      </c>
      <c r="BN37" s="258"/>
      <c r="BO37" s="258">
        <f t="shared" si="51"/>
        <v>0</v>
      </c>
      <c r="BP37" s="71">
        <f t="shared" si="52"/>
        <v>0</v>
      </c>
      <c r="BQ37" s="112">
        <f t="shared" si="53"/>
        <v>0</v>
      </c>
      <c r="BR37" s="112">
        <f t="shared" si="54"/>
        <v>0</v>
      </c>
      <c r="BS37" s="112">
        <f t="shared" si="55"/>
        <v>0</v>
      </c>
      <c r="BT37" s="112">
        <f t="shared" si="56"/>
        <v>0</v>
      </c>
      <c r="BU37" s="112">
        <f t="shared" si="57"/>
        <v>0</v>
      </c>
      <c r="BV37" s="112">
        <f t="shared" si="58"/>
        <v>0</v>
      </c>
      <c r="BW37" s="112">
        <f t="shared" si="59"/>
        <v>0</v>
      </c>
      <c r="BX37" s="112">
        <f t="shared" si="60"/>
        <v>0</v>
      </c>
      <c r="BY37" s="71">
        <f t="shared" si="61"/>
        <v>0</v>
      </c>
      <c r="BZ37" s="112">
        <f t="shared" si="62"/>
        <v>0</v>
      </c>
      <c r="CA37" s="189"/>
      <c r="CB37" s="183"/>
      <c r="CC37" s="71">
        <f t="shared" si="32"/>
        <v>0</v>
      </c>
      <c r="CD37" s="71">
        <f t="shared" si="42"/>
        <v>0</v>
      </c>
      <c r="CE37" s="71">
        <f t="shared" si="33"/>
        <v>0</v>
      </c>
      <c r="CF37" s="71">
        <f t="shared" si="34"/>
        <v>0</v>
      </c>
      <c r="CG37" s="71">
        <f t="shared" si="35"/>
        <v>0</v>
      </c>
      <c r="CH37" s="166">
        <f t="shared" si="36"/>
        <v>0</v>
      </c>
      <c r="CI37" s="259">
        <f t="shared" si="37"/>
        <v>0</v>
      </c>
      <c r="CJ37" s="52"/>
      <c r="CK37" s="172"/>
      <c r="CL37" s="198"/>
      <c r="CM37" s="173"/>
      <c r="CN37" s="197"/>
      <c r="CO37" s="195"/>
      <c r="CP37" s="197"/>
      <c r="CQ37" s="136"/>
      <c r="CR37" s="297" t="str">
        <f t="shared" si="38"/>
        <v>STELLA SILVA</v>
      </c>
      <c r="CS37" s="310" t="str">
        <f>+'SEMANA DEL 2 AL 7-3-26'!CS37</f>
        <v>V-11.021.592</v>
      </c>
      <c r="CT37" s="304">
        <f t="shared" si="47"/>
        <v>0</v>
      </c>
      <c r="CU37" s="304">
        <f t="shared" si="48"/>
        <v>0</v>
      </c>
      <c r="CV37" s="304"/>
      <c r="CW37" s="305">
        <f t="shared" si="49"/>
        <v>0</v>
      </c>
      <c r="CX37" s="305"/>
      <c r="CY37" s="304"/>
      <c r="CZ37" s="304">
        <f t="shared" si="63"/>
        <v>0</v>
      </c>
      <c r="DA37" s="304">
        <f t="shared" si="41"/>
        <v>0</v>
      </c>
      <c r="DB37" s="306">
        <f t="shared" si="9"/>
        <v>0</v>
      </c>
      <c r="DC37" s="321">
        <f>+CI37+CW37+CZ37</f>
        <v>0</v>
      </c>
    </row>
    <row r="38" spans="1:107" ht="18" customHeight="1" x14ac:dyDescent="0.25">
      <c r="A38" s="355" t="str">
        <f>+'SEMANA DEL 2 AL 7-3-26'!A38</f>
        <v>SANDRA MILENA ANTOLINES</v>
      </c>
      <c r="B38" s="356">
        <f>+'SEMANA DEL 2 AL 7-3-26'!AX38</f>
        <v>0</v>
      </c>
      <c r="C38" s="356">
        <f>+'SEMANA DEL 2 AL 7-3-26'!AY38</f>
        <v>0</v>
      </c>
      <c r="D38" s="356">
        <f>+'SEMANA DEL 2 AL 7-3-26'!AZ38</f>
        <v>0</v>
      </c>
      <c r="E38" s="356">
        <f>+'SEMANA DEL 2 AL 7-3-26'!BA38</f>
        <v>0</v>
      </c>
      <c r="F38" s="356">
        <f>+'SEMANA DEL 2 AL 7-3-26'!BB38</f>
        <v>0</v>
      </c>
      <c r="G38" s="356">
        <f>+'SEMANA DEL 2 AL 7-3-26'!BC38</f>
        <v>0</v>
      </c>
      <c r="H38" s="356">
        <f>+'SEMANA DEL 2 AL 7-3-26'!BD38</f>
        <v>0</v>
      </c>
      <c r="I38" s="356">
        <f>+'SEMANA DEL 2 AL 7-3-26'!BE38</f>
        <v>0</v>
      </c>
      <c r="J38" s="356">
        <f>+'SEMANA DEL 2 AL 7-3-26'!BF38</f>
        <v>0</v>
      </c>
      <c r="K38" s="356">
        <f>+'SEMANA DEL 2 AL 7-3-26'!BG38</f>
        <v>0</v>
      </c>
      <c r="L38" s="356">
        <f>+'SEMANA DEL 2 AL 7-3-26'!BH38</f>
        <v>0</v>
      </c>
      <c r="M38" s="356">
        <f>+'SEMANA DEL 2 AL 7-3-26'!BI38</f>
        <v>0</v>
      </c>
      <c r="N38" s="356">
        <f>+'SEMANA DEL 2 AL 7-3-26'!BJ38</f>
        <v>0</v>
      </c>
      <c r="O38" s="356">
        <f>+'SEMANA DEL 2 AL 7-3-26'!BK38</f>
        <v>0</v>
      </c>
      <c r="P38" s="356">
        <f>+'SEMANA DEL 2 AL 7-3-26'!BL38</f>
        <v>0</v>
      </c>
      <c r="Q38" s="356">
        <f>+'SEMANA DEL 2 AL 7-3-26'!BM38</f>
        <v>0</v>
      </c>
      <c r="R38" s="358">
        <v>10</v>
      </c>
      <c r="S38" s="358">
        <v>18</v>
      </c>
      <c r="T38" s="358">
        <v>70</v>
      </c>
      <c r="U38" s="358">
        <v>8</v>
      </c>
      <c r="V38" s="299"/>
      <c r="W38" s="299"/>
      <c r="X38" s="289"/>
      <c r="Y38" s="289">
        <v>2</v>
      </c>
      <c r="Z38" s="289"/>
      <c r="AA38" s="289"/>
      <c r="AB38" s="289"/>
      <c r="AC38" s="289"/>
      <c r="AD38" s="289"/>
      <c r="AE38" s="289"/>
      <c r="AF38" s="289"/>
      <c r="AG38" s="299"/>
      <c r="AH38" s="299"/>
      <c r="AI38" s="299"/>
      <c r="AJ38" s="299"/>
      <c r="AK38" s="299"/>
      <c r="AL38" s="183"/>
      <c r="AM38" s="183"/>
      <c r="AN38" s="289"/>
      <c r="AO38" s="289"/>
      <c r="AP38" s="183"/>
      <c r="AQ38" s="183"/>
      <c r="AR38" s="183"/>
      <c r="AS38" s="113"/>
      <c r="AT38" s="113"/>
      <c r="AU38" s="190"/>
      <c r="AV38" s="190"/>
      <c r="AW38" s="189"/>
      <c r="AX38" s="189">
        <f t="shared" si="11"/>
        <v>10</v>
      </c>
      <c r="AY38" s="189">
        <f t="shared" si="12"/>
        <v>18</v>
      </c>
      <c r="AZ38" s="189">
        <f t="shared" si="13"/>
        <v>70</v>
      </c>
      <c r="BA38" s="189">
        <f t="shared" si="14"/>
        <v>8</v>
      </c>
      <c r="BB38" s="189">
        <f t="shared" si="15"/>
        <v>0</v>
      </c>
      <c r="BC38" s="189">
        <f t="shared" si="16"/>
        <v>0</v>
      </c>
      <c r="BD38" s="189">
        <f t="shared" si="17"/>
        <v>0</v>
      </c>
      <c r="BE38" s="189">
        <f t="shared" si="18"/>
        <v>2</v>
      </c>
      <c r="BF38" s="189">
        <f t="shared" si="19"/>
        <v>0</v>
      </c>
      <c r="BG38" s="189">
        <f t="shared" si="20"/>
        <v>0</v>
      </c>
      <c r="BH38" s="189">
        <f t="shared" si="21"/>
        <v>0</v>
      </c>
      <c r="BI38" s="189">
        <f t="shared" si="22"/>
        <v>0</v>
      </c>
      <c r="BJ38" s="189">
        <f t="shared" si="23"/>
        <v>0</v>
      </c>
      <c r="BK38" s="189">
        <f t="shared" si="24"/>
        <v>0</v>
      </c>
      <c r="BL38" s="189">
        <f t="shared" si="25"/>
        <v>0</v>
      </c>
      <c r="BM38" s="189">
        <f t="shared" si="26"/>
        <v>0</v>
      </c>
      <c r="BN38" s="258"/>
      <c r="BO38" s="258">
        <f t="shared" si="51"/>
        <v>0</v>
      </c>
      <c r="BP38" s="71">
        <f t="shared" si="52"/>
        <v>0</v>
      </c>
      <c r="BQ38" s="112">
        <f t="shared" si="53"/>
        <v>0</v>
      </c>
      <c r="BR38" s="112">
        <f t="shared" si="54"/>
        <v>0</v>
      </c>
      <c r="BS38" s="112">
        <f t="shared" si="55"/>
        <v>0</v>
      </c>
      <c r="BT38" s="112">
        <f t="shared" si="56"/>
        <v>0</v>
      </c>
      <c r="BU38" s="112">
        <f t="shared" si="57"/>
        <v>0</v>
      </c>
      <c r="BV38" s="112">
        <f t="shared" si="58"/>
        <v>0</v>
      </c>
      <c r="BW38" s="112">
        <f t="shared" si="59"/>
        <v>0</v>
      </c>
      <c r="BX38" s="112">
        <f t="shared" si="60"/>
        <v>0</v>
      </c>
      <c r="BY38" s="71">
        <f t="shared" si="61"/>
        <v>0</v>
      </c>
      <c r="BZ38" s="112">
        <f t="shared" si="62"/>
        <v>0</v>
      </c>
      <c r="CA38" s="189"/>
      <c r="CB38" s="183"/>
      <c r="CC38" s="71">
        <f t="shared" si="32"/>
        <v>0</v>
      </c>
      <c r="CD38" s="71">
        <f t="shared" si="42"/>
        <v>0</v>
      </c>
      <c r="CE38" s="71">
        <f t="shared" si="33"/>
        <v>0</v>
      </c>
      <c r="CF38" s="71">
        <f t="shared" si="34"/>
        <v>0</v>
      </c>
      <c r="CG38" s="71">
        <f t="shared" si="35"/>
        <v>0</v>
      </c>
      <c r="CH38" s="166">
        <f t="shared" si="36"/>
        <v>0</v>
      </c>
      <c r="CI38" s="259">
        <f t="shared" si="37"/>
        <v>0</v>
      </c>
      <c r="CJ38" s="52"/>
      <c r="CK38" s="172"/>
      <c r="CL38" s="198"/>
      <c r="CM38" s="173"/>
      <c r="CN38" s="197"/>
      <c r="CO38" s="195"/>
      <c r="CP38" s="197"/>
      <c r="CQ38" s="136"/>
      <c r="CR38" s="297" t="str">
        <f t="shared" si="38"/>
        <v>SANDRA MILENA ANTOLINES</v>
      </c>
      <c r="CS38" s="310" t="str">
        <f>+'SEMANA DEL 2 AL 7-3-26'!CS38</f>
        <v>CC-1.102.348.573</v>
      </c>
      <c r="CT38" s="304">
        <f t="shared" si="47"/>
        <v>0</v>
      </c>
      <c r="CU38" s="304">
        <f t="shared" si="48"/>
        <v>0</v>
      </c>
      <c r="CV38" s="304"/>
      <c r="CW38" s="305">
        <f t="shared" si="49"/>
        <v>0</v>
      </c>
      <c r="CX38" s="305"/>
      <c r="CY38" s="304"/>
      <c r="CZ38" s="304">
        <f t="shared" si="63"/>
        <v>0</v>
      </c>
      <c r="DA38" s="304">
        <f t="shared" si="41"/>
        <v>0</v>
      </c>
      <c r="DB38" s="306">
        <f t="shared" si="9"/>
        <v>0</v>
      </c>
      <c r="DC38" s="321">
        <f t="shared" si="10"/>
        <v>0</v>
      </c>
    </row>
    <row r="39" spans="1:107" ht="18" customHeight="1" x14ac:dyDescent="0.25">
      <c r="A39" s="355" t="str">
        <f>+'SEMANA DEL 2 AL 7-3-26'!A39</f>
        <v xml:space="preserve">SANDRA MORENO </v>
      </c>
      <c r="B39" s="356">
        <f>+'SEMANA DEL 2 AL 7-3-26'!AX39</f>
        <v>0.75</v>
      </c>
      <c r="C39" s="356">
        <f>+'SEMANA DEL 2 AL 7-3-26'!AY39</f>
        <v>0.45000000000000107</v>
      </c>
      <c r="D39" s="356">
        <f>+'SEMANA DEL 2 AL 7-3-26'!AZ39</f>
        <v>1.75</v>
      </c>
      <c r="E39" s="356">
        <f>+'SEMANA DEL 2 AL 7-3-26'!BA39</f>
        <v>0</v>
      </c>
      <c r="F39" s="356">
        <f>+'SEMANA DEL 2 AL 7-3-26'!BB39</f>
        <v>0</v>
      </c>
      <c r="G39" s="356">
        <f>+'SEMANA DEL 2 AL 7-3-26'!BC39</f>
        <v>0</v>
      </c>
      <c r="H39" s="356">
        <f>+'SEMANA DEL 2 AL 7-3-26'!BD39</f>
        <v>0</v>
      </c>
      <c r="I39" s="356">
        <f>+'SEMANA DEL 2 AL 7-3-26'!BE39</f>
        <v>0</v>
      </c>
      <c r="J39" s="356">
        <f>+'SEMANA DEL 2 AL 7-3-26'!BF39</f>
        <v>0</v>
      </c>
      <c r="K39" s="356">
        <f>+'SEMANA DEL 2 AL 7-3-26'!BG39</f>
        <v>0</v>
      </c>
      <c r="L39" s="356">
        <f>+'SEMANA DEL 2 AL 7-3-26'!BH39</f>
        <v>0</v>
      </c>
      <c r="M39" s="356">
        <f>+'SEMANA DEL 2 AL 7-3-26'!BI39</f>
        <v>0</v>
      </c>
      <c r="N39" s="356">
        <f>+'SEMANA DEL 2 AL 7-3-26'!BJ39</f>
        <v>0</v>
      </c>
      <c r="O39" s="356">
        <f>+'SEMANA DEL 2 AL 7-3-26'!BK39</f>
        <v>0</v>
      </c>
      <c r="P39" s="356">
        <f>+'SEMANA DEL 2 AL 7-3-26'!BL39</f>
        <v>0</v>
      </c>
      <c r="Q39" s="356">
        <f>+'SEMANA DEL 2 AL 7-3-26'!BM39</f>
        <v>0</v>
      </c>
      <c r="R39" s="358">
        <v>10</v>
      </c>
      <c r="S39" s="358">
        <v>18</v>
      </c>
      <c r="T39" s="358">
        <v>70</v>
      </c>
      <c r="U39" s="358">
        <v>8</v>
      </c>
      <c r="V39" s="299"/>
      <c r="W39" s="29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99"/>
      <c r="AI39" s="299"/>
      <c r="AJ39" s="299"/>
      <c r="AK39" s="299"/>
      <c r="AL39" s="299"/>
      <c r="AM39" s="299"/>
      <c r="AN39" s="289"/>
      <c r="AO39" s="289"/>
      <c r="AP39" s="183"/>
      <c r="AQ39" s="183"/>
      <c r="AR39" s="183"/>
      <c r="AS39" s="113"/>
      <c r="AT39" s="113"/>
      <c r="AU39" s="190"/>
      <c r="AV39" s="190"/>
      <c r="AW39" s="189"/>
      <c r="AX39" s="189">
        <f t="shared" si="11"/>
        <v>10.75</v>
      </c>
      <c r="AY39" s="189">
        <f t="shared" si="12"/>
        <v>18.450000000000003</v>
      </c>
      <c r="AZ39" s="189">
        <f t="shared" si="13"/>
        <v>71.75</v>
      </c>
      <c r="BA39" s="189">
        <f t="shared" si="14"/>
        <v>8</v>
      </c>
      <c r="BB39" s="189">
        <f t="shared" si="15"/>
        <v>0</v>
      </c>
      <c r="BC39" s="189">
        <f t="shared" si="16"/>
        <v>0</v>
      </c>
      <c r="BD39" s="189">
        <f t="shared" si="17"/>
        <v>0</v>
      </c>
      <c r="BE39" s="189">
        <f t="shared" si="18"/>
        <v>0</v>
      </c>
      <c r="BF39" s="189">
        <f t="shared" si="19"/>
        <v>0</v>
      </c>
      <c r="BG39" s="189">
        <f t="shared" si="20"/>
        <v>0</v>
      </c>
      <c r="BH39" s="189">
        <f t="shared" si="21"/>
        <v>0</v>
      </c>
      <c r="BI39" s="189">
        <f t="shared" si="22"/>
        <v>0</v>
      </c>
      <c r="BJ39" s="189">
        <f t="shared" si="23"/>
        <v>0</v>
      </c>
      <c r="BK39" s="189">
        <f t="shared" si="24"/>
        <v>0</v>
      </c>
      <c r="BL39" s="189">
        <f t="shared" si="25"/>
        <v>0</v>
      </c>
      <c r="BM39" s="189">
        <f t="shared" si="26"/>
        <v>0</v>
      </c>
      <c r="BN39" s="258"/>
      <c r="BO39" s="258">
        <f t="shared" si="51"/>
        <v>0</v>
      </c>
      <c r="BP39" s="71">
        <f t="shared" si="52"/>
        <v>0</v>
      </c>
      <c r="BQ39" s="112">
        <f t="shared" si="53"/>
        <v>0</v>
      </c>
      <c r="BR39" s="112">
        <f t="shared" si="54"/>
        <v>0</v>
      </c>
      <c r="BS39" s="112">
        <f t="shared" si="55"/>
        <v>0</v>
      </c>
      <c r="BT39" s="112">
        <f t="shared" si="56"/>
        <v>0</v>
      </c>
      <c r="BU39" s="112">
        <f t="shared" si="57"/>
        <v>0</v>
      </c>
      <c r="BV39" s="112">
        <f t="shared" si="58"/>
        <v>0</v>
      </c>
      <c r="BW39" s="112">
        <f t="shared" si="59"/>
        <v>0</v>
      </c>
      <c r="BX39" s="112">
        <f t="shared" si="60"/>
        <v>0</v>
      </c>
      <c r="BY39" s="71">
        <f t="shared" si="61"/>
        <v>0</v>
      </c>
      <c r="BZ39" s="112">
        <f t="shared" si="62"/>
        <v>0</v>
      </c>
      <c r="CA39" s="189"/>
      <c r="CB39" s="183"/>
      <c r="CC39" s="71">
        <f t="shared" si="32"/>
        <v>0</v>
      </c>
      <c r="CD39" s="71">
        <f t="shared" si="42"/>
        <v>0</v>
      </c>
      <c r="CE39" s="71">
        <f t="shared" si="33"/>
        <v>0</v>
      </c>
      <c r="CF39" s="71">
        <f t="shared" si="34"/>
        <v>0</v>
      </c>
      <c r="CG39" s="71">
        <f t="shared" si="35"/>
        <v>0</v>
      </c>
      <c r="CH39" s="166">
        <f t="shared" si="36"/>
        <v>0</v>
      </c>
      <c r="CI39" s="259">
        <f t="shared" si="37"/>
        <v>0</v>
      </c>
      <c r="CJ39" s="52"/>
      <c r="CK39" s="172"/>
      <c r="CL39" s="198"/>
      <c r="CM39" s="173"/>
      <c r="CN39" s="197"/>
      <c r="CO39" s="195"/>
      <c r="CP39" s="197"/>
      <c r="CQ39" s="136"/>
      <c r="CR39" s="297" t="str">
        <f t="shared" si="38"/>
        <v xml:space="preserve">SANDRA MORENO </v>
      </c>
      <c r="CS39" s="310" t="str">
        <f>+'SEMANA DEL 2 AL 7-3-26'!CS39</f>
        <v>V-18.355.048</v>
      </c>
      <c r="CT39" s="304">
        <f t="shared" si="47"/>
        <v>0</v>
      </c>
      <c r="CU39" s="304">
        <f t="shared" si="48"/>
        <v>0</v>
      </c>
      <c r="CV39" s="304"/>
      <c r="CW39" s="305">
        <f t="shared" si="49"/>
        <v>0</v>
      </c>
      <c r="CX39" s="305"/>
      <c r="CY39" s="304"/>
      <c r="CZ39" s="304">
        <f t="shared" si="63"/>
        <v>0</v>
      </c>
      <c r="DA39" s="304">
        <f t="shared" si="41"/>
        <v>0</v>
      </c>
      <c r="DB39" s="306">
        <f t="shared" si="9"/>
        <v>0</v>
      </c>
      <c r="DC39" s="321">
        <f t="shared" si="10"/>
        <v>0</v>
      </c>
    </row>
    <row r="40" spans="1:107" ht="18" customHeight="1" x14ac:dyDescent="0.25">
      <c r="A40" s="355" t="str">
        <f>+'SEMANA DEL 2 AL 7-3-26'!A40</f>
        <v xml:space="preserve">YENDER PADILLA </v>
      </c>
      <c r="B40" s="356">
        <f>+'SEMANA DEL 2 AL 7-3-26'!AX40</f>
        <v>0</v>
      </c>
      <c r="C40" s="356">
        <f>+'SEMANA DEL 2 AL 7-3-26'!AY40</f>
        <v>0</v>
      </c>
      <c r="D40" s="356">
        <f>+'SEMANA DEL 2 AL 7-3-26'!AZ40</f>
        <v>0</v>
      </c>
      <c r="E40" s="356">
        <f>+'SEMANA DEL 2 AL 7-3-26'!BA40</f>
        <v>0</v>
      </c>
      <c r="F40" s="356">
        <f>+'SEMANA DEL 2 AL 7-3-26'!BB40</f>
        <v>0</v>
      </c>
      <c r="G40" s="356">
        <f>+'SEMANA DEL 2 AL 7-3-26'!BC40</f>
        <v>0</v>
      </c>
      <c r="H40" s="356">
        <f>+'SEMANA DEL 2 AL 7-3-26'!BD40</f>
        <v>0</v>
      </c>
      <c r="I40" s="356">
        <f>+'SEMANA DEL 2 AL 7-3-26'!BE40</f>
        <v>0</v>
      </c>
      <c r="J40" s="356">
        <f>+'SEMANA DEL 2 AL 7-3-26'!BF40</f>
        <v>0</v>
      </c>
      <c r="K40" s="356">
        <f>+'SEMANA DEL 2 AL 7-3-26'!BG40</f>
        <v>0</v>
      </c>
      <c r="L40" s="356">
        <f>+'SEMANA DEL 2 AL 7-3-26'!BH40</f>
        <v>0</v>
      </c>
      <c r="M40" s="356">
        <f>+'SEMANA DEL 2 AL 7-3-26'!BI40</f>
        <v>0</v>
      </c>
      <c r="N40" s="356">
        <f>+'SEMANA DEL 2 AL 7-3-26'!BJ40</f>
        <v>0</v>
      </c>
      <c r="O40" s="356">
        <f>+'SEMANA DEL 2 AL 7-3-26'!BK40</f>
        <v>0</v>
      </c>
      <c r="P40" s="356">
        <f>+'SEMANA DEL 2 AL 7-3-26'!BL40</f>
        <v>0</v>
      </c>
      <c r="Q40" s="356">
        <f>+'SEMANA DEL 2 AL 7-3-26'!BM40</f>
        <v>0</v>
      </c>
      <c r="R40" s="357">
        <v>5</v>
      </c>
      <c r="S40" s="358">
        <v>9</v>
      </c>
      <c r="T40" s="358">
        <v>35</v>
      </c>
      <c r="U40" s="358">
        <v>4</v>
      </c>
      <c r="V40" s="299"/>
      <c r="W40" s="299"/>
      <c r="X40" s="289"/>
      <c r="Y40" s="289"/>
      <c r="Z40" s="289"/>
      <c r="AA40" s="289"/>
      <c r="AB40" s="289"/>
      <c r="AC40" s="289"/>
      <c r="AD40" s="289"/>
      <c r="AE40" s="289"/>
      <c r="AF40" s="289"/>
      <c r="AG40" s="299"/>
      <c r="AH40" s="299"/>
      <c r="AI40" s="299"/>
      <c r="AJ40" s="299"/>
      <c r="AK40" s="299"/>
      <c r="AL40" s="299"/>
      <c r="AM40" s="299"/>
      <c r="AN40" s="289"/>
      <c r="AO40" s="289"/>
      <c r="AP40" s="183"/>
      <c r="AQ40" s="183"/>
      <c r="AR40" s="183"/>
      <c r="AS40" s="113"/>
      <c r="AT40" s="113"/>
      <c r="AU40" s="190"/>
      <c r="AV40" s="190"/>
      <c r="AW40" s="189"/>
      <c r="AX40" s="189">
        <f t="shared" si="11"/>
        <v>5</v>
      </c>
      <c r="AY40" s="189">
        <f t="shared" si="12"/>
        <v>9</v>
      </c>
      <c r="AZ40" s="189">
        <f t="shared" si="13"/>
        <v>35</v>
      </c>
      <c r="BA40" s="189">
        <f t="shared" si="14"/>
        <v>4</v>
      </c>
      <c r="BB40" s="189">
        <f t="shared" si="15"/>
        <v>0</v>
      </c>
      <c r="BC40" s="189">
        <f t="shared" si="16"/>
        <v>0</v>
      </c>
      <c r="BD40" s="189">
        <f t="shared" si="17"/>
        <v>0</v>
      </c>
      <c r="BE40" s="189">
        <f t="shared" si="18"/>
        <v>0</v>
      </c>
      <c r="BF40" s="189">
        <f t="shared" si="19"/>
        <v>0</v>
      </c>
      <c r="BG40" s="189">
        <f t="shared" si="20"/>
        <v>0</v>
      </c>
      <c r="BH40" s="189">
        <f t="shared" si="21"/>
        <v>0</v>
      </c>
      <c r="BI40" s="189">
        <f t="shared" si="22"/>
        <v>0</v>
      </c>
      <c r="BJ40" s="189">
        <f t="shared" si="23"/>
        <v>0</v>
      </c>
      <c r="BK40" s="189">
        <f t="shared" si="24"/>
        <v>0</v>
      </c>
      <c r="BL40" s="189">
        <f t="shared" si="25"/>
        <v>0</v>
      </c>
      <c r="BM40" s="189">
        <f t="shared" si="26"/>
        <v>0</v>
      </c>
      <c r="BN40" s="258"/>
      <c r="BO40" s="258">
        <f t="shared" si="51"/>
        <v>0</v>
      </c>
      <c r="BP40" s="71">
        <f t="shared" si="52"/>
        <v>0</v>
      </c>
      <c r="BQ40" s="112">
        <f t="shared" si="53"/>
        <v>0</v>
      </c>
      <c r="BR40" s="112">
        <f t="shared" si="54"/>
        <v>0</v>
      </c>
      <c r="BS40" s="112">
        <f t="shared" si="55"/>
        <v>0</v>
      </c>
      <c r="BT40" s="112">
        <f t="shared" si="56"/>
        <v>0</v>
      </c>
      <c r="BU40" s="112">
        <f t="shared" si="57"/>
        <v>0</v>
      </c>
      <c r="BV40" s="112">
        <f t="shared" si="58"/>
        <v>0</v>
      </c>
      <c r="BW40" s="112">
        <f t="shared" si="59"/>
        <v>0</v>
      </c>
      <c r="BX40" s="112">
        <f t="shared" si="60"/>
        <v>0</v>
      </c>
      <c r="BY40" s="71">
        <f t="shared" si="61"/>
        <v>0</v>
      </c>
      <c r="BZ40" s="112">
        <f t="shared" si="62"/>
        <v>0</v>
      </c>
      <c r="CA40" s="189"/>
      <c r="CB40" s="183"/>
      <c r="CC40" s="71">
        <f t="shared" si="32"/>
        <v>0</v>
      </c>
      <c r="CD40" s="71">
        <f t="shared" si="42"/>
        <v>0</v>
      </c>
      <c r="CE40" s="71">
        <f t="shared" si="33"/>
        <v>0</v>
      </c>
      <c r="CF40" s="71">
        <f t="shared" si="34"/>
        <v>0</v>
      </c>
      <c r="CG40" s="71">
        <f t="shared" si="35"/>
        <v>0</v>
      </c>
      <c r="CH40" s="166">
        <f t="shared" si="36"/>
        <v>0</v>
      </c>
      <c r="CI40" s="259">
        <f t="shared" si="37"/>
        <v>0</v>
      </c>
      <c r="CJ40" s="52"/>
      <c r="CK40" s="172"/>
      <c r="CL40" s="198" t="e">
        <f>+'SEMANA DEL 2 AL 7-3-26'!#REF!</f>
        <v>#REF!</v>
      </c>
      <c r="CM40" s="173"/>
      <c r="CN40" s="197"/>
      <c r="CO40" s="195"/>
      <c r="CP40" s="197"/>
      <c r="CQ40" s="136"/>
      <c r="CR40" s="297" t="str">
        <f t="shared" si="38"/>
        <v xml:space="preserve">YENDER PADILLA </v>
      </c>
      <c r="CS40" s="310" t="str">
        <f>+'SEMANA DEL 2 AL 7-3-26'!CS40</f>
        <v>CC-1.092.340.667</v>
      </c>
      <c r="CT40" s="304">
        <f t="shared" si="47"/>
        <v>0</v>
      </c>
      <c r="CU40" s="304">
        <f t="shared" si="48"/>
        <v>0</v>
      </c>
      <c r="CV40" s="304"/>
      <c r="CW40" s="305">
        <f t="shared" si="49"/>
        <v>0</v>
      </c>
      <c r="CX40" s="305"/>
      <c r="CY40" s="304"/>
      <c r="CZ40" s="304">
        <f t="shared" si="63"/>
        <v>0</v>
      </c>
      <c r="DA40" s="304">
        <f t="shared" si="41"/>
        <v>0</v>
      </c>
      <c r="DB40" s="306">
        <f t="shared" si="9"/>
        <v>0</v>
      </c>
      <c r="DC40" s="321">
        <f t="shared" si="10"/>
        <v>0</v>
      </c>
    </row>
    <row r="41" spans="1:107" ht="18" customHeight="1" x14ac:dyDescent="0.25">
      <c r="A41" s="355" t="str">
        <f>+'SEMANA DEL 2 AL 7-3-26'!A41</f>
        <v xml:space="preserve">YEFERSON CONTRERAS </v>
      </c>
      <c r="B41" s="356">
        <f>+'SEMANA DEL 2 AL 7-3-26'!AX41</f>
        <v>0</v>
      </c>
      <c r="C41" s="356">
        <f>+'SEMANA DEL 2 AL 7-3-26'!AY41</f>
        <v>0</v>
      </c>
      <c r="D41" s="356">
        <f>+'SEMANA DEL 2 AL 7-3-26'!AZ41</f>
        <v>0</v>
      </c>
      <c r="E41" s="356">
        <f>+'SEMANA DEL 2 AL 7-3-26'!BA41</f>
        <v>0</v>
      </c>
      <c r="F41" s="356">
        <f>+'SEMANA DEL 2 AL 7-3-26'!BB41</f>
        <v>0</v>
      </c>
      <c r="G41" s="356">
        <f>+'SEMANA DEL 2 AL 7-3-26'!BC41</f>
        <v>0</v>
      </c>
      <c r="H41" s="356">
        <f>+'SEMANA DEL 2 AL 7-3-26'!BD41</f>
        <v>0</v>
      </c>
      <c r="I41" s="356">
        <f>+'SEMANA DEL 2 AL 7-3-26'!BE41</f>
        <v>0</v>
      </c>
      <c r="J41" s="356">
        <f>+'SEMANA DEL 2 AL 7-3-26'!BF41</f>
        <v>0</v>
      </c>
      <c r="K41" s="356">
        <f>+'SEMANA DEL 2 AL 7-3-26'!BG41</f>
        <v>0</v>
      </c>
      <c r="L41" s="356">
        <f>+'SEMANA DEL 2 AL 7-3-26'!BH41</f>
        <v>0</v>
      </c>
      <c r="M41" s="356">
        <f>+'SEMANA DEL 2 AL 7-3-26'!BI41</f>
        <v>0</v>
      </c>
      <c r="N41" s="356">
        <f>+'SEMANA DEL 2 AL 7-3-26'!BJ41</f>
        <v>0</v>
      </c>
      <c r="O41" s="356">
        <f>+'SEMANA DEL 2 AL 7-3-26'!BK41</f>
        <v>0</v>
      </c>
      <c r="P41" s="356">
        <f>+'SEMANA DEL 2 AL 7-3-26'!BL41</f>
        <v>0</v>
      </c>
      <c r="Q41" s="356">
        <f>+'SEMANA DEL 2 AL 7-3-26'!BM41</f>
        <v>0</v>
      </c>
      <c r="R41" s="357">
        <v>5</v>
      </c>
      <c r="S41" s="358">
        <v>9</v>
      </c>
      <c r="T41" s="358">
        <v>35</v>
      </c>
      <c r="U41" s="358">
        <v>4</v>
      </c>
      <c r="V41" s="299"/>
      <c r="W41" s="29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357"/>
      <c r="AI41" s="358"/>
      <c r="AJ41" s="358"/>
      <c r="AK41" s="358"/>
      <c r="AL41" s="299"/>
      <c r="AM41" s="299"/>
      <c r="AN41" s="289"/>
      <c r="AO41" s="289"/>
      <c r="AP41" s="183"/>
      <c r="AQ41" s="183"/>
      <c r="AR41" s="183"/>
      <c r="AS41" s="113"/>
      <c r="AT41" s="113"/>
      <c r="AU41" s="190"/>
      <c r="AV41" s="190"/>
      <c r="AW41" s="189"/>
      <c r="AX41" s="189">
        <f t="shared" si="11"/>
        <v>5</v>
      </c>
      <c r="AY41" s="189">
        <f t="shared" si="12"/>
        <v>9</v>
      </c>
      <c r="AZ41" s="189">
        <f t="shared" si="13"/>
        <v>35</v>
      </c>
      <c r="BA41" s="189">
        <f t="shared" si="14"/>
        <v>4</v>
      </c>
      <c r="BB41" s="189">
        <f t="shared" si="15"/>
        <v>0</v>
      </c>
      <c r="BC41" s="189">
        <f t="shared" si="16"/>
        <v>0</v>
      </c>
      <c r="BD41" s="189">
        <f t="shared" si="17"/>
        <v>0</v>
      </c>
      <c r="BE41" s="189">
        <f t="shared" si="18"/>
        <v>0</v>
      </c>
      <c r="BF41" s="189">
        <f t="shared" si="19"/>
        <v>0</v>
      </c>
      <c r="BG41" s="189">
        <f t="shared" si="20"/>
        <v>0</v>
      </c>
      <c r="BH41" s="189">
        <f t="shared" si="21"/>
        <v>0</v>
      </c>
      <c r="BI41" s="189">
        <f t="shared" si="22"/>
        <v>0</v>
      </c>
      <c r="BJ41" s="189">
        <f t="shared" si="23"/>
        <v>0</v>
      </c>
      <c r="BK41" s="189">
        <f t="shared" si="24"/>
        <v>0</v>
      </c>
      <c r="BL41" s="189">
        <f t="shared" si="25"/>
        <v>0</v>
      </c>
      <c r="BM41" s="189">
        <f t="shared" si="26"/>
        <v>0</v>
      </c>
      <c r="BN41" s="258"/>
      <c r="BO41" s="258">
        <f t="shared" si="51"/>
        <v>0</v>
      </c>
      <c r="BP41" s="71">
        <f t="shared" si="52"/>
        <v>0</v>
      </c>
      <c r="BQ41" s="112">
        <f t="shared" si="53"/>
        <v>0</v>
      </c>
      <c r="BR41" s="112">
        <f t="shared" si="54"/>
        <v>0</v>
      </c>
      <c r="BS41" s="112">
        <f t="shared" si="55"/>
        <v>0</v>
      </c>
      <c r="BT41" s="112">
        <f t="shared" si="56"/>
        <v>0</v>
      </c>
      <c r="BU41" s="112">
        <f t="shared" si="57"/>
        <v>0</v>
      </c>
      <c r="BV41" s="112">
        <f t="shared" si="58"/>
        <v>0</v>
      </c>
      <c r="BW41" s="112">
        <f t="shared" si="59"/>
        <v>0</v>
      </c>
      <c r="BX41" s="112">
        <f t="shared" si="60"/>
        <v>0</v>
      </c>
      <c r="BY41" s="71">
        <f t="shared" si="61"/>
        <v>0</v>
      </c>
      <c r="BZ41" s="112">
        <f t="shared" si="62"/>
        <v>0</v>
      </c>
      <c r="CA41" s="189"/>
      <c r="CB41" s="183"/>
      <c r="CC41" s="71">
        <f t="shared" si="32"/>
        <v>0</v>
      </c>
      <c r="CD41" s="71">
        <f t="shared" si="42"/>
        <v>0</v>
      </c>
      <c r="CE41" s="71">
        <f t="shared" si="33"/>
        <v>0</v>
      </c>
      <c r="CF41" s="71">
        <f t="shared" si="34"/>
        <v>0</v>
      </c>
      <c r="CG41" s="71">
        <f t="shared" si="35"/>
        <v>0</v>
      </c>
      <c r="CH41" s="166">
        <f t="shared" si="36"/>
        <v>0</v>
      </c>
      <c r="CI41" s="259">
        <f t="shared" si="37"/>
        <v>0</v>
      </c>
      <c r="CJ41" s="52"/>
      <c r="CK41" s="172"/>
      <c r="CL41" s="198" t="e">
        <f>+'SEMANA DEL 2 AL 7-3-26'!#REF!</f>
        <v>#REF!</v>
      </c>
      <c r="CM41" s="173"/>
      <c r="CN41" s="197"/>
      <c r="CO41" s="195"/>
      <c r="CP41" s="197">
        <f>CN41-CO41</f>
        <v>0</v>
      </c>
      <c r="CQ41" s="136"/>
      <c r="CR41" s="297" t="str">
        <f t="shared" si="38"/>
        <v xml:space="preserve">YEFERSON CONTRERAS </v>
      </c>
      <c r="CS41" s="310">
        <f>+'SEMANA DEL 2 AL 7-3-26'!CS41</f>
        <v>0</v>
      </c>
      <c r="CT41" s="304">
        <f t="shared" si="47"/>
        <v>0</v>
      </c>
      <c r="CU41" s="304">
        <f t="shared" si="48"/>
        <v>0</v>
      </c>
      <c r="CV41" s="304"/>
      <c r="CW41" s="305">
        <f t="shared" si="49"/>
        <v>0</v>
      </c>
      <c r="CX41" s="305"/>
      <c r="CY41" s="304"/>
      <c r="CZ41" s="304">
        <f t="shared" si="63"/>
        <v>0</v>
      </c>
      <c r="DA41" s="304">
        <f t="shared" si="41"/>
        <v>0</v>
      </c>
      <c r="DB41" s="306">
        <f t="shared" si="9"/>
        <v>0</v>
      </c>
      <c r="DC41" s="321">
        <f t="shared" si="10"/>
        <v>0</v>
      </c>
    </row>
    <row r="42" spans="1:107" ht="18" customHeight="1" x14ac:dyDescent="0.25">
      <c r="A42" s="355" t="str">
        <f>+'SEMANA DEL 2 AL 7-3-26'!A42</f>
        <v>YARIRETH ROA</v>
      </c>
      <c r="B42" s="356">
        <f>+'SEMANA DEL 2 AL 7-3-26'!AX42</f>
        <v>1.1500000000000004</v>
      </c>
      <c r="C42" s="356">
        <f>+'SEMANA DEL 2 AL 7-3-26'!AY42</f>
        <v>2.0749999999999993</v>
      </c>
      <c r="D42" s="356">
        <f>+'SEMANA DEL 2 AL 7-3-26'!AZ42</f>
        <v>8.0499999999999972</v>
      </c>
      <c r="E42" s="356">
        <f>+'SEMANA DEL 2 AL 7-3-26'!BA42</f>
        <v>1</v>
      </c>
      <c r="F42" s="356">
        <f>+'SEMANA DEL 2 AL 7-3-26'!BB42</f>
        <v>0</v>
      </c>
      <c r="G42" s="356">
        <f>+'SEMANA DEL 2 AL 7-3-26'!BC42</f>
        <v>0</v>
      </c>
      <c r="H42" s="356">
        <f>+'SEMANA DEL 2 AL 7-3-26'!BD42</f>
        <v>0</v>
      </c>
      <c r="I42" s="356">
        <f>+'SEMANA DEL 2 AL 7-3-26'!BE42</f>
        <v>0</v>
      </c>
      <c r="J42" s="356">
        <f>+'SEMANA DEL 2 AL 7-3-26'!BF42</f>
        <v>0</v>
      </c>
      <c r="K42" s="356">
        <f>+'SEMANA DEL 2 AL 7-3-26'!BG42</f>
        <v>0</v>
      </c>
      <c r="L42" s="356">
        <f>+'SEMANA DEL 2 AL 7-3-26'!BH42</f>
        <v>0</v>
      </c>
      <c r="M42" s="356">
        <f>+'SEMANA DEL 2 AL 7-3-26'!BI42</f>
        <v>0</v>
      </c>
      <c r="N42" s="356">
        <f>+'SEMANA DEL 2 AL 7-3-26'!BJ42</f>
        <v>0</v>
      </c>
      <c r="O42" s="356">
        <f>+'SEMANA DEL 2 AL 7-3-26'!BK42</f>
        <v>0</v>
      </c>
      <c r="P42" s="356">
        <f>+'SEMANA DEL 2 AL 7-3-26'!BL42</f>
        <v>0</v>
      </c>
      <c r="Q42" s="356">
        <f>+'SEMANA DEL 2 AL 7-3-26'!BM42</f>
        <v>0</v>
      </c>
      <c r="R42" s="357">
        <v>0</v>
      </c>
      <c r="S42" s="357">
        <v>0</v>
      </c>
      <c r="T42" s="357">
        <v>0</v>
      </c>
      <c r="U42" s="358">
        <v>0</v>
      </c>
      <c r="V42" s="299"/>
      <c r="W42" s="299"/>
      <c r="X42" s="289"/>
      <c r="Y42" s="289"/>
      <c r="Z42" s="289"/>
      <c r="AA42" s="289"/>
      <c r="AB42" s="289"/>
      <c r="AC42" s="289"/>
      <c r="AD42" s="289"/>
      <c r="AE42" s="289"/>
      <c r="AF42" s="289"/>
      <c r="AG42" s="299"/>
      <c r="AH42" s="289"/>
      <c r="AI42" s="289"/>
      <c r="AJ42" s="289"/>
      <c r="AK42" s="299"/>
      <c r="AL42" s="403"/>
      <c r="AM42" s="403"/>
      <c r="AN42" s="404"/>
      <c r="AO42" s="404"/>
      <c r="AP42" s="405"/>
      <c r="AQ42" s="405"/>
      <c r="AR42" s="405"/>
      <c r="AS42" s="406"/>
      <c r="AT42" s="406"/>
      <c r="AU42" s="407"/>
      <c r="AV42" s="407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9"/>
      <c r="BO42" s="409"/>
      <c r="BP42" s="410"/>
      <c r="BQ42" s="411"/>
      <c r="BR42" s="411"/>
      <c r="BS42" s="411"/>
      <c r="BT42" s="411"/>
      <c r="BU42" s="411"/>
      <c r="BV42" s="411"/>
      <c r="BW42" s="411"/>
      <c r="BX42" s="411"/>
      <c r="BY42" s="410"/>
      <c r="BZ42" s="411"/>
      <c r="CA42" s="408"/>
      <c r="CB42" s="405"/>
      <c r="CC42" s="410"/>
      <c r="CD42" s="410"/>
      <c r="CE42" s="410"/>
      <c r="CF42" s="410"/>
      <c r="CG42" s="71">
        <f t="shared" si="35"/>
        <v>0</v>
      </c>
      <c r="CH42" s="412"/>
      <c r="CI42" s="413"/>
      <c r="CJ42" s="52"/>
      <c r="CK42" s="380"/>
      <c r="CL42" s="381"/>
      <c r="CM42" s="382"/>
      <c r="CN42" s="383"/>
      <c r="CO42" s="384"/>
      <c r="CP42" s="383"/>
      <c r="CQ42" s="136"/>
      <c r="CR42" s="297" t="str">
        <f t="shared" si="38"/>
        <v>YARIRETH ROA</v>
      </c>
      <c r="CS42" s="310" t="str">
        <f>+'SEMANA DEL 2 AL 7-3-26'!CS42</f>
        <v>V-14,975,665</v>
      </c>
      <c r="CT42" s="387"/>
      <c r="CU42" s="387"/>
      <c r="CV42" s="387"/>
      <c r="CW42" s="388"/>
      <c r="CX42" s="388"/>
      <c r="CY42" s="387"/>
      <c r="CZ42" s="387"/>
      <c r="DA42" s="387"/>
      <c r="DB42" s="389"/>
      <c r="DC42" s="390"/>
    </row>
    <row r="43" spans="1:107" ht="18" customHeight="1" x14ac:dyDescent="0.25">
      <c r="A43" s="355" t="str">
        <f>+'SEMANA DEL 2 AL 7-3-26'!A43</f>
        <v xml:space="preserve">YOLI BECERRA </v>
      </c>
      <c r="B43" s="356">
        <f>+'SEMANA DEL 2 AL 7-3-26'!AX43</f>
        <v>3</v>
      </c>
      <c r="C43" s="356">
        <f>+'SEMANA DEL 2 AL 7-3-26'!AY43</f>
        <v>5.4</v>
      </c>
      <c r="D43" s="356">
        <f>+'SEMANA DEL 2 AL 7-3-26'!AZ43</f>
        <v>21</v>
      </c>
      <c r="E43" s="356">
        <f>+'SEMANA DEL 2 AL 7-3-26'!BA43</f>
        <v>3</v>
      </c>
      <c r="F43" s="356">
        <f>+'SEMANA DEL 2 AL 7-3-26'!BB43</f>
        <v>0</v>
      </c>
      <c r="G43" s="356">
        <f>+'SEMANA DEL 2 AL 7-3-26'!BC43</f>
        <v>0</v>
      </c>
      <c r="H43" s="356">
        <f>+'SEMANA DEL 2 AL 7-3-26'!BD43</f>
        <v>0</v>
      </c>
      <c r="I43" s="356">
        <f>+'SEMANA DEL 2 AL 7-3-26'!BE43</f>
        <v>0</v>
      </c>
      <c r="J43" s="356">
        <f>+'SEMANA DEL 2 AL 7-3-26'!BF43</f>
        <v>0</v>
      </c>
      <c r="K43" s="356">
        <f>+'SEMANA DEL 2 AL 7-3-26'!BG43</f>
        <v>0</v>
      </c>
      <c r="L43" s="356">
        <f>+'SEMANA DEL 2 AL 7-3-26'!BH43</f>
        <v>0</v>
      </c>
      <c r="M43" s="356">
        <f>+'SEMANA DEL 2 AL 7-3-26'!BI43</f>
        <v>0</v>
      </c>
      <c r="N43" s="356">
        <f>+'SEMANA DEL 2 AL 7-3-26'!BJ43</f>
        <v>0</v>
      </c>
      <c r="O43" s="356">
        <f>+'SEMANA DEL 2 AL 7-3-26'!BK43</f>
        <v>0</v>
      </c>
      <c r="P43" s="356">
        <f>+'SEMANA DEL 2 AL 7-3-26'!BL43</f>
        <v>0</v>
      </c>
      <c r="Q43" s="356">
        <f>+'SEMANA DEL 2 AL 7-3-26'!BM43</f>
        <v>0</v>
      </c>
      <c r="R43" s="401"/>
      <c r="S43" s="401"/>
      <c r="T43" s="401"/>
      <c r="U43" s="402"/>
      <c r="V43" s="403"/>
      <c r="W43" s="403"/>
      <c r="X43" s="404"/>
      <c r="Y43" s="404"/>
      <c r="Z43" s="404"/>
      <c r="AA43" s="404"/>
      <c r="AB43" s="404"/>
      <c r="AC43" s="404"/>
      <c r="AD43" s="404"/>
      <c r="AE43" s="404"/>
      <c r="AF43" s="404"/>
      <c r="AG43" s="403"/>
      <c r="AH43" s="403"/>
      <c r="AI43" s="403"/>
      <c r="AJ43" s="403"/>
      <c r="AK43" s="403"/>
      <c r="AL43" s="403"/>
      <c r="AM43" s="403"/>
      <c r="AN43" s="404"/>
      <c r="AO43" s="404"/>
      <c r="AP43" s="405"/>
      <c r="AQ43" s="405"/>
      <c r="AR43" s="405"/>
      <c r="AS43" s="406"/>
      <c r="AT43" s="406"/>
      <c r="AU43" s="407"/>
      <c r="AV43" s="407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I43" s="408"/>
      <c r="BJ43" s="408"/>
      <c r="BK43" s="408"/>
      <c r="BL43" s="408"/>
      <c r="BM43" s="408"/>
      <c r="BN43" s="409"/>
      <c r="BO43" s="409"/>
      <c r="BP43" s="410"/>
      <c r="BQ43" s="411"/>
      <c r="BR43" s="411"/>
      <c r="BS43" s="411"/>
      <c r="BT43" s="411"/>
      <c r="BU43" s="411"/>
      <c r="BV43" s="411"/>
      <c r="BW43" s="411"/>
      <c r="BX43" s="411"/>
      <c r="BY43" s="410"/>
      <c r="BZ43" s="411"/>
      <c r="CA43" s="408"/>
      <c r="CB43" s="405"/>
      <c r="CC43" s="410"/>
      <c r="CD43" s="410"/>
      <c r="CE43" s="410"/>
      <c r="CF43" s="410"/>
      <c r="CG43" s="71">
        <f t="shared" si="35"/>
        <v>0</v>
      </c>
      <c r="CH43" s="412"/>
      <c r="CI43" s="413"/>
      <c r="CJ43" s="52"/>
      <c r="CK43" s="380"/>
      <c r="CL43" s="381"/>
      <c r="CM43" s="382"/>
      <c r="CN43" s="383"/>
      <c r="CO43" s="384"/>
      <c r="CP43" s="383"/>
      <c r="CQ43" s="136"/>
      <c r="CR43" s="297" t="str">
        <f t="shared" si="38"/>
        <v xml:space="preserve">YOLI BECERRA </v>
      </c>
      <c r="CS43" s="310" t="str">
        <f>+'SEMANA DEL 2 AL 7-3-26'!CS43</f>
        <v>V-11.017.442</v>
      </c>
      <c r="CT43" s="387"/>
      <c r="CU43" s="387"/>
      <c r="CV43" s="387"/>
      <c r="CW43" s="388"/>
      <c r="CX43" s="388"/>
      <c r="CY43" s="387"/>
      <c r="CZ43" s="387"/>
      <c r="DA43" s="387"/>
      <c r="DB43" s="389"/>
      <c r="DC43" s="390"/>
    </row>
    <row r="44" spans="1:107" ht="18" customHeight="1" x14ac:dyDescent="0.25">
      <c r="A44" s="355" t="str">
        <f>+'SEMANA DEL 2 AL 7-3-26'!A44</f>
        <v xml:space="preserve">MUESTRAS SRA MARIA </v>
      </c>
      <c r="B44" s="356">
        <f>+'SEMANA DEL 2 AL 7-3-26'!AX44</f>
        <v>0</v>
      </c>
      <c r="C44" s="356">
        <f>+'SEMANA DEL 2 AL 7-3-26'!AY44</f>
        <v>0</v>
      </c>
      <c r="D44" s="356">
        <f>+'SEMANA DEL 2 AL 7-3-26'!AZ44</f>
        <v>0</v>
      </c>
      <c r="E44" s="356">
        <f>+'SEMANA DEL 2 AL 7-3-26'!BA44</f>
        <v>0</v>
      </c>
      <c r="F44" s="356">
        <f>+'SEMANA DEL 2 AL 7-3-26'!BB44</f>
        <v>0</v>
      </c>
      <c r="G44" s="356">
        <f>+'SEMANA DEL 2 AL 7-3-26'!BC44</f>
        <v>0</v>
      </c>
      <c r="H44" s="356">
        <f>+'SEMANA DEL 2 AL 7-3-26'!BD44</f>
        <v>0</v>
      </c>
      <c r="I44" s="356">
        <f>+'SEMANA DEL 2 AL 7-3-26'!BE44</f>
        <v>0</v>
      </c>
      <c r="J44" s="356">
        <f>+'SEMANA DEL 2 AL 7-3-26'!BF44</f>
        <v>0</v>
      </c>
      <c r="K44" s="356">
        <f>+'SEMANA DEL 2 AL 7-3-26'!BG44</f>
        <v>0</v>
      </c>
      <c r="L44" s="356">
        <f>+'SEMANA DEL 2 AL 7-3-26'!BH44</f>
        <v>0</v>
      </c>
      <c r="M44" s="356">
        <f>+'SEMANA DEL 2 AL 7-3-26'!BI44</f>
        <v>0</v>
      </c>
      <c r="N44" s="356">
        <f>+'SEMANA DEL 2 AL 7-3-26'!BJ44</f>
        <v>0</v>
      </c>
      <c r="O44" s="356">
        <f>+'SEMANA DEL 2 AL 7-3-26'!BK44</f>
        <v>0</v>
      </c>
      <c r="P44" s="356">
        <f>+'SEMANA DEL 2 AL 7-3-26'!BL44</f>
        <v>0</v>
      </c>
      <c r="Q44" s="356">
        <f>+'SEMANA DEL 2 AL 7-3-26'!BM44</f>
        <v>0</v>
      </c>
      <c r="R44" s="401"/>
      <c r="S44" s="401"/>
      <c r="T44" s="401"/>
      <c r="U44" s="402"/>
      <c r="V44" s="403"/>
      <c r="W44" s="403"/>
      <c r="X44" s="404"/>
      <c r="Y44" s="404"/>
      <c r="Z44" s="404"/>
      <c r="AA44" s="404"/>
      <c r="AB44" s="404"/>
      <c r="AC44" s="404"/>
      <c r="AD44" s="404"/>
      <c r="AE44" s="404"/>
      <c r="AF44" s="404"/>
      <c r="AG44" s="403"/>
      <c r="AH44" s="403"/>
      <c r="AI44" s="403"/>
      <c r="AJ44" s="403"/>
      <c r="AK44" s="403"/>
      <c r="AL44" s="403"/>
      <c r="AM44" s="403"/>
      <c r="AN44" s="404"/>
      <c r="AO44" s="404"/>
      <c r="AP44" s="405"/>
      <c r="AQ44" s="405"/>
      <c r="AR44" s="405"/>
      <c r="AS44" s="406"/>
      <c r="AT44" s="406"/>
      <c r="AU44" s="407"/>
      <c r="AV44" s="407"/>
      <c r="AW44" s="408"/>
      <c r="AX44" s="408"/>
      <c r="AY44" s="408"/>
      <c r="AZ44" s="408"/>
      <c r="BA44" s="408"/>
      <c r="BB44" s="408"/>
      <c r="BC44" s="408"/>
      <c r="BD44" s="408"/>
      <c r="BE44" s="408"/>
      <c r="BF44" s="408"/>
      <c r="BG44" s="408"/>
      <c r="BH44" s="408"/>
      <c r="BI44" s="408"/>
      <c r="BJ44" s="408"/>
      <c r="BK44" s="408"/>
      <c r="BL44" s="408"/>
      <c r="BM44" s="408"/>
      <c r="BN44" s="409"/>
      <c r="BO44" s="409"/>
      <c r="BP44" s="410"/>
      <c r="BQ44" s="411"/>
      <c r="BR44" s="411"/>
      <c r="BS44" s="411"/>
      <c r="BT44" s="411"/>
      <c r="BU44" s="411"/>
      <c r="BV44" s="411"/>
      <c r="BW44" s="411"/>
      <c r="BX44" s="411"/>
      <c r="BY44" s="410"/>
      <c r="BZ44" s="411"/>
      <c r="CA44" s="408"/>
      <c r="CB44" s="405"/>
      <c r="CC44" s="410"/>
      <c r="CD44" s="410"/>
      <c r="CE44" s="410"/>
      <c r="CF44" s="410"/>
      <c r="CG44" s="71"/>
      <c r="CH44" s="412"/>
      <c r="CI44" s="413"/>
      <c r="CJ44" s="52"/>
      <c r="CK44" s="380"/>
      <c r="CL44" s="381"/>
      <c r="CM44" s="382"/>
      <c r="CN44" s="383"/>
      <c r="CO44" s="384"/>
      <c r="CP44" s="383"/>
      <c r="CQ44" s="136"/>
      <c r="CR44" s="297" t="str">
        <f t="shared" si="38"/>
        <v xml:space="preserve">MUESTRAS SRA MARIA </v>
      </c>
      <c r="CS44" s="310">
        <f>+'SEMANA DEL 2 AL 7-3-26'!CS44</f>
        <v>0</v>
      </c>
      <c r="CT44" s="387"/>
      <c r="CU44" s="387"/>
      <c r="CV44" s="387"/>
      <c r="CW44" s="388"/>
      <c r="CX44" s="388"/>
      <c r="CY44" s="387"/>
      <c r="CZ44" s="387"/>
      <c r="DA44" s="387"/>
      <c r="DB44" s="389"/>
      <c r="DC44" s="390"/>
    </row>
    <row r="45" spans="1:107" ht="18" customHeight="1" x14ac:dyDescent="0.25">
      <c r="A45" s="378">
        <f>+'SEMANA DEL 2 AL 7-3-26'!A45</f>
        <v>0</v>
      </c>
      <c r="B45" s="379">
        <f>SUM(B5:B41)</f>
        <v>9.8460000000000001</v>
      </c>
      <c r="C45" s="379">
        <f t="shared" ref="C45:BN45" si="64">SUM(C5:C41)</f>
        <v>17.688000000000009</v>
      </c>
      <c r="D45" s="379">
        <f t="shared" si="64"/>
        <v>97.348000000000013</v>
      </c>
      <c r="E45" s="379">
        <f t="shared" si="64"/>
        <v>7</v>
      </c>
      <c r="F45" s="379">
        <f t="shared" si="64"/>
        <v>0</v>
      </c>
      <c r="G45" s="379">
        <f t="shared" si="64"/>
        <v>0</v>
      </c>
      <c r="H45" s="379">
        <f t="shared" si="64"/>
        <v>0</v>
      </c>
      <c r="I45" s="379">
        <f t="shared" si="64"/>
        <v>3</v>
      </c>
      <c r="J45" s="379">
        <f t="shared" si="64"/>
        <v>0</v>
      </c>
      <c r="K45" s="379">
        <f t="shared" si="64"/>
        <v>0</v>
      </c>
      <c r="L45" s="379">
        <f t="shared" si="64"/>
        <v>0</v>
      </c>
      <c r="M45" s="379">
        <f t="shared" si="64"/>
        <v>0</v>
      </c>
      <c r="N45" s="379">
        <f t="shared" si="64"/>
        <v>0</v>
      </c>
      <c r="O45" s="379">
        <f t="shared" si="64"/>
        <v>0</v>
      </c>
      <c r="P45" s="379">
        <f t="shared" si="64"/>
        <v>0</v>
      </c>
      <c r="Q45" s="379">
        <f t="shared" si="64"/>
        <v>0</v>
      </c>
      <c r="R45" s="379">
        <f t="shared" si="64"/>
        <v>220.5</v>
      </c>
      <c r="S45" s="379">
        <f t="shared" si="64"/>
        <v>395.90000000000003</v>
      </c>
      <c r="T45" s="379">
        <f t="shared" si="64"/>
        <v>1540</v>
      </c>
      <c r="U45" s="379">
        <f t="shared" si="64"/>
        <v>179</v>
      </c>
      <c r="V45" s="379">
        <f t="shared" si="64"/>
        <v>0</v>
      </c>
      <c r="W45" s="379">
        <f t="shared" si="64"/>
        <v>1</v>
      </c>
      <c r="X45" s="379">
        <f t="shared" si="64"/>
        <v>0</v>
      </c>
      <c r="Y45" s="379">
        <f t="shared" si="64"/>
        <v>8</v>
      </c>
      <c r="Z45" s="379">
        <f t="shared" si="64"/>
        <v>6</v>
      </c>
      <c r="AA45" s="379">
        <f t="shared" si="64"/>
        <v>0</v>
      </c>
      <c r="AB45" s="379">
        <f t="shared" si="64"/>
        <v>0</v>
      </c>
      <c r="AC45" s="379">
        <f t="shared" si="64"/>
        <v>0</v>
      </c>
      <c r="AD45" s="379">
        <f t="shared" si="64"/>
        <v>0</v>
      </c>
      <c r="AE45" s="379">
        <f t="shared" si="64"/>
        <v>0</v>
      </c>
      <c r="AF45" s="379">
        <f t="shared" si="64"/>
        <v>0</v>
      </c>
      <c r="AG45" s="379">
        <f t="shared" si="64"/>
        <v>0</v>
      </c>
      <c r="AH45" s="379">
        <f t="shared" si="64"/>
        <v>134.55000000000001</v>
      </c>
      <c r="AI45" s="379">
        <f t="shared" si="64"/>
        <v>242.19</v>
      </c>
      <c r="AJ45" s="379">
        <f t="shared" si="64"/>
        <v>941.85</v>
      </c>
      <c r="AK45" s="379">
        <f t="shared" si="64"/>
        <v>111</v>
      </c>
      <c r="AL45" s="379">
        <f t="shared" si="64"/>
        <v>0</v>
      </c>
      <c r="AM45" s="379">
        <f t="shared" si="64"/>
        <v>0.75</v>
      </c>
      <c r="AN45" s="379">
        <f t="shared" si="64"/>
        <v>0</v>
      </c>
      <c r="AO45" s="379">
        <f t="shared" si="64"/>
        <v>3</v>
      </c>
      <c r="AP45" s="379">
        <f t="shared" si="64"/>
        <v>6</v>
      </c>
      <c r="AQ45" s="379">
        <f t="shared" si="64"/>
        <v>0</v>
      </c>
      <c r="AR45" s="379">
        <f t="shared" si="64"/>
        <v>0</v>
      </c>
      <c r="AS45" s="379">
        <f t="shared" si="64"/>
        <v>0</v>
      </c>
      <c r="AT45" s="379">
        <f t="shared" si="64"/>
        <v>0</v>
      </c>
      <c r="AU45" s="379">
        <f t="shared" si="64"/>
        <v>0</v>
      </c>
      <c r="AV45" s="379">
        <f t="shared" si="64"/>
        <v>0</v>
      </c>
      <c r="AW45" s="379">
        <f t="shared" si="64"/>
        <v>0</v>
      </c>
      <c r="AX45" s="379">
        <f t="shared" si="64"/>
        <v>95.795999999999992</v>
      </c>
      <c r="AY45" s="379">
        <f t="shared" si="64"/>
        <v>171.39800000000002</v>
      </c>
      <c r="AZ45" s="379">
        <f t="shared" si="64"/>
        <v>695.49800000000005</v>
      </c>
      <c r="BA45" s="379">
        <f t="shared" si="64"/>
        <v>75</v>
      </c>
      <c r="BB45" s="379">
        <f t="shared" si="64"/>
        <v>0</v>
      </c>
      <c r="BC45" s="379">
        <f t="shared" si="64"/>
        <v>0.25</v>
      </c>
      <c r="BD45" s="379">
        <f t="shared" si="64"/>
        <v>0</v>
      </c>
      <c r="BE45" s="379">
        <f t="shared" si="64"/>
        <v>8</v>
      </c>
      <c r="BF45" s="379">
        <f t="shared" si="64"/>
        <v>0</v>
      </c>
      <c r="BG45" s="379">
        <f t="shared" si="64"/>
        <v>0</v>
      </c>
      <c r="BH45" s="379">
        <f t="shared" si="64"/>
        <v>0</v>
      </c>
      <c r="BI45" s="379">
        <f t="shared" si="64"/>
        <v>0</v>
      </c>
      <c r="BJ45" s="379">
        <f t="shared" si="64"/>
        <v>0</v>
      </c>
      <c r="BK45" s="379">
        <f t="shared" si="64"/>
        <v>0</v>
      </c>
      <c r="BL45" s="379">
        <f t="shared" si="64"/>
        <v>0</v>
      </c>
      <c r="BM45" s="379">
        <f t="shared" si="64"/>
        <v>0</v>
      </c>
      <c r="BN45" s="379">
        <f t="shared" si="64"/>
        <v>129550</v>
      </c>
      <c r="BO45" s="379">
        <f t="shared" ref="BO45:CI45" si="65">SUM(BO5:BO41)</f>
        <v>0</v>
      </c>
      <c r="BP45" s="379">
        <f t="shared" si="65"/>
        <v>45000</v>
      </c>
      <c r="BQ45" s="379">
        <f t="shared" si="65"/>
        <v>0</v>
      </c>
      <c r="BR45" s="379">
        <f t="shared" si="65"/>
        <v>18000</v>
      </c>
      <c r="BS45" s="379">
        <f t="shared" si="65"/>
        <v>48000</v>
      </c>
      <c r="BT45" s="379">
        <f t="shared" si="65"/>
        <v>0</v>
      </c>
      <c r="BU45" s="379">
        <f t="shared" si="65"/>
        <v>0</v>
      </c>
      <c r="BV45" s="379">
        <f t="shared" si="65"/>
        <v>0</v>
      </c>
      <c r="BW45" s="379">
        <f t="shared" si="65"/>
        <v>0</v>
      </c>
      <c r="BX45" s="379">
        <f t="shared" si="65"/>
        <v>0</v>
      </c>
      <c r="BY45" s="379">
        <f t="shared" si="65"/>
        <v>0</v>
      </c>
      <c r="BZ45" s="379">
        <f t="shared" si="65"/>
        <v>0</v>
      </c>
      <c r="CA45" s="379">
        <f t="shared" si="65"/>
        <v>175000</v>
      </c>
      <c r="CB45" s="379">
        <f t="shared" si="65"/>
        <v>0</v>
      </c>
      <c r="CC45" s="379">
        <f t="shared" si="65"/>
        <v>2152.8000000000002</v>
      </c>
      <c r="CD45" s="379">
        <f t="shared" si="65"/>
        <v>3217.2</v>
      </c>
      <c r="CE45" s="379">
        <f t="shared" si="65"/>
        <v>2825.55</v>
      </c>
      <c r="CF45" s="379">
        <f t="shared" si="65"/>
        <v>8195.5499999999993</v>
      </c>
      <c r="CG45" s="379">
        <f t="shared" si="65"/>
        <v>11019652.550000001</v>
      </c>
      <c r="CH45" s="379">
        <f t="shared" si="65"/>
        <v>286000</v>
      </c>
      <c r="CI45" s="379">
        <f t="shared" si="65"/>
        <v>10725457</v>
      </c>
      <c r="CJ45" s="52"/>
      <c r="CK45" s="380" t="s">
        <v>50</v>
      </c>
      <c r="CL45" s="381" t="e">
        <f>+'SEMANA DEL 2 AL 7-3-26'!CP26</f>
        <v>#REF!</v>
      </c>
      <c r="CM45" s="382" t="e">
        <f>+#REF!</f>
        <v>#REF!</v>
      </c>
      <c r="CN45" s="383" t="e">
        <f>+CL45+CM45</f>
        <v>#REF!</v>
      </c>
      <c r="CO45" s="384" t="e">
        <f>+#REF!</f>
        <v>#REF!</v>
      </c>
      <c r="CP45" s="383" t="e">
        <f>CN45-CO45</f>
        <v>#REF!</v>
      </c>
      <c r="CQ45" s="135"/>
      <c r="CR45" s="385">
        <f t="shared" ref="CR6:CR45" si="66">+A45</f>
        <v>0</v>
      </c>
      <c r="CS45" s="386" t="e">
        <f>+'SEMANA DEL 2 AL 7-3-26'!#REF!</f>
        <v>#REF!</v>
      </c>
      <c r="CT45" s="387">
        <f t="shared" si="47"/>
        <v>129550</v>
      </c>
      <c r="CU45" s="387">
        <f t="shared" si="48"/>
        <v>0</v>
      </c>
      <c r="CV45" s="387"/>
      <c r="CW45" s="388">
        <f t="shared" si="49"/>
        <v>0</v>
      </c>
      <c r="CX45" s="388"/>
      <c r="CY45" s="387"/>
      <c r="CZ45" s="387">
        <f t="shared" si="63"/>
        <v>0</v>
      </c>
      <c r="DA45" s="387">
        <f t="shared" si="41"/>
        <v>9716250</v>
      </c>
      <c r="DB45" s="389">
        <f t="shared" si="9"/>
        <v>10725457</v>
      </c>
      <c r="DC45" s="390">
        <f t="shared" si="10"/>
        <v>10725457</v>
      </c>
    </row>
    <row r="46" spans="1:107" ht="15" x14ac:dyDescent="0.2">
      <c r="U46" s="137"/>
      <c r="CR46" s="285"/>
      <c r="CS46" s="285" t="s">
        <v>126</v>
      </c>
      <c r="CT46" s="316" t="e">
        <f>+#REF!+#REF!+#REF!</f>
        <v>#REF!</v>
      </c>
      <c r="CU46" s="285"/>
      <c r="CV46" s="285"/>
      <c r="CW46" s="285"/>
      <c r="CX46" s="285"/>
      <c r="CY46" s="285"/>
      <c r="CZ46" s="285"/>
      <c r="DA46" s="285"/>
      <c r="DB46" s="285"/>
      <c r="DC46" s="285"/>
    </row>
    <row r="47" spans="1:107" ht="15" x14ac:dyDescent="0.2">
      <c r="U47" s="137"/>
      <c r="CR47" s="285"/>
      <c r="CS47" s="285"/>
      <c r="CT47" s="285"/>
      <c r="CU47" s="285"/>
      <c r="CV47" s="285"/>
      <c r="CW47" s="285"/>
      <c r="CX47" s="285"/>
      <c r="CY47" s="285"/>
      <c r="CZ47" s="285"/>
      <c r="DA47" s="285"/>
      <c r="DB47" s="285"/>
      <c r="DC47" s="285"/>
    </row>
    <row r="48" spans="1:107" ht="15" x14ac:dyDescent="0.2">
      <c r="U48" s="137"/>
      <c r="CR48" s="285"/>
      <c r="CS48" s="285"/>
      <c r="CT48" s="316"/>
      <c r="CU48" s="285"/>
      <c r="CV48" s="285"/>
      <c r="CW48" s="285"/>
      <c r="CX48" s="285"/>
      <c r="CY48" s="285"/>
      <c r="CZ48" s="285"/>
      <c r="DA48" s="285"/>
      <c r="DB48" s="285"/>
      <c r="DC48" s="285"/>
    </row>
    <row r="49" spans="21:103" ht="15" x14ac:dyDescent="0.2">
      <c r="U49" s="137"/>
      <c r="CX49" s="285"/>
      <c r="CY49" s="285"/>
    </row>
    <row r="50" spans="21:103" ht="15" x14ac:dyDescent="0.2">
      <c r="U50" s="137"/>
    </row>
    <row r="51" spans="21:103" ht="15" x14ac:dyDescent="0.2">
      <c r="U51" s="137"/>
    </row>
    <row r="52" spans="21:103" ht="15" x14ac:dyDescent="0.2">
      <c r="U52" s="137"/>
    </row>
    <row r="53" spans="21:103" ht="15" x14ac:dyDescent="0.2">
      <c r="U53" s="137"/>
    </row>
    <row r="54" spans="21:103" ht="15" x14ac:dyDescent="0.2">
      <c r="U54" s="137"/>
      <c r="CS54" s="323"/>
    </row>
    <row r="55" spans="21:103" ht="15" x14ac:dyDescent="0.2">
      <c r="U55" s="137"/>
    </row>
    <row r="56" spans="21:103" ht="15" x14ac:dyDescent="0.2">
      <c r="U56" s="137"/>
    </row>
    <row r="57" spans="21:103" ht="15" x14ac:dyDescent="0.2">
      <c r="U57" s="137"/>
    </row>
    <row r="58" spans="21:103" ht="15" x14ac:dyDescent="0.2">
      <c r="U58" s="137"/>
    </row>
    <row r="59" spans="21:103" ht="15" x14ac:dyDescent="0.2">
      <c r="U59" s="137"/>
    </row>
    <row r="60" spans="21:103" ht="15" x14ac:dyDescent="0.2">
      <c r="U60" s="137"/>
    </row>
    <row r="61" spans="21:103" ht="15" x14ac:dyDescent="0.2">
      <c r="U61" s="137"/>
    </row>
    <row r="62" spans="21:103" ht="15" x14ac:dyDescent="0.2">
      <c r="U62" s="137"/>
    </row>
    <row r="63" spans="21:103" ht="15" x14ac:dyDescent="0.2">
      <c r="U63" s="137"/>
    </row>
    <row r="64" spans="21:103" ht="15" x14ac:dyDescent="0.2">
      <c r="U64" s="137"/>
    </row>
  </sheetData>
  <autoFilter ref="A4:CI4"/>
  <sortState ref="A8:BW38">
    <sortCondition ref="A8"/>
  </sortState>
  <phoneticPr fontId="5" type="noConversion"/>
  <pageMargins left="0.23622047244094491" right="0.23622047244094491" top="0.74803149606299213" bottom="0.74803149606299213" header="0.31496062992125984" footer="0.31496062992125984"/>
  <pageSetup scale="55" fitToWidth="0" fitToHeight="0" orientation="landscape" r:id="rId1"/>
  <headerFooter alignWithMargins="0"/>
  <ignoredErrors>
    <ignoredError sqref="BX5:BX6 BX8:BX2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indexed="27"/>
    <pageSetUpPr fitToPage="1"/>
  </sheetPr>
  <dimension ref="A1:DG56"/>
  <sheetViews>
    <sheetView showGridLines="0" topLeftCell="A21" zoomScale="77" zoomScaleNormal="77" zoomScaleSheetLayoutView="86" workbookViewId="0">
      <pane xSplit="1" topLeftCell="B1" activePane="topRight" state="frozen"/>
      <selection pane="topRight" activeCell="B5" sqref="B5:Q44"/>
    </sheetView>
  </sheetViews>
  <sheetFormatPr baseColWidth="10" defaultColWidth="11.42578125" defaultRowHeight="12.75" x14ac:dyDescent="0.2"/>
  <cols>
    <col min="1" max="1" width="52.5703125" customWidth="1"/>
    <col min="2" max="2" width="10.42578125" customWidth="1"/>
    <col min="3" max="3" width="10.7109375" customWidth="1"/>
    <col min="4" max="4" width="15" customWidth="1"/>
    <col min="5" max="5" width="12.42578125" customWidth="1"/>
    <col min="6" max="16" width="8.7109375" customWidth="1"/>
    <col min="17" max="17" width="11.85546875" customWidth="1"/>
    <col min="18" max="18" width="11.140625" customWidth="1"/>
    <col min="19" max="19" width="10.85546875" customWidth="1"/>
    <col min="20" max="20" width="14" customWidth="1"/>
    <col min="21" max="21" width="12" customWidth="1"/>
    <col min="22" max="22" width="9.28515625" customWidth="1"/>
    <col min="23" max="23" width="8.7109375" customWidth="1"/>
    <col min="24" max="24" width="7.7109375" customWidth="1"/>
    <col min="25" max="32" width="8.7109375" customWidth="1"/>
    <col min="33" max="33" width="12.28515625" customWidth="1"/>
    <col min="34" max="34" width="12.140625" customWidth="1"/>
    <col min="35" max="35" width="11.140625" customWidth="1"/>
    <col min="36" max="36" width="12.28515625" customWidth="1"/>
    <col min="37" max="37" width="11.42578125" customWidth="1"/>
    <col min="38" max="38" width="7.5703125" customWidth="1"/>
    <col min="39" max="39" width="8.140625" customWidth="1"/>
    <col min="40" max="48" width="10.7109375" customWidth="1"/>
    <col min="49" max="49" width="17" customWidth="1"/>
    <col min="50" max="51" width="11.5703125" customWidth="1"/>
    <col min="52" max="52" width="13.140625" customWidth="1"/>
    <col min="53" max="53" width="12.85546875" customWidth="1"/>
    <col min="54" max="54" width="10.140625" customWidth="1"/>
    <col min="55" max="55" width="8.7109375" customWidth="1"/>
    <col min="56" max="57" width="10.7109375" customWidth="1"/>
    <col min="58" max="58" width="13.140625" customWidth="1"/>
    <col min="59" max="64" width="10.7109375" customWidth="1"/>
    <col min="65" max="65" width="11.42578125" customWidth="1"/>
    <col min="66" max="66" width="17.85546875" customWidth="1"/>
    <col min="67" max="67" width="16.7109375" customWidth="1"/>
    <col min="68" max="68" width="17" customWidth="1"/>
    <col min="69" max="69" width="17.28515625" customWidth="1"/>
    <col min="70" max="70" width="16.28515625" customWidth="1"/>
    <col min="71" max="71" width="15.42578125" customWidth="1"/>
    <col min="72" max="72" width="9.5703125" customWidth="1"/>
    <col min="73" max="73" width="8.5703125" customWidth="1"/>
    <col min="74" max="74" width="14.42578125" customWidth="1"/>
    <col min="75" max="75" width="15.7109375" customWidth="1"/>
    <col min="76" max="76" width="16.85546875" customWidth="1"/>
    <col min="77" max="77" width="15.85546875" customWidth="1"/>
    <col min="78" max="78" width="13.5703125" customWidth="1"/>
    <col min="79" max="79" width="17.42578125" customWidth="1"/>
    <col min="80" max="80" width="22.42578125" customWidth="1"/>
    <col min="81" max="81" width="19.85546875" customWidth="1"/>
    <col min="82" max="82" width="20.7109375" customWidth="1"/>
    <col min="83" max="83" width="21" customWidth="1"/>
    <col min="84" max="84" width="21.140625" customWidth="1"/>
    <col min="85" max="85" width="25.5703125" customWidth="1"/>
    <col min="86" max="86" width="19.140625" customWidth="1"/>
    <col min="87" max="87" width="24.85546875" customWidth="1"/>
    <col min="88" max="88" width="13.85546875" customWidth="1"/>
    <col min="89" max="89" width="20.28515625" customWidth="1"/>
    <col min="90" max="90" width="20.140625" customWidth="1"/>
    <col min="91" max="91" width="17" customWidth="1"/>
    <col min="93" max="93" width="12.42578125" customWidth="1"/>
    <col min="96" max="96" width="9.28515625" customWidth="1"/>
    <col min="97" max="97" width="42.5703125" customWidth="1"/>
    <col min="98" max="98" width="26.42578125" customWidth="1"/>
    <col min="99" max="99" width="15.7109375" customWidth="1"/>
    <col min="100" max="100" width="14" customWidth="1"/>
    <col min="101" max="101" width="15.42578125" customWidth="1"/>
    <col min="102" max="102" width="17.140625" customWidth="1"/>
    <col min="103" max="103" width="25.42578125" customWidth="1"/>
    <col min="104" max="104" width="13.140625" customWidth="1"/>
    <col min="105" max="105" width="10" customWidth="1"/>
    <col min="106" max="106" width="21.140625" customWidth="1"/>
    <col min="107" max="107" width="17.85546875" hidden="1" customWidth="1"/>
    <col min="108" max="108" width="19.85546875" customWidth="1"/>
    <col min="109" max="109" width="23.42578125" customWidth="1"/>
  </cols>
  <sheetData>
    <row r="1" spans="1:111" ht="18" x14ac:dyDescent="0.25">
      <c r="A1" s="208" t="s">
        <v>241</v>
      </c>
      <c r="B1" s="210"/>
      <c r="C1" s="209"/>
      <c r="D1" s="210"/>
      <c r="E1" s="210"/>
      <c r="F1" s="210"/>
      <c r="G1" s="210"/>
      <c r="H1" s="208"/>
      <c r="I1" s="115"/>
      <c r="J1" s="115"/>
      <c r="K1" s="115"/>
      <c r="L1" s="115"/>
      <c r="M1" s="115"/>
      <c r="N1" s="115"/>
      <c r="O1" s="115"/>
      <c r="P1" s="115"/>
      <c r="Q1" s="115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77"/>
      <c r="CH1" s="77"/>
      <c r="CI1" s="77"/>
      <c r="CJ1" s="77"/>
      <c r="CK1" s="79" t="str">
        <f>+A1</f>
        <v>SEMANA11  DEL 14 AL 21 DE MARZO DEL 2026</v>
      </c>
      <c r="CL1" s="52"/>
      <c r="CM1" s="52"/>
      <c r="CN1" s="52"/>
      <c r="CO1" s="52"/>
      <c r="CP1" s="52"/>
      <c r="CQ1" s="52"/>
      <c r="CR1" s="52"/>
      <c r="CS1" s="276"/>
      <c r="CT1" s="276"/>
      <c r="CU1" s="277" t="str">
        <f>+A1</f>
        <v>SEMANA11  DEL 14 AL 21 DE MARZO DEL 2026</v>
      </c>
      <c r="CV1" s="277"/>
      <c r="CW1" s="277"/>
      <c r="CX1" s="277"/>
      <c r="CY1" s="277"/>
      <c r="CZ1" s="277"/>
      <c r="DA1" s="277"/>
      <c r="DB1" s="277"/>
      <c r="DC1" s="276"/>
      <c r="DD1" s="276"/>
      <c r="DE1" s="276"/>
    </row>
    <row r="2" spans="1:111" ht="18.75" thickBot="1" x14ac:dyDescent="0.3">
      <c r="A2" s="208" t="s">
        <v>240</v>
      </c>
      <c r="B2" s="210"/>
      <c r="C2" s="209"/>
      <c r="D2" s="210"/>
      <c r="E2" s="210"/>
      <c r="F2" s="210"/>
      <c r="G2" s="210"/>
      <c r="H2" s="208"/>
      <c r="I2" s="115"/>
      <c r="J2" s="115"/>
      <c r="K2" s="115"/>
      <c r="L2" s="115"/>
      <c r="M2" s="115"/>
      <c r="N2" s="115"/>
      <c r="O2" s="115"/>
      <c r="P2" s="115"/>
      <c r="Q2" s="115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77"/>
      <c r="CH2" s="77"/>
      <c r="CI2" s="77"/>
      <c r="CJ2" s="77"/>
      <c r="CK2" s="273" t="str">
        <f>+A2</f>
        <v>FABRIQUINES SEMANA # 11</v>
      </c>
      <c r="CL2" s="52"/>
      <c r="CM2" s="52"/>
      <c r="CN2" s="52"/>
      <c r="CO2" s="52"/>
      <c r="CP2" s="52"/>
      <c r="CQ2" s="52"/>
      <c r="CR2" s="52"/>
      <c r="CS2" s="276"/>
      <c r="CT2" s="278" t="str">
        <f>+CK2</f>
        <v>FABRIQUINES SEMANA # 11</v>
      </c>
      <c r="CU2" s="277"/>
      <c r="CV2" s="277"/>
      <c r="CW2" s="277"/>
      <c r="CX2" s="277"/>
      <c r="CY2" s="277"/>
      <c r="CZ2" s="277"/>
      <c r="DA2" s="277"/>
      <c r="DB2" s="277"/>
      <c r="DC2" s="276"/>
      <c r="DD2" s="276"/>
      <c r="DE2" s="276"/>
    </row>
    <row r="3" spans="1:111" ht="17.25" customHeight="1" thickBot="1" x14ac:dyDescent="0.3">
      <c r="A3" s="272" t="s">
        <v>234</v>
      </c>
      <c r="B3" s="208" t="s">
        <v>0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80" t="s">
        <v>1</v>
      </c>
      <c r="S3" s="81"/>
      <c r="T3" s="81"/>
      <c r="U3" s="81"/>
      <c r="V3" s="81"/>
      <c r="W3" s="81"/>
      <c r="X3" s="81"/>
      <c r="Y3" s="81"/>
      <c r="Z3" s="81"/>
      <c r="AA3" s="81"/>
      <c r="AB3" s="81"/>
      <c r="AC3" s="81" t="s">
        <v>2</v>
      </c>
      <c r="AD3" s="81"/>
      <c r="AE3" s="81"/>
      <c r="AF3" s="82"/>
      <c r="AG3" s="81"/>
      <c r="AH3" s="83" t="s">
        <v>3</v>
      </c>
      <c r="AI3" s="84"/>
      <c r="AJ3" s="84"/>
      <c r="AK3" s="84"/>
      <c r="AL3" s="84"/>
      <c r="AM3" s="84"/>
      <c r="AN3" s="85"/>
      <c r="AO3" s="85"/>
      <c r="AP3" s="85"/>
      <c r="AQ3" s="85"/>
      <c r="AR3" s="85"/>
      <c r="AS3" s="85"/>
      <c r="AT3" s="85"/>
      <c r="AU3" s="85"/>
      <c r="AV3" s="156"/>
      <c r="AW3" s="86"/>
      <c r="AX3" s="416" t="s">
        <v>4</v>
      </c>
      <c r="AY3" s="416"/>
      <c r="AZ3" s="416"/>
      <c r="BA3" s="416"/>
      <c r="BB3" s="416"/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213"/>
      <c r="BN3" s="87" t="s">
        <v>47</v>
      </c>
      <c r="BO3" s="157"/>
      <c r="BP3" s="88"/>
      <c r="BQ3" s="89"/>
      <c r="BR3" s="89"/>
      <c r="BS3" s="89"/>
      <c r="BT3" s="89"/>
      <c r="BU3" s="89"/>
      <c r="BV3" s="89"/>
      <c r="BW3" s="89" t="s">
        <v>44</v>
      </c>
      <c r="BX3" s="89"/>
      <c r="BY3" s="89"/>
      <c r="BZ3" s="90"/>
      <c r="CA3" s="91"/>
      <c r="CB3" s="91"/>
      <c r="CC3" s="158"/>
      <c r="CD3" s="93"/>
      <c r="CE3" s="93"/>
      <c r="CF3" s="93"/>
      <c r="CG3" s="94"/>
      <c r="CH3" s="151" t="s">
        <v>61</v>
      </c>
      <c r="CI3" s="172" t="s">
        <v>104</v>
      </c>
      <c r="CJ3" s="181"/>
      <c r="CK3" s="274" t="str">
        <f>+A3</f>
        <v>PRODUCCION # 8</v>
      </c>
      <c r="CL3" s="417"/>
      <c r="CM3" s="417"/>
      <c r="CN3" s="417"/>
      <c r="CO3" s="417"/>
      <c r="CP3" s="96"/>
      <c r="CQ3" s="96"/>
      <c r="CR3" s="52"/>
      <c r="CS3" s="277"/>
      <c r="CT3" s="277"/>
      <c r="CU3" s="336" t="str">
        <f>+CK3</f>
        <v>PRODUCCION # 8</v>
      </c>
      <c r="CV3" s="277"/>
      <c r="CW3" s="277"/>
      <c r="CX3" s="277"/>
      <c r="CY3" s="277"/>
      <c r="CZ3" s="277"/>
      <c r="DA3" s="277"/>
      <c r="DB3" s="277"/>
      <c r="DC3" s="277"/>
      <c r="DD3" s="277"/>
      <c r="DE3" s="277"/>
    </row>
    <row r="4" spans="1:111" ht="18" x14ac:dyDescent="0.25">
      <c r="A4" s="360" t="str">
        <f>+'SEMANA DEL 7 AL 14'!A4</f>
        <v>NOMBRE</v>
      </c>
      <c r="B4" s="218" t="s">
        <v>6</v>
      </c>
      <c r="C4" s="218" t="s">
        <v>7</v>
      </c>
      <c r="D4" s="218" t="s">
        <v>8</v>
      </c>
      <c r="E4" s="218" t="s">
        <v>48</v>
      </c>
      <c r="F4" s="218" t="s">
        <v>71</v>
      </c>
      <c r="G4" s="218" t="s">
        <v>66</v>
      </c>
      <c r="H4" s="218" t="s">
        <v>9</v>
      </c>
      <c r="I4" s="218" t="s">
        <v>10</v>
      </c>
      <c r="J4" s="218" t="s">
        <v>11</v>
      </c>
      <c r="K4" s="218" t="s">
        <v>12</v>
      </c>
      <c r="L4" s="218" t="s">
        <v>13</v>
      </c>
      <c r="M4" s="218" t="s">
        <v>14</v>
      </c>
      <c r="N4" s="218" t="s">
        <v>15</v>
      </c>
      <c r="O4" s="218" t="s">
        <v>17</v>
      </c>
      <c r="P4" s="218" t="s">
        <v>151</v>
      </c>
      <c r="Q4" s="218" t="s">
        <v>103</v>
      </c>
      <c r="R4" s="98" t="s">
        <v>18</v>
      </c>
      <c r="S4" s="98" t="s">
        <v>19</v>
      </c>
      <c r="T4" s="98" t="s">
        <v>20</v>
      </c>
      <c r="U4" s="217" t="s">
        <v>48</v>
      </c>
      <c r="V4" s="217" t="s">
        <v>71</v>
      </c>
      <c r="W4" s="217" t="s">
        <v>66</v>
      </c>
      <c r="X4" s="217" t="s">
        <v>9</v>
      </c>
      <c r="Y4" s="217" t="s">
        <v>10</v>
      </c>
      <c r="Z4" s="217" t="s">
        <v>11</v>
      </c>
      <c r="AA4" s="217" t="s">
        <v>12</v>
      </c>
      <c r="AB4" s="217" t="s">
        <v>13</v>
      </c>
      <c r="AC4" s="217" t="s">
        <v>14</v>
      </c>
      <c r="AD4" s="217" t="s">
        <v>125</v>
      </c>
      <c r="AE4" s="217" t="s">
        <v>17</v>
      </c>
      <c r="AF4" s="217" t="s">
        <v>151</v>
      </c>
      <c r="AG4" s="217" t="s">
        <v>103</v>
      </c>
      <c r="AH4" s="99" t="s">
        <v>18</v>
      </c>
      <c r="AI4" s="99" t="s">
        <v>19</v>
      </c>
      <c r="AJ4" s="99" t="s">
        <v>20</v>
      </c>
      <c r="AK4" s="215" t="s">
        <v>48</v>
      </c>
      <c r="AL4" s="215" t="s">
        <v>71</v>
      </c>
      <c r="AM4" s="215" t="s">
        <v>66</v>
      </c>
      <c r="AN4" s="215" t="s">
        <v>9</v>
      </c>
      <c r="AO4" s="215" t="s">
        <v>10</v>
      </c>
      <c r="AP4" s="215" t="s">
        <v>11</v>
      </c>
      <c r="AQ4" s="215" t="s">
        <v>12</v>
      </c>
      <c r="AR4" s="215" t="s">
        <v>13</v>
      </c>
      <c r="AS4" s="215" t="s">
        <v>14</v>
      </c>
      <c r="AT4" s="215" t="s">
        <v>125</v>
      </c>
      <c r="AU4" s="215" t="s">
        <v>17</v>
      </c>
      <c r="AV4" s="215" t="s">
        <v>151</v>
      </c>
      <c r="AW4" s="215" t="s">
        <v>103</v>
      </c>
      <c r="AX4" s="100" t="s">
        <v>21</v>
      </c>
      <c r="AY4" s="101" t="s">
        <v>22</v>
      </c>
      <c r="AZ4" s="101" t="s">
        <v>20</v>
      </c>
      <c r="BA4" s="225" t="s">
        <v>48</v>
      </c>
      <c r="BB4" s="225" t="s">
        <v>71</v>
      </c>
      <c r="BC4" s="225" t="s">
        <v>66</v>
      </c>
      <c r="BD4" s="225" t="s">
        <v>9</v>
      </c>
      <c r="BE4" s="225" t="s">
        <v>10</v>
      </c>
      <c r="BF4" s="225" t="s">
        <v>11</v>
      </c>
      <c r="BG4" s="225" t="s">
        <v>12</v>
      </c>
      <c r="BH4" s="225" t="s">
        <v>13</v>
      </c>
      <c r="BI4" s="225" t="s">
        <v>14</v>
      </c>
      <c r="BJ4" s="225" t="s">
        <v>125</v>
      </c>
      <c r="BK4" s="225" t="s">
        <v>17</v>
      </c>
      <c r="BL4" s="225" t="s">
        <v>151</v>
      </c>
      <c r="BM4" s="225" t="s">
        <v>103</v>
      </c>
      <c r="BN4" s="97" t="s">
        <v>23</v>
      </c>
      <c r="BO4" s="97" t="s">
        <v>71</v>
      </c>
      <c r="BP4" s="97" t="s">
        <v>66</v>
      </c>
      <c r="BQ4" s="97" t="s">
        <v>9</v>
      </c>
      <c r="BR4" s="97" t="s">
        <v>10</v>
      </c>
      <c r="BS4" s="97" t="s">
        <v>11</v>
      </c>
      <c r="BT4" s="97" t="s">
        <v>12</v>
      </c>
      <c r="BU4" s="97" t="s">
        <v>13</v>
      </c>
      <c r="BV4" s="97" t="s">
        <v>14</v>
      </c>
      <c r="BW4" s="97" t="s">
        <v>124</v>
      </c>
      <c r="BX4" s="97" t="s">
        <v>119</v>
      </c>
      <c r="BY4" s="97" t="s">
        <v>151</v>
      </c>
      <c r="BZ4" s="97" t="s">
        <v>103</v>
      </c>
      <c r="CA4" s="130" t="s">
        <v>68</v>
      </c>
      <c r="CB4" s="105" t="s">
        <v>45</v>
      </c>
      <c r="CC4" s="106" t="s">
        <v>38</v>
      </c>
      <c r="CD4" s="107" t="s">
        <v>39</v>
      </c>
      <c r="CE4" s="107" t="s">
        <v>40</v>
      </c>
      <c r="CF4" s="107" t="s">
        <v>60</v>
      </c>
      <c r="CG4" s="108" t="s">
        <v>41</v>
      </c>
      <c r="CH4" s="180" t="s">
        <v>62</v>
      </c>
      <c r="CI4" s="108" t="s">
        <v>105</v>
      </c>
      <c r="CJ4" s="182"/>
      <c r="CK4" s="110" t="s">
        <v>28</v>
      </c>
      <c r="CL4" s="12"/>
      <c r="CM4" s="111" t="e">
        <f>+#REF!+#REF!+#REF!</f>
        <v>#REF!</v>
      </c>
      <c r="CN4" s="12"/>
      <c r="CO4" s="12"/>
      <c r="CP4" s="17"/>
      <c r="CQ4" s="17"/>
      <c r="CR4" s="52"/>
      <c r="CS4" s="279" t="s">
        <v>51</v>
      </c>
      <c r="CT4" s="280" t="s">
        <v>86</v>
      </c>
      <c r="CU4" s="281" t="s">
        <v>63</v>
      </c>
      <c r="CV4" s="281" t="s">
        <v>103</v>
      </c>
      <c r="CW4" s="281" t="s">
        <v>112</v>
      </c>
      <c r="CX4" s="281" t="s">
        <v>178</v>
      </c>
      <c r="CY4" s="281" t="s">
        <v>118</v>
      </c>
      <c r="CZ4" s="282" t="s">
        <v>27</v>
      </c>
      <c r="DA4" s="282" t="s">
        <v>26</v>
      </c>
      <c r="DB4" s="282" t="s">
        <v>127</v>
      </c>
      <c r="DC4" s="281" t="s">
        <v>89</v>
      </c>
      <c r="DD4" s="281" t="s">
        <v>87</v>
      </c>
      <c r="DE4" s="281" t="s">
        <v>42</v>
      </c>
    </row>
    <row r="5" spans="1:111" ht="18" x14ac:dyDescent="0.25">
      <c r="A5" s="297" t="str">
        <f>+'SEMANA DEL 7 AL 14'!A5</f>
        <v xml:space="preserve">ALCIDES CORREA </v>
      </c>
      <c r="B5" s="289">
        <f>+'SEMANA DEL 7 AL 14'!AX5</f>
        <v>10</v>
      </c>
      <c r="C5" s="289">
        <f>+'SEMANA DEL 7 AL 14'!AY5</f>
        <v>18</v>
      </c>
      <c r="D5" s="289">
        <f>+'SEMANA DEL 7 AL 14'!AZ5</f>
        <v>70</v>
      </c>
      <c r="E5" s="289">
        <f>+'SEMANA DEL 7 AL 14'!BA5</f>
        <v>8</v>
      </c>
      <c r="F5" s="289">
        <f>+'SEMANA DEL 7 AL 14'!BB5</f>
        <v>0</v>
      </c>
      <c r="G5" s="289">
        <f>+'SEMANA DEL 7 AL 14'!BC5</f>
        <v>0.25</v>
      </c>
      <c r="H5" s="289">
        <f>+'SEMANA DEL 7 AL 14'!BD5</f>
        <v>0</v>
      </c>
      <c r="I5" s="289">
        <f>+'SEMANA DEL 7 AL 14'!BE5</f>
        <v>0</v>
      </c>
      <c r="J5" s="289">
        <f>+'SEMANA DEL 7 AL 14'!BF5</f>
        <v>0</v>
      </c>
      <c r="K5" s="289">
        <f>+'SEMANA DEL 7 AL 14'!BG5</f>
        <v>0</v>
      </c>
      <c r="L5" s="289">
        <f>+'SEMANA DEL 7 AL 14'!BH5</f>
        <v>0</v>
      </c>
      <c r="M5" s="289">
        <f>+'SEMANA DEL 7 AL 14'!BI5</f>
        <v>0</v>
      </c>
      <c r="N5" s="289">
        <f>+'SEMANA DEL 7 AL 14'!BJ5</f>
        <v>0</v>
      </c>
      <c r="O5" s="289">
        <f>+'SEMANA DEL 7 AL 14'!BK5</f>
        <v>0</v>
      </c>
      <c r="P5" s="289">
        <f>+'SEMANA DEL 7 AL 14'!BL5</f>
        <v>0</v>
      </c>
      <c r="Q5" s="289">
        <f>+'SEMANA DEL 7 AL 14'!BM5</f>
        <v>0</v>
      </c>
      <c r="R5" s="289"/>
      <c r="S5" s="289"/>
      <c r="T5" s="289"/>
      <c r="U5" s="289"/>
      <c r="V5" s="289"/>
      <c r="W5" s="289"/>
      <c r="X5" s="289"/>
      <c r="Y5" s="320"/>
      <c r="Z5" s="320"/>
      <c r="AA5" s="320"/>
      <c r="AB5" s="320"/>
      <c r="AC5" s="320"/>
      <c r="AD5" s="289"/>
      <c r="AE5" s="289"/>
      <c r="AF5" s="289"/>
      <c r="AG5" s="289"/>
      <c r="AH5" s="289"/>
      <c r="AI5" s="289"/>
      <c r="AJ5" s="289"/>
      <c r="AK5" s="289"/>
      <c r="AL5" s="289"/>
      <c r="AM5" s="289"/>
      <c r="AN5" s="289"/>
      <c r="AO5" s="289"/>
      <c r="AP5" s="322"/>
      <c r="AQ5" s="322"/>
      <c r="AR5" s="322"/>
      <c r="AS5" s="322"/>
      <c r="AT5" s="322"/>
      <c r="AU5" s="322"/>
      <c r="AV5" s="322"/>
      <c r="AW5" s="322"/>
      <c r="AX5" s="190">
        <f t="shared" ref="AX5:BM5" si="0">+B5+R5-AH5</f>
        <v>10</v>
      </c>
      <c r="AY5" s="190">
        <f t="shared" si="0"/>
        <v>18</v>
      </c>
      <c r="AZ5" s="190">
        <f t="shared" si="0"/>
        <v>70</v>
      </c>
      <c r="BA5" s="190">
        <f t="shared" si="0"/>
        <v>8</v>
      </c>
      <c r="BB5" s="190">
        <f t="shared" si="0"/>
        <v>0</v>
      </c>
      <c r="BC5" s="190">
        <f t="shared" si="0"/>
        <v>0.25</v>
      </c>
      <c r="BD5" s="190">
        <f t="shared" si="0"/>
        <v>0</v>
      </c>
      <c r="BE5" s="190">
        <f t="shared" si="0"/>
        <v>0</v>
      </c>
      <c r="BF5" s="190">
        <f t="shared" si="0"/>
        <v>0</v>
      </c>
      <c r="BG5" s="190">
        <f t="shared" si="0"/>
        <v>0</v>
      </c>
      <c r="BH5" s="190">
        <f t="shared" si="0"/>
        <v>0</v>
      </c>
      <c r="BI5" s="190">
        <f t="shared" si="0"/>
        <v>0</v>
      </c>
      <c r="BJ5" s="190">
        <f t="shared" si="0"/>
        <v>0</v>
      </c>
      <c r="BK5" s="190">
        <f t="shared" si="0"/>
        <v>0</v>
      </c>
      <c r="BL5" s="190">
        <f t="shared" si="0"/>
        <v>0</v>
      </c>
      <c r="BM5" s="190">
        <f t="shared" si="0"/>
        <v>0</v>
      </c>
      <c r="BN5" s="190"/>
      <c r="BO5" s="258">
        <f>+AL5*2500</f>
        <v>0</v>
      </c>
      <c r="BP5" s="71">
        <f>+AM5*60000</f>
        <v>0</v>
      </c>
      <c r="BQ5" s="112">
        <f>+AN5*3000</f>
        <v>0</v>
      </c>
      <c r="BR5" s="112">
        <f>+AO5*6000</f>
        <v>0</v>
      </c>
      <c r="BS5" s="112">
        <f>+AP5*8000</f>
        <v>0</v>
      </c>
      <c r="BT5" s="112">
        <f>+AQ5*12000</f>
        <v>0</v>
      </c>
      <c r="BU5" s="112">
        <f>+AR5*150000</f>
        <v>0</v>
      </c>
      <c r="BV5" s="112">
        <f>+AS5*3000</f>
        <v>0</v>
      </c>
      <c r="BW5" s="112">
        <f>+AT5*8000</f>
        <v>0</v>
      </c>
      <c r="BX5" s="112">
        <f>+AU5*150000</f>
        <v>0</v>
      </c>
      <c r="BY5" s="71">
        <f>+AV5*20000</f>
        <v>0</v>
      </c>
      <c r="BZ5" s="112">
        <f>+AW5*1.5</f>
        <v>0</v>
      </c>
      <c r="CA5" s="233"/>
      <c r="CB5" s="233"/>
      <c r="CC5" s="71">
        <f>+AH5*16</f>
        <v>0</v>
      </c>
      <c r="CD5" s="71">
        <f>+AI5*12</f>
        <v>0</v>
      </c>
      <c r="CE5" s="71">
        <f>+AJ5*3</f>
        <v>0</v>
      </c>
      <c r="CF5" s="71">
        <f>+CC5+CD5+CE5</f>
        <v>0</v>
      </c>
      <c r="CG5" s="71">
        <f>+BN5*75061/1000</f>
        <v>0</v>
      </c>
      <c r="CH5" s="261">
        <f>+BO5+BP5+BQ5+BR5+BS5+BT5+BU5+BV5+BW5+BX5+BY5+CA5+CB5</f>
        <v>0</v>
      </c>
      <c r="CI5" s="262">
        <f>+CG5-CF5-CH5</f>
        <v>0</v>
      </c>
      <c r="CJ5" s="79"/>
      <c r="CK5" s="194" t="s">
        <v>29</v>
      </c>
      <c r="CL5" s="194" t="s">
        <v>49</v>
      </c>
      <c r="CM5" s="194" t="s">
        <v>30</v>
      </c>
      <c r="CN5" s="194" t="s">
        <v>31</v>
      </c>
      <c r="CO5" s="194" t="s">
        <v>32</v>
      </c>
      <c r="CP5" s="194" t="s">
        <v>25</v>
      </c>
      <c r="CQ5" s="79"/>
      <c r="CR5" s="79"/>
      <c r="CS5" s="55" t="str">
        <f>+A5</f>
        <v xml:space="preserve">ALCIDES CORREA </v>
      </c>
      <c r="CT5" s="185" t="str">
        <f>+'SEMANA DEL 2 AL 7-3-26'!CS5</f>
        <v>CC-88.193.514</v>
      </c>
      <c r="CU5" s="292">
        <f>+BN5</f>
        <v>0</v>
      </c>
      <c r="CV5" s="292">
        <f>+AW5</f>
        <v>0</v>
      </c>
      <c r="CW5" s="292"/>
      <c r="CX5" s="292"/>
      <c r="CY5" s="292">
        <f>+CW5*230</f>
        <v>0</v>
      </c>
      <c r="CZ5" s="301"/>
      <c r="DA5" s="301"/>
      <c r="DB5" s="302">
        <f>+CZ5*6500+DA5*3500</f>
        <v>0</v>
      </c>
      <c r="DC5" s="303"/>
      <c r="DD5" s="186">
        <f>+CI5</f>
        <v>0</v>
      </c>
      <c r="DE5" s="317">
        <f>+DB5+DD5+CY5</f>
        <v>0</v>
      </c>
      <c r="DF5" s="184"/>
      <c r="DG5" s="184"/>
    </row>
    <row r="6" spans="1:111" ht="18" x14ac:dyDescent="0.25">
      <c r="A6" s="297" t="str">
        <f>+'SEMANA DEL 7 AL 14'!A6</f>
        <v xml:space="preserve">ALBA SANABRIA </v>
      </c>
      <c r="B6" s="289">
        <f>+'SEMANA DEL 7 AL 14'!AX6</f>
        <v>0.25</v>
      </c>
      <c r="C6" s="289">
        <f>+'SEMANA DEL 7 AL 14'!AY6</f>
        <v>0.45000000000000107</v>
      </c>
      <c r="D6" s="289">
        <f>+'SEMANA DEL 7 AL 14'!AZ6</f>
        <v>12.249999999999993</v>
      </c>
      <c r="E6" s="289">
        <f>+'SEMANA DEL 7 AL 14'!BA6</f>
        <v>0</v>
      </c>
      <c r="F6" s="289">
        <f>+'SEMANA DEL 7 AL 14'!BB6</f>
        <v>0</v>
      </c>
      <c r="G6" s="289">
        <f>+'SEMANA DEL 7 AL 14'!BC6</f>
        <v>0</v>
      </c>
      <c r="H6" s="289">
        <f>+'SEMANA DEL 7 AL 14'!BD6</f>
        <v>0</v>
      </c>
      <c r="I6" s="289">
        <f>+'SEMANA DEL 7 AL 14'!BE6</f>
        <v>0</v>
      </c>
      <c r="J6" s="289">
        <f>+'SEMANA DEL 7 AL 14'!BF6</f>
        <v>0</v>
      </c>
      <c r="K6" s="289">
        <f>+'SEMANA DEL 7 AL 14'!BG6</f>
        <v>0</v>
      </c>
      <c r="L6" s="289">
        <f>+'SEMANA DEL 7 AL 14'!BH6</f>
        <v>0</v>
      </c>
      <c r="M6" s="289">
        <f>+'SEMANA DEL 7 AL 14'!BI6</f>
        <v>0</v>
      </c>
      <c r="N6" s="289">
        <f>+'SEMANA DEL 7 AL 14'!BJ6</f>
        <v>0</v>
      </c>
      <c r="O6" s="289">
        <f>+'SEMANA DEL 7 AL 14'!BK6</f>
        <v>0</v>
      </c>
      <c r="P6" s="289">
        <f>+'SEMANA DEL 7 AL 14'!BL6</f>
        <v>0</v>
      </c>
      <c r="Q6" s="289">
        <f>+'SEMANA DEL 7 AL 14'!BM6</f>
        <v>0</v>
      </c>
      <c r="R6" s="289"/>
      <c r="S6" s="289"/>
      <c r="T6" s="289"/>
      <c r="U6" s="289"/>
      <c r="V6" s="289"/>
      <c r="W6" s="289"/>
      <c r="X6" s="289"/>
      <c r="Y6" s="320"/>
      <c r="Z6" s="320"/>
      <c r="AA6" s="320"/>
      <c r="AB6" s="320"/>
      <c r="AC6" s="320"/>
      <c r="AD6" s="289"/>
      <c r="AE6" s="289"/>
      <c r="AF6" s="289"/>
      <c r="AG6" s="289"/>
      <c r="AH6" s="289"/>
      <c r="AI6" s="289"/>
      <c r="AJ6" s="289"/>
      <c r="AK6" s="289"/>
      <c r="AL6" s="318"/>
      <c r="AM6" s="318"/>
      <c r="AN6" s="322"/>
      <c r="AO6" s="322"/>
      <c r="AP6" s="322"/>
      <c r="AQ6" s="322"/>
      <c r="AR6" s="322"/>
      <c r="AS6" s="322"/>
      <c r="AT6" s="322"/>
      <c r="AU6" s="322"/>
      <c r="AV6" s="322"/>
      <c r="AW6" s="322"/>
      <c r="AX6" s="190">
        <f t="shared" ref="AX6:AX45" si="1">+B6+R6-AH6</f>
        <v>0.25</v>
      </c>
      <c r="AY6" s="190">
        <f t="shared" ref="AY6:AY45" si="2">+C6+S6-AI6</f>
        <v>0.45000000000000107</v>
      </c>
      <c r="AZ6" s="190">
        <f t="shared" ref="AZ6:AZ45" si="3">+D6+T6-AJ6</f>
        <v>12.249999999999993</v>
      </c>
      <c r="BA6" s="190">
        <f t="shared" ref="BA6:BA45" si="4">+E6+U6-AK6</f>
        <v>0</v>
      </c>
      <c r="BB6" s="190">
        <f t="shared" ref="BB6:BB45" si="5">+F6+V6-AL6</f>
        <v>0</v>
      </c>
      <c r="BC6" s="190">
        <f t="shared" ref="BC6:BC45" si="6">+G6+W6-AM6</f>
        <v>0</v>
      </c>
      <c r="BD6" s="190">
        <f t="shared" ref="BD6:BD45" si="7">+H6+X6-AN6</f>
        <v>0</v>
      </c>
      <c r="BE6" s="190">
        <f t="shared" ref="BE6:BE45" si="8">+I6+Y6-AO6</f>
        <v>0</v>
      </c>
      <c r="BF6" s="190">
        <f t="shared" ref="BF6:BF45" si="9">+J6+Z6-AP6</f>
        <v>0</v>
      </c>
      <c r="BG6" s="190">
        <f t="shared" ref="BG6:BG45" si="10">+K6+AA6-AQ6</f>
        <v>0</v>
      </c>
      <c r="BH6" s="190">
        <f t="shared" ref="BH6:BH45" si="11">+L6+AB6-AR6</f>
        <v>0</v>
      </c>
      <c r="BI6" s="190">
        <f t="shared" ref="BI6:BI45" si="12">+M6+AC6-AS6</f>
        <v>0</v>
      </c>
      <c r="BJ6" s="190">
        <f t="shared" ref="BJ6:BJ45" si="13">+N6+AD6-AT6</f>
        <v>0</v>
      </c>
      <c r="BK6" s="190">
        <f t="shared" ref="BK6:BK45" si="14">+O6+AE6-AU6</f>
        <v>0</v>
      </c>
      <c r="BL6" s="190">
        <f t="shared" ref="BL6:BL45" si="15">+P6+AF6-AV6</f>
        <v>0</v>
      </c>
      <c r="BM6" s="190">
        <f t="shared" ref="BM6:BM45" si="16">+Q6+AG6-AW6</f>
        <v>0</v>
      </c>
      <c r="BN6" s="190"/>
      <c r="BO6" s="258">
        <f t="shared" ref="BO6:BO45" si="17">+AL6*2500</f>
        <v>0</v>
      </c>
      <c r="BP6" s="71">
        <f t="shared" ref="BP6:BP45" si="18">+AM6*60000</f>
        <v>0</v>
      </c>
      <c r="BQ6" s="112">
        <f t="shared" ref="BQ6:BQ45" si="19">+AN6*3000</f>
        <v>0</v>
      </c>
      <c r="BR6" s="112">
        <f t="shared" ref="BR6:BR45" si="20">+AO6*6000</f>
        <v>0</v>
      </c>
      <c r="BS6" s="112">
        <f t="shared" ref="BS6:BS45" si="21">+AP6*8000</f>
        <v>0</v>
      </c>
      <c r="BT6" s="112">
        <f t="shared" ref="BT6:BT45" si="22">+AQ6*12000</f>
        <v>0</v>
      </c>
      <c r="BU6" s="112">
        <f t="shared" ref="BU6:BU45" si="23">+AR6*150000</f>
        <v>0</v>
      </c>
      <c r="BV6" s="112">
        <f t="shared" ref="BV6:BV45" si="24">+AS6*3000</f>
        <v>0</v>
      </c>
      <c r="BW6" s="112">
        <f t="shared" ref="BW6:BW45" si="25">+AT6*8000</f>
        <v>0</v>
      </c>
      <c r="BX6" s="112">
        <f t="shared" ref="BX6:BX45" si="26">+AU6*150000</f>
        <v>0</v>
      </c>
      <c r="BY6" s="71">
        <f t="shared" ref="BY6:BY45" si="27">+AV6*20000</f>
        <v>0</v>
      </c>
      <c r="BZ6" s="112">
        <f t="shared" ref="BZ6:BZ45" si="28">+AW6*1.5</f>
        <v>0</v>
      </c>
      <c r="CA6" s="233"/>
      <c r="CB6" s="233"/>
      <c r="CC6" s="71">
        <f t="shared" ref="CC6:CC45" si="29">+AH6*16</f>
        <v>0</v>
      </c>
      <c r="CD6" s="71">
        <f t="shared" ref="CD6:CD45" si="30">+AI6*12</f>
        <v>0</v>
      </c>
      <c r="CE6" s="71">
        <f t="shared" ref="CE6:CE45" si="31">+AJ6*3</f>
        <v>0</v>
      </c>
      <c r="CF6" s="71">
        <f t="shared" ref="CF6:CF45" si="32">+CC6+CD6+CE6</f>
        <v>0</v>
      </c>
      <c r="CG6" s="71">
        <f t="shared" ref="CG6:CG45" si="33">+BN6*75061/1000</f>
        <v>0</v>
      </c>
      <c r="CH6" s="261">
        <f t="shared" ref="CH6:CH45" si="34">+BO6+BP6+BQ6+BR6+BS6+BT6+BU6+BV6+BW6+BX6+BY6+CA6+CB6</f>
        <v>0</v>
      </c>
      <c r="CI6" s="262">
        <f t="shared" ref="CI6:CI45" si="35">+CG6-CF6-CH6</f>
        <v>0</v>
      </c>
      <c r="CJ6" s="79"/>
      <c r="CK6" s="194"/>
      <c r="CL6" s="194"/>
      <c r="CM6" s="238"/>
      <c r="CN6" s="194"/>
      <c r="CO6" s="194"/>
      <c r="CP6" s="194"/>
      <c r="CQ6" s="79"/>
      <c r="CR6" s="79"/>
      <c r="CS6" s="55" t="str">
        <f t="shared" ref="CS6:CS44" si="36">+A6</f>
        <v xml:space="preserve">ALBA SANABRIA </v>
      </c>
      <c r="CT6" s="185" t="str">
        <f>+'SEMANA DEL 2 AL 7-3-26'!CS6</f>
        <v>V-20.427.079</v>
      </c>
      <c r="CU6" s="292">
        <f t="shared" ref="CU6:CU45" si="37">+BN6</f>
        <v>0</v>
      </c>
      <c r="CV6" s="292">
        <f t="shared" ref="CV6:CV45" si="38">+AW6</f>
        <v>0</v>
      </c>
      <c r="CW6" s="292"/>
      <c r="CX6" s="292"/>
      <c r="CY6" s="292">
        <f t="shared" ref="CY6:CY45" si="39">+CW6*230</f>
        <v>0</v>
      </c>
      <c r="CZ6" s="301"/>
      <c r="DA6" s="301"/>
      <c r="DB6" s="302">
        <f t="shared" ref="DB6:DB45" si="40">+CZ6*6500+DA6*3500</f>
        <v>0</v>
      </c>
      <c r="DC6" s="303"/>
      <c r="DD6" s="186">
        <f t="shared" ref="DD6:DD45" si="41">+CI6</f>
        <v>0</v>
      </c>
      <c r="DE6" s="317">
        <f t="shared" ref="DE6:DE45" si="42">+DB6+DD6+CY6</f>
        <v>0</v>
      </c>
      <c r="DF6" s="184"/>
      <c r="DG6" s="184"/>
    </row>
    <row r="7" spans="1:111" ht="18" x14ac:dyDescent="0.25">
      <c r="A7" s="297" t="str">
        <f>+'SEMANA DEL 7 AL 14'!A7</f>
        <v xml:space="preserve">BLANCA ALVARADO </v>
      </c>
      <c r="B7" s="289">
        <f>+'SEMANA DEL 7 AL 14'!AX7</f>
        <v>0</v>
      </c>
      <c r="C7" s="289">
        <f>+'SEMANA DEL 7 AL 14'!AY7</f>
        <v>0</v>
      </c>
      <c r="D7" s="289">
        <f>+'SEMANA DEL 7 AL 14'!AZ7</f>
        <v>0</v>
      </c>
      <c r="E7" s="289">
        <f>+'SEMANA DEL 7 AL 14'!BA7</f>
        <v>0</v>
      </c>
      <c r="F7" s="289">
        <f>+'SEMANA DEL 7 AL 14'!BB7</f>
        <v>0</v>
      </c>
      <c r="G7" s="289">
        <f>+'SEMANA DEL 7 AL 14'!BC7</f>
        <v>0</v>
      </c>
      <c r="H7" s="289">
        <f>+'SEMANA DEL 7 AL 14'!BD7</f>
        <v>0</v>
      </c>
      <c r="I7" s="289">
        <f>+'SEMANA DEL 7 AL 14'!BE7</f>
        <v>0</v>
      </c>
      <c r="J7" s="289">
        <f>+'SEMANA DEL 7 AL 14'!BF7</f>
        <v>0</v>
      </c>
      <c r="K7" s="289">
        <f>+'SEMANA DEL 7 AL 14'!BG7</f>
        <v>0</v>
      </c>
      <c r="L7" s="289">
        <f>+'SEMANA DEL 7 AL 14'!BH7</f>
        <v>0</v>
      </c>
      <c r="M7" s="289">
        <f>+'SEMANA DEL 7 AL 14'!BI7</f>
        <v>0</v>
      </c>
      <c r="N7" s="289">
        <f>+'SEMANA DEL 7 AL 14'!BJ7</f>
        <v>0</v>
      </c>
      <c r="O7" s="289">
        <f>+'SEMANA DEL 7 AL 14'!BK7</f>
        <v>0</v>
      </c>
      <c r="P7" s="289">
        <f>+'SEMANA DEL 7 AL 14'!BL7</f>
        <v>0</v>
      </c>
      <c r="Q7" s="289">
        <f>+'SEMANA DEL 7 AL 14'!BM7</f>
        <v>0</v>
      </c>
      <c r="R7" s="289"/>
      <c r="S7" s="289"/>
      <c r="T7" s="289"/>
      <c r="U7" s="289"/>
      <c r="V7" s="289"/>
      <c r="W7" s="289"/>
      <c r="X7" s="289"/>
      <c r="Y7" s="289"/>
      <c r="Z7" s="320"/>
      <c r="AA7" s="320"/>
      <c r="AB7" s="320"/>
      <c r="AC7" s="320"/>
      <c r="AD7" s="289"/>
      <c r="AE7" s="289"/>
      <c r="AF7" s="289"/>
      <c r="AG7" s="289"/>
      <c r="AH7" s="289"/>
      <c r="AI7" s="289"/>
      <c r="AJ7" s="289"/>
      <c r="AK7" s="289"/>
      <c r="AL7" s="289"/>
      <c r="AM7" s="289"/>
      <c r="AN7" s="289"/>
      <c r="AO7" s="289"/>
      <c r="AP7" s="322"/>
      <c r="AQ7" s="322"/>
      <c r="AR7" s="322"/>
      <c r="AS7" s="322"/>
      <c r="AT7" s="322"/>
      <c r="AU7" s="322"/>
      <c r="AV7" s="322"/>
      <c r="AW7" s="322"/>
      <c r="AX7" s="190">
        <f t="shared" si="1"/>
        <v>0</v>
      </c>
      <c r="AY7" s="190">
        <f t="shared" si="2"/>
        <v>0</v>
      </c>
      <c r="AZ7" s="190">
        <f t="shared" si="3"/>
        <v>0</v>
      </c>
      <c r="BA7" s="190">
        <f t="shared" si="4"/>
        <v>0</v>
      </c>
      <c r="BB7" s="190">
        <f t="shared" si="5"/>
        <v>0</v>
      </c>
      <c r="BC7" s="190">
        <f t="shared" si="6"/>
        <v>0</v>
      </c>
      <c r="BD7" s="190">
        <f t="shared" si="7"/>
        <v>0</v>
      </c>
      <c r="BE7" s="190">
        <f t="shared" si="8"/>
        <v>0</v>
      </c>
      <c r="BF7" s="190">
        <f t="shared" si="9"/>
        <v>0</v>
      </c>
      <c r="BG7" s="190">
        <f t="shared" si="10"/>
        <v>0</v>
      </c>
      <c r="BH7" s="190">
        <f t="shared" si="11"/>
        <v>0</v>
      </c>
      <c r="BI7" s="190">
        <f t="shared" si="12"/>
        <v>0</v>
      </c>
      <c r="BJ7" s="190">
        <f t="shared" si="13"/>
        <v>0</v>
      </c>
      <c r="BK7" s="190">
        <f t="shared" si="14"/>
        <v>0</v>
      </c>
      <c r="BL7" s="190">
        <f t="shared" si="15"/>
        <v>0</v>
      </c>
      <c r="BM7" s="190">
        <f t="shared" si="16"/>
        <v>0</v>
      </c>
      <c r="BN7" s="190"/>
      <c r="BO7" s="258">
        <f t="shared" si="17"/>
        <v>0</v>
      </c>
      <c r="BP7" s="71">
        <f t="shared" si="18"/>
        <v>0</v>
      </c>
      <c r="BQ7" s="112">
        <f t="shared" si="19"/>
        <v>0</v>
      </c>
      <c r="BR7" s="112">
        <f t="shared" si="20"/>
        <v>0</v>
      </c>
      <c r="BS7" s="112">
        <f t="shared" si="21"/>
        <v>0</v>
      </c>
      <c r="BT7" s="112">
        <f t="shared" si="22"/>
        <v>0</v>
      </c>
      <c r="BU7" s="112">
        <f t="shared" si="23"/>
        <v>0</v>
      </c>
      <c r="BV7" s="112">
        <f t="shared" si="24"/>
        <v>0</v>
      </c>
      <c r="BW7" s="112">
        <f t="shared" si="25"/>
        <v>0</v>
      </c>
      <c r="BX7" s="112">
        <f t="shared" si="26"/>
        <v>0</v>
      </c>
      <c r="BY7" s="71">
        <f t="shared" si="27"/>
        <v>0</v>
      </c>
      <c r="BZ7" s="112">
        <f t="shared" si="28"/>
        <v>0</v>
      </c>
      <c r="CA7" s="233"/>
      <c r="CB7" s="233"/>
      <c r="CC7" s="71">
        <f t="shared" si="29"/>
        <v>0</v>
      </c>
      <c r="CD7" s="71">
        <f t="shared" si="30"/>
        <v>0</v>
      </c>
      <c r="CE7" s="71">
        <f t="shared" si="31"/>
        <v>0</v>
      </c>
      <c r="CF7" s="71">
        <f t="shared" si="32"/>
        <v>0</v>
      </c>
      <c r="CG7" s="71">
        <f t="shared" si="33"/>
        <v>0</v>
      </c>
      <c r="CH7" s="261">
        <f t="shared" si="34"/>
        <v>0</v>
      </c>
      <c r="CI7" s="262">
        <f t="shared" si="35"/>
        <v>0</v>
      </c>
      <c r="CJ7" s="79"/>
      <c r="CK7" s="194"/>
      <c r="CL7" s="194"/>
      <c r="CM7" s="238"/>
      <c r="CN7" s="194"/>
      <c r="CO7" s="194"/>
      <c r="CP7" s="194"/>
      <c r="CQ7" s="79"/>
      <c r="CR7" s="79"/>
      <c r="CS7" s="55" t="str">
        <f t="shared" si="36"/>
        <v xml:space="preserve">BLANCA ALVARADO </v>
      </c>
      <c r="CT7" s="185" t="str">
        <f>+'SEMANA DEL 2 AL 7-3-26'!CS7</f>
        <v>CC.60.402,510</v>
      </c>
      <c r="CU7" s="292">
        <f t="shared" si="37"/>
        <v>0</v>
      </c>
      <c r="CV7" s="292">
        <f t="shared" si="38"/>
        <v>0</v>
      </c>
      <c r="CW7" s="292"/>
      <c r="CX7" s="292"/>
      <c r="CY7" s="292">
        <f t="shared" si="39"/>
        <v>0</v>
      </c>
      <c r="CZ7" s="301"/>
      <c r="DA7" s="301"/>
      <c r="DB7" s="302">
        <f t="shared" si="40"/>
        <v>0</v>
      </c>
      <c r="DC7" s="303"/>
      <c r="DD7" s="186">
        <f t="shared" si="41"/>
        <v>0</v>
      </c>
      <c r="DE7" s="317">
        <f t="shared" si="42"/>
        <v>0</v>
      </c>
      <c r="DF7" s="184"/>
      <c r="DG7" s="184"/>
    </row>
    <row r="8" spans="1:111" ht="18" x14ac:dyDescent="0.25">
      <c r="A8" s="297" t="str">
        <f>+'SEMANA DEL 7 AL 14'!A8</f>
        <v>ESPERANZA REY</v>
      </c>
      <c r="B8" s="289">
        <f>+'SEMANA DEL 7 AL 14'!AX8</f>
        <v>3</v>
      </c>
      <c r="C8" s="289">
        <f>+'SEMANA DEL 7 AL 14'!AY8</f>
        <v>5.4</v>
      </c>
      <c r="D8" s="289">
        <f>+'SEMANA DEL 7 AL 14'!AZ8</f>
        <v>21</v>
      </c>
      <c r="E8" s="289">
        <f>+'SEMANA DEL 7 AL 14'!BA8</f>
        <v>3</v>
      </c>
      <c r="F8" s="289">
        <f>+'SEMANA DEL 7 AL 14'!BB8</f>
        <v>0</v>
      </c>
      <c r="G8" s="289">
        <f>+'SEMANA DEL 7 AL 14'!BC8</f>
        <v>0</v>
      </c>
      <c r="H8" s="289">
        <f>+'SEMANA DEL 7 AL 14'!BD8</f>
        <v>0</v>
      </c>
      <c r="I8" s="289">
        <f>+'SEMANA DEL 7 AL 14'!BE8</f>
        <v>0</v>
      </c>
      <c r="J8" s="289">
        <f>+'SEMANA DEL 7 AL 14'!BF8</f>
        <v>0</v>
      </c>
      <c r="K8" s="289">
        <f>+'SEMANA DEL 7 AL 14'!BG8</f>
        <v>0</v>
      </c>
      <c r="L8" s="289">
        <f>+'SEMANA DEL 7 AL 14'!BH8</f>
        <v>0</v>
      </c>
      <c r="M8" s="289">
        <f>+'SEMANA DEL 7 AL 14'!BI8</f>
        <v>0</v>
      </c>
      <c r="N8" s="289">
        <f>+'SEMANA DEL 7 AL 14'!BJ8</f>
        <v>0</v>
      </c>
      <c r="O8" s="289">
        <f>+'SEMANA DEL 7 AL 14'!BK8</f>
        <v>0</v>
      </c>
      <c r="P8" s="289">
        <f>+'SEMANA DEL 7 AL 14'!BL8</f>
        <v>0</v>
      </c>
      <c r="Q8" s="289">
        <f>+'SEMANA DEL 7 AL 14'!BM8</f>
        <v>0</v>
      </c>
      <c r="R8" s="289"/>
      <c r="S8" s="289"/>
      <c r="T8" s="289"/>
      <c r="U8" s="289"/>
      <c r="V8" s="289"/>
      <c r="W8" s="289"/>
      <c r="X8" s="289"/>
      <c r="Y8" s="289"/>
      <c r="Z8" s="320"/>
      <c r="AA8" s="320"/>
      <c r="AB8" s="320"/>
      <c r="AC8" s="320"/>
      <c r="AD8" s="289"/>
      <c r="AE8" s="289"/>
      <c r="AF8" s="289"/>
      <c r="AG8" s="289"/>
      <c r="AH8" s="289"/>
      <c r="AI8" s="289"/>
      <c r="AJ8" s="289"/>
      <c r="AK8" s="289"/>
      <c r="AL8" s="318"/>
      <c r="AM8" s="318"/>
      <c r="AN8" s="289"/>
      <c r="AO8" s="289"/>
      <c r="AP8" s="322"/>
      <c r="AQ8" s="322"/>
      <c r="AR8" s="322"/>
      <c r="AS8" s="322"/>
      <c r="AT8" s="322"/>
      <c r="AU8" s="322"/>
      <c r="AV8" s="322"/>
      <c r="AW8" s="289"/>
      <c r="AX8" s="190">
        <f t="shared" si="1"/>
        <v>3</v>
      </c>
      <c r="AY8" s="190">
        <f t="shared" si="2"/>
        <v>5.4</v>
      </c>
      <c r="AZ8" s="190">
        <f t="shared" si="3"/>
        <v>21</v>
      </c>
      <c r="BA8" s="190">
        <f t="shared" si="4"/>
        <v>3</v>
      </c>
      <c r="BB8" s="190">
        <f t="shared" si="5"/>
        <v>0</v>
      </c>
      <c r="BC8" s="190">
        <f t="shared" si="6"/>
        <v>0</v>
      </c>
      <c r="BD8" s="190">
        <f t="shared" si="7"/>
        <v>0</v>
      </c>
      <c r="BE8" s="190">
        <f t="shared" si="8"/>
        <v>0</v>
      </c>
      <c r="BF8" s="190">
        <f t="shared" si="9"/>
        <v>0</v>
      </c>
      <c r="BG8" s="190">
        <f t="shared" si="10"/>
        <v>0</v>
      </c>
      <c r="BH8" s="190">
        <f t="shared" si="11"/>
        <v>0</v>
      </c>
      <c r="BI8" s="190">
        <f t="shared" si="12"/>
        <v>0</v>
      </c>
      <c r="BJ8" s="190">
        <f t="shared" si="13"/>
        <v>0</v>
      </c>
      <c r="BK8" s="190">
        <f t="shared" si="14"/>
        <v>0</v>
      </c>
      <c r="BL8" s="190">
        <f t="shared" si="15"/>
        <v>0</v>
      </c>
      <c r="BM8" s="190">
        <f t="shared" si="16"/>
        <v>0</v>
      </c>
      <c r="BN8" s="190"/>
      <c r="BO8" s="258">
        <f t="shared" si="17"/>
        <v>0</v>
      </c>
      <c r="BP8" s="71">
        <f t="shared" si="18"/>
        <v>0</v>
      </c>
      <c r="BQ8" s="112">
        <f t="shared" si="19"/>
        <v>0</v>
      </c>
      <c r="BR8" s="112">
        <f t="shared" si="20"/>
        <v>0</v>
      </c>
      <c r="BS8" s="112">
        <f t="shared" si="21"/>
        <v>0</v>
      </c>
      <c r="BT8" s="112">
        <f t="shared" si="22"/>
        <v>0</v>
      </c>
      <c r="BU8" s="112">
        <f t="shared" si="23"/>
        <v>0</v>
      </c>
      <c r="BV8" s="112">
        <f t="shared" si="24"/>
        <v>0</v>
      </c>
      <c r="BW8" s="112">
        <f t="shared" si="25"/>
        <v>0</v>
      </c>
      <c r="BX8" s="112">
        <f t="shared" si="26"/>
        <v>0</v>
      </c>
      <c r="BY8" s="71">
        <f t="shared" si="27"/>
        <v>0</v>
      </c>
      <c r="BZ8" s="112">
        <f t="shared" si="28"/>
        <v>0</v>
      </c>
      <c r="CA8" s="233"/>
      <c r="CB8" s="233"/>
      <c r="CC8" s="71">
        <f t="shared" si="29"/>
        <v>0</v>
      </c>
      <c r="CD8" s="71">
        <f t="shared" si="30"/>
        <v>0</v>
      </c>
      <c r="CE8" s="71">
        <f t="shared" si="31"/>
        <v>0</v>
      </c>
      <c r="CF8" s="71">
        <f t="shared" si="32"/>
        <v>0</v>
      </c>
      <c r="CG8" s="71">
        <f t="shared" si="33"/>
        <v>0</v>
      </c>
      <c r="CH8" s="261">
        <f t="shared" si="34"/>
        <v>0</v>
      </c>
      <c r="CI8" s="262">
        <f t="shared" si="35"/>
        <v>0</v>
      </c>
      <c r="CJ8" s="79"/>
      <c r="CK8" s="194"/>
      <c r="CL8" s="194"/>
      <c r="CM8" s="238"/>
      <c r="CN8" s="194"/>
      <c r="CO8" s="194"/>
      <c r="CP8" s="194"/>
      <c r="CQ8" s="79"/>
      <c r="CR8" s="79"/>
      <c r="CS8" s="55" t="str">
        <f t="shared" si="36"/>
        <v>ESPERANZA REY</v>
      </c>
      <c r="CT8" s="185" t="str">
        <f>+'SEMANA DEL 2 AL 7-3-26'!CS8</f>
        <v>V-22.633.248</v>
      </c>
      <c r="CU8" s="292">
        <f t="shared" si="37"/>
        <v>0</v>
      </c>
      <c r="CV8" s="292">
        <f t="shared" si="38"/>
        <v>0</v>
      </c>
      <c r="CW8" s="292"/>
      <c r="CX8" s="292"/>
      <c r="CY8" s="292">
        <f t="shared" si="39"/>
        <v>0</v>
      </c>
      <c r="CZ8" s="301"/>
      <c r="DA8" s="301"/>
      <c r="DB8" s="302">
        <f t="shared" si="40"/>
        <v>0</v>
      </c>
      <c r="DC8" s="303"/>
      <c r="DD8" s="186">
        <f t="shared" si="41"/>
        <v>0</v>
      </c>
      <c r="DE8" s="317">
        <f t="shared" si="42"/>
        <v>0</v>
      </c>
      <c r="DF8" s="184"/>
      <c r="DG8" s="184"/>
    </row>
    <row r="9" spans="1:111" ht="18" x14ac:dyDescent="0.25">
      <c r="A9" s="297" t="str">
        <f>+'SEMANA DEL 7 AL 14'!A9</f>
        <v xml:space="preserve">ELIZABETH REYES SERRANO </v>
      </c>
      <c r="B9" s="289">
        <f>+'SEMANA DEL 7 AL 14'!AX9</f>
        <v>0</v>
      </c>
      <c r="C9" s="289">
        <f>+'SEMANA DEL 7 AL 14'!AY9</f>
        <v>0</v>
      </c>
      <c r="D9" s="289">
        <f>+'SEMANA DEL 7 AL 14'!AZ9</f>
        <v>0</v>
      </c>
      <c r="E9" s="289">
        <f>+'SEMANA DEL 7 AL 14'!BA9</f>
        <v>0</v>
      </c>
      <c r="F9" s="289">
        <f>+'SEMANA DEL 7 AL 14'!BB9</f>
        <v>0</v>
      </c>
      <c r="G9" s="289">
        <f>+'SEMANA DEL 7 AL 14'!BC9</f>
        <v>0</v>
      </c>
      <c r="H9" s="289">
        <f>+'SEMANA DEL 7 AL 14'!BD9</f>
        <v>0</v>
      </c>
      <c r="I9" s="289">
        <f>+'SEMANA DEL 7 AL 14'!BE9</f>
        <v>0</v>
      </c>
      <c r="J9" s="289">
        <f>+'SEMANA DEL 7 AL 14'!BF9</f>
        <v>0</v>
      </c>
      <c r="K9" s="289">
        <f>+'SEMANA DEL 7 AL 14'!BG9</f>
        <v>0</v>
      </c>
      <c r="L9" s="289">
        <f>+'SEMANA DEL 7 AL 14'!BH9</f>
        <v>0</v>
      </c>
      <c r="M9" s="289">
        <f>+'SEMANA DEL 7 AL 14'!BI9</f>
        <v>0</v>
      </c>
      <c r="N9" s="289">
        <f>+'SEMANA DEL 7 AL 14'!BJ9</f>
        <v>0</v>
      </c>
      <c r="O9" s="289">
        <f>+'SEMANA DEL 7 AL 14'!BK9</f>
        <v>0</v>
      </c>
      <c r="P9" s="289">
        <f>+'SEMANA DEL 7 AL 14'!BL9</f>
        <v>0</v>
      </c>
      <c r="Q9" s="289">
        <f>+'SEMANA DEL 7 AL 14'!BM9</f>
        <v>0</v>
      </c>
      <c r="R9" s="289"/>
      <c r="S9" s="289"/>
      <c r="T9" s="289"/>
      <c r="U9" s="289"/>
      <c r="V9" s="289"/>
      <c r="W9" s="289"/>
      <c r="X9" s="289"/>
      <c r="Y9" s="320"/>
      <c r="Z9" s="289"/>
      <c r="AA9" s="320"/>
      <c r="AB9" s="320"/>
      <c r="AC9" s="320"/>
      <c r="AD9" s="289"/>
      <c r="AE9" s="289"/>
      <c r="AF9" s="289"/>
      <c r="AG9" s="289"/>
      <c r="AH9" s="289"/>
      <c r="AI9" s="289"/>
      <c r="AJ9" s="289"/>
      <c r="AK9" s="289"/>
      <c r="AL9" s="289"/>
      <c r="AM9" s="289"/>
      <c r="AN9" s="183"/>
      <c r="AO9" s="289"/>
      <c r="AP9" s="289"/>
      <c r="AQ9" s="289"/>
      <c r="AR9" s="289"/>
      <c r="AS9" s="289"/>
      <c r="AT9" s="289"/>
      <c r="AU9" s="289"/>
      <c r="AV9" s="289"/>
      <c r="AW9" s="289"/>
      <c r="AX9" s="190">
        <f t="shared" si="1"/>
        <v>0</v>
      </c>
      <c r="AY9" s="190">
        <f t="shared" si="2"/>
        <v>0</v>
      </c>
      <c r="AZ9" s="190">
        <f t="shared" si="3"/>
        <v>0</v>
      </c>
      <c r="BA9" s="190">
        <f t="shared" si="4"/>
        <v>0</v>
      </c>
      <c r="BB9" s="190">
        <f t="shared" si="5"/>
        <v>0</v>
      </c>
      <c r="BC9" s="190">
        <f t="shared" si="6"/>
        <v>0</v>
      </c>
      <c r="BD9" s="190">
        <f t="shared" si="7"/>
        <v>0</v>
      </c>
      <c r="BE9" s="190">
        <f t="shared" si="8"/>
        <v>0</v>
      </c>
      <c r="BF9" s="190">
        <f t="shared" si="9"/>
        <v>0</v>
      </c>
      <c r="BG9" s="190">
        <f t="shared" si="10"/>
        <v>0</v>
      </c>
      <c r="BH9" s="190">
        <f t="shared" si="11"/>
        <v>0</v>
      </c>
      <c r="BI9" s="190">
        <f t="shared" si="12"/>
        <v>0</v>
      </c>
      <c r="BJ9" s="190">
        <f t="shared" si="13"/>
        <v>0</v>
      </c>
      <c r="BK9" s="190">
        <f t="shared" si="14"/>
        <v>0</v>
      </c>
      <c r="BL9" s="190">
        <f t="shared" si="15"/>
        <v>0</v>
      </c>
      <c r="BM9" s="190">
        <f t="shared" si="16"/>
        <v>0</v>
      </c>
      <c r="BN9" s="190"/>
      <c r="BO9" s="258">
        <f t="shared" si="17"/>
        <v>0</v>
      </c>
      <c r="BP9" s="71">
        <f t="shared" si="18"/>
        <v>0</v>
      </c>
      <c r="BQ9" s="112">
        <f t="shared" si="19"/>
        <v>0</v>
      </c>
      <c r="BR9" s="112">
        <f t="shared" si="20"/>
        <v>0</v>
      </c>
      <c r="BS9" s="112">
        <f t="shared" si="21"/>
        <v>0</v>
      </c>
      <c r="BT9" s="112">
        <f t="shared" si="22"/>
        <v>0</v>
      </c>
      <c r="BU9" s="112">
        <f t="shared" si="23"/>
        <v>0</v>
      </c>
      <c r="BV9" s="112">
        <f t="shared" si="24"/>
        <v>0</v>
      </c>
      <c r="BW9" s="112">
        <f t="shared" si="25"/>
        <v>0</v>
      </c>
      <c r="BX9" s="112">
        <f t="shared" si="26"/>
        <v>0</v>
      </c>
      <c r="BY9" s="71">
        <f t="shared" si="27"/>
        <v>0</v>
      </c>
      <c r="BZ9" s="112">
        <f t="shared" si="28"/>
        <v>0</v>
      </c>
      <c r="CA9" s="233"/>
      <c r="CB9" s="233"/>
      <c r="CC9" s="71">
        <f t="shared" si="29"/>
        <v>0</v>
      </c>
      <c r="CD9" s="71">
        <f t="shared" si="30"/>
        <v>0</v>
      </c>
      <c r="CE9" s="71">
        <f t="shared" si="31"/>
        <v>0</v>
      </c>
      <c r="CF9" s="71">
        <f t="shared" si="32"/>
        <v>0</v>
      </c>
      <c r="CG9" s="71">
        <f t="shared" si="33"/>
        <v>0</v>
      </c>
      <c r="CH9" s="261">
        <f t="shared" si="34"/>
        <v>0</v>
      </c>
      <c r="CI9" s="262">
        <f t="shared" si="35"/>
        <v>0</v>
      </c>
      <c r="CJ9" s="79"/>
      <c r="CK9" s="194"/>
      <c r="CL9" s="194"/>
      <c r="CM9" s="238"/>
      <c r="CN9" s="194"/>
      <c r="CO9" s="194"/>
      <c r="CP9" s="194"/>
      <c r="CQ9" s="79"/>
      <c r="CR9" s="79"/>
      <c r="CS9" s="55" t="str">
        <f t="shared" si="36"/>
        <v xml:space="preserve">ELIZABETH REYES SERRANO </v>
      </c>
      <c r="CT9" s="185" t="str">
        <f>+'SEMANA DEL 2 AL 7-3-26'!CS9</f>
        <v>V-15.956.387</v>
      </c>
      <c r="CU9" s="292">
        <f t="shared" si="37"/>
        <v>0</v>
      </c>
      <c r="CV9" s="292">
        <f t="shared" si="38"/>
        <v>0</v>
      </c>
      <c r="CW9" s="292"/>
      <c r="CX9" s="292"/>
      <c r="CY9" s="292">
        <f t="shared" si="39"/>
        <v>0</v>
      </c>
      <c r="CZ9" s="301"/>
      <c r="DA9" s="301"/>
      <c r="DB9" s="302">
        <f t="shared" si="40"/>
        <v>0</v>
      </c>
      <c r="DC9" s="303"/>
      <c r="DD9" s="186">
        <f t="shared" si="41"/>
        <v>0</v>
      </c>
      <c r="DE9" s="317">
        <f t="shared" si="42"/>
        <v>0</v>
      </c>
      <c r="DF9" s="184"/>
      <c r="DG9" s="184"/>
    </row>
    <row r="10" spans="1:111" ht="18" x14ac:dyDescent="0.25">
      <c r="A10" s="297" t="str">
        <f>+'SEMANA DEL 7 AL 14'!A10</f>
        <v>ELVIRA LOPEZ</v>
      </c>
      <c r="B10" s="289">
        <f>+'SEMANA DEL 7 AL 14'!AX10</f>
        <v>0</v>
      </c>
      <c r="C10" s="289">
        <f>+'SEMANA DEL 7 AL 14'!AY10</f>
        <v>0</v>
      </c>
      <c r="D10" s="289">
        <f>+'SEMANA DEL 7 AL 14'!AZ10</f>
        <v>0</v>
      </c>
      <c r="E10" s="289">
        <f>+'SEMANA DEL 7 AL 14'!BA10</f>
        <v>0</v>
      </c>
      <c r="F10" s="289">
        <f>+'SEMANA DEL 7 AL 14'!BB10</f>
        <v>0</v>
      </c>
      <c r="G10" s="289">
        <f>+'SEMANA DEL 7 AL 14'!BC10</f>
        <v>0</v>
      </c>
      <c r="H10" s="289">
        <f>+'SEMANA DEL 7 AL 14'!BD10</f>
        <v>0</v>
      </c>
      <c r="I10" s="289">
        <f>+'SEMANA DEL 7 AL 14'!BE10</f>
        <v>0</v>
      </c>
      <c r="J10" s="289">
        <f>+'SEMANA DEL 7 AL 14'!BF10</f>
        <v>0</v>
      </c>
      <c r="K10" s="289">
        <f>+'SEMANA DEL 7 AL 14'!BG10</f>
        <v>0</v>
      </c>
      <c r="L10" s="289">
        <f>+'SEMANA DEL 7 AL 14'!BH10</f>
        <v>0</v>
      </c>
      <c r="M10" s="289">
        <f>+'SEMANA DEL 7 AL 14'!BI10</f>
        <v>0</v>
      </c>
      <c r="N10" s="289">
        <f>+'SEMANA DEL 7 AL 14'!BJ10</f>
        <v>0</v>
      </c>
      <c r="O10" s="289">
        <f>+'SEMANA DEL 7 AL 14'!BK10</f>
        <v>0</v>
      </c>
      <c r="P10" s="289">
        <f>+'SEMANA DEL 7 AL 14'!BL10</f>
        <v>0</v>
      </c>
      <c r="Q10" s="289">
        <f>+'SEMANA DEL 7 AL 14'!BM10</f>
        <v>0</v>
      </c>
      <c r="R10" s="289"/>
      <c r="S10" s="289"/>
      <c r="T10" s="289"/>
      <c r="U10" s="289"/>
      <c r="V10" s="289"/>
      <c r="W10" s="289"/>
      <c r="X10" s="289"/>
      <c r="Y10" s="289"/>
      <c r="Z10" s="320"/>
      <c r="AA10" s="320"/>
      <c r="AB10" s="320"/>
      <c r="AC10" s="320"/>
      <c r="AD10" s="289"/>
      <c r="AE10" s="289"/>
      <c r="AF10" s="289"/>
      <c r="AG10" s="289"/>
      <c r="AH10" s="289"/>
      <c r="AI10" s="289"/>
      <c r="AJ10" s="289"/>
      <c r="AK10" s="289"/>
      <c r="AL10" s="299"/>
      <c r="AM10" s="299"/>
      <c r="AN10" s="183"/>
      <c r="AO10" s="289"/>
      <c r="AP10" s="289"/>
      <c r="AQ10" s="322"/>
      <c r="AR10" s="322"/>
      <c r="AS10" s="322"/>
      <c r="AT10" s="322"/>
      <c r="AU10" s="322"/>
      <c r="AV10" s="322"/>
      <c r="AW10" s="289"/>
      <c r="AX10" s="190">
        <f t="shared" si="1"/>
        <v>0</v>
      </c>
      <c r="AY10" s="190">
        <f t="shared" si="2"/>
        <v>0</v>
      </c>
      <c r="AZ10" s="190">
        <f t="shared" si="3"/>
        <v>0</v>
      </c>
      <c r="BA10" s="190">
        <f t="shared" si="4"/>
        <v>0</v>
      </c>
      <c r="BB10" s="190">
        <f t="shared" si="5"/>
        <v>0</v>
      </c>
      <c r="BC10" s="190">
        <f t="shared" si="6"/>
        <v>0</v>
      </c>
      <c r="BD10" s="190">
        <f t="shared" si="7"/>
        <v>0</v>
      </c>
      <c r="BE10" s="190">
        <f t="shared" si="8"/>
        <v>0</v>
      </c>
      <c r="BF10" s="190">
        <f t="shared" si="9"/>
        <v>0</v>
      </c>
      <c r="BG10" s="190">
        <f t="shared" si="10"/>
        <v>0</v>
      </c>
      <c r="BH10" s="190">
        <f t="shared" si="11"/>
        <v>0</v>
      </c>
      <c r="BI10" s="190">
        <f t="shared" si="12"/>
        <v>0</v>
      </c>
      <c r="BJ10" s="190">
        <f t="shared" si="13"/>
        <v>0</v>
      </c>
      <c r="BK10" s="190">
        <f t="shared" si="14"/>
        <v>0</v>
      </c>
      <c r="BL10" s="190">
        <f t="shared" si="15"/>
        <v>0</v>
      </c>
      <c r="BM10" s="190">
        <f t="shared" si="16"/>
        <v>0</v>
      </c>
      <c r="BN10" s="190"/>
      <c r="BO10" s="258">
        <f t="shared" si="17"/>
        <v>0</v>
      </c>
      <c r="BP10" s="71">
        <f t="shared" si="18"/>
        <v>0</v>
      </c>
      <c r="BQ10" s="112">
        <f t="shared" si="19"/>
        <v>0</v>
      </c>
      <c r="BR10" s="112">
        <f t="shared" si="20"/>
        <v>0</v>
      </c>
      <c r="BS10" s="112">
        <f t="shared" si="21"/>
        <v>0</v>
      </c>
      <c r="BT10" s="112">
        <f t="shared" si="22"/>
        <v>0</v>
      </c>
      <c r="BU10" s="112">
        <f t="shared" si="23"/>
        <v>0</v>
      </c>
      <c r="BV10" s="112">
        <f t="shared" si="24"/>
        <v>0</v>
      </c>
      <c r="BW10" s="112">
        <f t="shared" si="25"/>
        <v>0</v>
      </c>
      <c r="BX10" s="112">
        <f t="shared" si="26"/>
        <v>0</v>
      </c>
      <c r="BY10" s="71">
        <f t="shared" si="27"/>
        <v>0</v>
      </c>
      <c r="BZ10" s="112">
        <f t="shared" si="28"/>
        <v>0</v>
      </c>
      <c r="CA10" s="233"/>
      <c r="CB10" s="233"/>
      <c r="CC10" s="71">
        <f t="shared" si="29"/>
        <v>0</v>
      </c>
      <c r="CD10" s="71">
        <f t="shared" si="30"/>
        <v>0</v>
      </c>
      <c r="CE10" s="71">
        <f t="shared" si="31"/>
        <v>0</v>
      </c>
      <c r="CF10" s="71">
        <f t="shared" si="32"/>
        <v>0</v>
      </c>
      <c r="CG10" s="71">
        <f t="shared" si="33"/>
        <v>0</v>
      </c>
      <c r="CH10" s="261">
        <f t="shared" si="34"/>
        <v>0</v>
      </c>
      <c r="CI10" s="262">
        <f t="shared" si="35"/>
        <v>0</v>
      </c>
      <c r="CJ10" s="79"/>
      <c r="CK10" s="78" t="s">
        <v>18</v>
      </c>
      <c r="CL10" s="176" t="e">
        <f>+'SEMANA DEL 7 AL 14'!#REF!</f>
        <v>#REF!</v>
      </c>
      <c r="CM10" s="147" t="e">
        <f>+#REF!</f>
        <v>#REF!</v>
      </c>
      <c r="CN10" s="76" t="e">
        <f>+CL10+CM10</f>
        <v>#REF!</v>
      </c>
      <c r="CO10" s="175" t="e">
        <f>+#REF!</f>
        <v>#REF!</v>
      </c>
      <c r="CP10" s="76" t="e">
        <f>CN10-CO10</f>
        <v>#REF!</v>
      </c>
      <c r="CQ10" s="79"/>
      <c r="CR10" s="79"/>
      <c r="CS10" s="55" t="str">
        <f t="shared" si="36"/>
        <v>ELVIRA LOPEZ</v>
      </c>
      <c r="CT10" s="185" t="str">
        <f>+'SEMANA DEL 2 AL 7-3-26'!CS10</f>
        <v>V-29,664.726</v>
      </c>
      <c r="CU10" s="292">
        <f t="shared" si="37"/>
        <v>0</v>
      </c>
      <c r="CV10" s="292">
        <f t="shared" si="38"/>
        <v>0</v>
      </c>
      <c r="CW10" s="292"/>
      <c r="CX10" s="292"/>
      <c r="CY10" s="292">
        <f t="shared" si="39"/>
        <v>0</v>
      </c>
      <c r="CZ10" s="301"/>
      <c r="DA10" s="301"/>
      <c r="DB10" s="302">
        <f t="shared" si="40"/>
        <v>0</v>
      </c>
      <c r="DC10" s="303"/>
      <c r="DD10" s="186">
        <f t="shared" si="41"/>
        <v>0</v>
      </c>
      <c r="DE10" s="317">
        <f t="shared" si="42"/>
        <v>0</v>
      </c>
      <c r="DF10" s="184"/>
      <c r="DG10" s="184"/>
    </row>
    <row r="11" spans="1:111" s="40" customFormat="1" ht="18" x14ac:dyDescent="0.25">
      <c r="A11" s="297" t="str">
        <f>+'SEMANA DEL 7 AL 14'!A11</f>
        <v>ERNESTO REYES</v>
      </c>
      <c r="B11" s="289">
        <f>+'SEMANA DEL 7 AL 14'!AX11</f>
        <v>3.2</v>
      </c>
      <c r="C11" s="289">
        <f>+'SEMANA DEL 7 AL 14'!AY11</f>
        <v>5.7600000000000016</v>
      </c>
      <c r="D11" s="289">
        <f>+'SEMANA DEL 7 AL 14'!AZ11</f>
        <v>22.4</v>
      </c>
      <c r="E11" s="289">
        <f>+'SEMANA DEL 7 AL 14'!BA11</f>
        <v>3</v>
      </c>
      <c r="F11" s="289">
        <f>+'SEMANA DEL 7 AL 14'!BB11</f>
        <v>0</v>
      </c>
      <c r="G11" s="289">
        <f>+'SEMANA DEL 7 AL 14'!BC11</f>
        <v>0</v>
      </c>
      <c r="H11" s="289">
        <f>+'SEMANA DEL 7 AL 14'!BD11</f>
        <v>0</v>
      </c>
      <c r="I11" s="289">
        <f>+'SEMANA DEL 7 AL 14'!BE11</f>
        <v>0</v>
      </c>
      <c r="J11" s="289">
        <f>+'SEMANA DEL 7 AL 14'!BF11</f>
        <v>0</v>
      </c>
      <c r="K11" s="289">
        <f>+'SEMANA DEL 7 AL 14'!BG11</f>
        <v>0</v>
      </c>
      <c r="L11" s="289">
        <f>+'SEMANA DEL 7 AL 14'!BH11</f>
        <v>0</v>
      </c>
      <c r="M11" s="289">
        <f>+'SEMANA DEL 7 AL 14'!BI11</f>
        <v>0</v>
      </c>
      <c r="N11" s="289">
        <f>+'SEMANA DEL 7 AL 14'!BJ11</f>
        <v>0</v>
      </c>
      <c r="O11" s="289">
        <f>+'SEMANA DEL 7 AL 14'!BK11</f>
        <v>0</v>
      </c>
      <c r="P11" s="289">
        <f>+'SEMANA DEL 7 AL 14'!BL11</f>
        <v>0</v>
      </c>
      <c r="Q11" s="289">
        <f>+'SEMANA DEL 7 AL 14'!BM11</f>
        <v>0</v>
      </c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98"/>
      <c r="AH11" s="289"/>
      <c r="AI11" s="289"/>
      <c r="AJ11" s="289"/>
      <c r="AK11" s="289"/>
      <c r="AL11" s="299"/>
      <c r="AM11" s="299"/>
      <c r="AN11" s="322"/>
      <c r="AO11" s="322"/>
      <c r="AP11" s="322"/>
      <c r="AQ11" s="322"/>
      <c r="AR11" s="322"/>
      <c r="AS11" s="322"/>
      <c r="AT11" s="322"/>
      <c r="AU11" s="322"/>
      <c r="AV11" s="322"/>
      <c r="AW11" s="298"/>
      <c r="AX11" s="190">
        <f t="shared" si="1"/>
        <v>3.2</v>
      </c>
      <c r="AY11" s="190">
        <f t="shared" si="2"/>
        <v>5.7600000000000016</v>
      </c>
      <c r="AZ11" s="190">
        <f t="shared" si="3"/>
        <v>22.4</v>
      </c>
      <c r="BA11" s="190">
        <f t="shared" si="4"/>
        <v>3</v>
      </c>
      <c r="BB11" s="190">
        <f t="shared" si="5"/>
        <v>0</v>
      </c>
      <c r="BC11" s="190">
        <f t="shared" si="6"/>
        <v>0</v>
      </c>
      <c r="BD11" s="190">
        <f t="shared" si="7"/>
        <v>0</v>
      </c>
      <c r="BE11" s="190">
        <f t="shared" si="8"/>
        <v>0</v>
      </c>
      <c r="BF11" s="190">
        <f t="shared" si="9"/>
        <v>0</v>
      </c>
      <c r="BG11" s="190">
        <f t="shared" si="10"/>
        <v>0</v>
      </c>
      <c r="BH11" s="190">
        <f t="shared" si="11"/>
        <v>0</v>
      </c>
      <c r="BI11" s="190">
        <f t="shared" si="12"/>
        <v>0</v>
      </c>
      <c r="BJ11" s="190">
        <f t="shared" si="13"/>
        <v>0</v>
      </c>
      <c r="BK11" s="190">
        <f t="shared" si="14"/>
        <v>0</v>
      </c>
      <c r="BL11" s="190">
        <f t="shared" si="15"/>
        <v>0</v>
      </c>
      <c r="BM11" s="190">
        <f t="shared" si="16"/>
        <v>0</v>
      </c>
      <c r="BN11" s="190"/>
      <c r="BO11" s="258">
        <f t="shared" si="17"/>
        <v>0</v>
      </c>
      <c r="BP11" s="71">
        <f t="shared" si="18"/>
        <v>0</v>
      </c>
      <c r="BQ11" s="112">
        <f t="shared" si="19"/>
        <v>0</v>
      </c>
      <c r="BR11" s="112">
        <f t="shared" si="20"/>
        <v>0</v>
      </c>
      <c r="BS11" s="112">
        <f t="shared" si="21"/>
        <v>0</v>
      </c>
      <c r="BT11" s="112">
        <f t="shared" si="22"/>
        <v>0</v>
      </c>
      <c r="BU11" s="112">
        <f t="shared" si="23"/>
        <v>0</v>
      </c>
      <c r="BV11" s="112">
        <f t="shared" si="24"/>
        <v>0</v>
      </c>
      <c r="BW11" s="112">
        <f t="shared" si="25"/>
        <v>0</v>
      </c>
      <c r="BX11" s="112">
        <f t="shared" si="26"/>
        <v>0</v>
      </c>
      <c r="BY11" s="71">
        <f t="shared" si="27"/>
        <v>0</v>
      </c>
      <c r="BZ11" s="112">
        <f t="shared" si="28"/>
        <v>0</v>
      </c>
      <c r="CA11" s="233"/>
      <c r="CB11" s="233"/>
      <c r="CC11" s="71">
        <f t="shared" si="29"/>
        <v>0</v>
      </c>
      <c r="CD11" s="71">
        <f t="shared" si="30"/>
        <v>0</v>
      </c>
      <c r="CE11" s="71">
        <f t="shared" si="31"/>
        <v>0</v>
      </c>
      <c r="CF11" s="71">
        <f t="shared" si="32"/>
        <v>0</v>
      </c>
      <c r="CG11" s="71">
        <f t="shared" si="33"/>
        <v>0</v>
      </c>
      <c r="CH11" s="261">
        <f t="shared" si="34"/>
        <v>0</v>
      </c>
      <c r="CI11" s="262">
        <f t="shared" si="35"/>
        <v>0</v>
      </c>
      <c r="CJ11" s="164"/>
      <c r="CK11" s="78"/>
      <c r="CL11" s="176"/>
      <c r="CM11" s="147"/>
      <c r="CN11" s="76"/>
      <c r="CO11" s="175"/>
      <c r="CP11" s="76"/>
      <c r="CQ11" s="127"/>
      <c r="CR11" s="127"/>
      <c r="CS11" s="55" t="str">
        <f t="shared" si="36"/>
        <v>ERNESTO REYES</v>
      </c>
      <c r="CT11" s="185" t="str">
        <f>+'SEMANA DEL 2 AL 7-3-26'!CS11</f>
        <v>CC-5.535.335</v>
      </c>
      <c r="CU11" s="292">
        <f t="shared" si="37"/>
        <v>0</v>
      </c>
      <c r="CV11" s="292">
        <f t="shared" si="38"/>
        <v>0</v>
      </c>
      <c r="CW11" s="292"/>
      <c r="CX11" s="292"/>
      <c r="CY11" s="292">
        <f t="shared" si="39"/>
        <v>0</v>
      </c>
      <c r="CZ11" s="301"/>
      <c r="DA11" s="301"/>
      <c r="DB11" s="302">
        <f t="shared" si="40"/>
        <v>0</v>
      </c>
      <c r="DC11" s="303"/>
      <c r="DD11" s="186">
        <f t="shared" si="41"/>
        <v>0</v>
      </c>
      <c r="DE11" s="317">
        <f t="shared" si="42"/>
        <v>0</v>
      </c>
      <c r="DF11" s="250"/>
      <c r="DG11" s="250"/>
    </row>
    <row r="12" spans="1:111" s="40" customFormat="1" ht="18" x14ac:dyDescent="0.25">
      <c r="A12" s="297" t="str">
        <f>+'SEMANA DEL 7 AL 14'!A12</f>
        <v xml:space="preserve">GUILLERMO ZAMBRANO </v>
      </c>
      <c r="B12" s="289">
        <f>+'SEMANA DEL 7 AL 14'!AX12</f>
        <v>0.34999999999999964</v>
      </c>
      <c r="C12" s="289">
        <f>+'SEMANA DEL 7 AL 14'!AY12</f>
        <v>1.6300000000000008</v>
      </c>
      <c r="D12" s="289">
        <f>+'SEMANA DEL 7 AL 14'!AZ12</f>
        <v>4.4500000000000028</v>
      </c>
      <c r="E12" s="289">
        <f>+'SEMANA DEL 7 AL 14'!BA12</f>
        <v>0</v>
      </c>
      <c r="F12" s="289">
        <f>+'SEMANA DEL 7 AL 14'!BB12</f>
        <v>0</v>
      </c>
      <c r="G12" s="289">
        <f>+'SEMANA DEL 7 AL 14'!BC12</f>
        <v>0</v>
      </c>
      <c r="H12" s="289">
        <f>+'SEMANA DEL 7 AL 14'!BD12</f>
        <v>0</v>
      </c>
      <c r="I12" s="289">
        <f>+'SEMANA DEL 7 AL 14'!BE12</f>
        <v>0</v>
      </c>
      <c r="J12" s="289">
        <f>+'SEMANA DEL 7 AL 14'!BF12</f>
        <v>0</v>
      </c>
      <c r="K12" s="289">
        <f>+'SEMANA DEL 7 AL 14'!BG12</f>
        <v>0</v>
      </c>
      <c r="L12" s="289">
        <f>+'SEMANA DEL 7 AL 14'!BH12</f>
        <v>0</v>
      </c>
      <c r="M12" s="289">
        <f>+'SEMANA DEL 7 AL 14'!BI12</f>
        <v>0</v>
      </c>
      <c r="N12" s="289">
        <f>+'SEMANA DEL 7 AL 14'!BJ12</f>
        <v>0</v>
      </c>
      <c r="O12" s="289">
        <f>+'SEMANA DEL 7 AL 14'!BK12</f>
        <v>0</v>
      </c>
      <c r="P12" s="289">
        <f>+'SEMANA DEL 7 AL 14'!BL12</f>
        <v>0</v>
      </c>
      <c r="Q12" s="289">
        <f>+'SEMANA DEL 7 AL 14'!BM12</f>
        <v>0</v>
      </c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322"/>
      <c r="AV12" s="322"/>
      <c r="AW12" s="289"/>
      <c r="AX12" s="190">
        <f t="shared" si="1"/>
        <v>0.34999999999999964</v>
      </c>
      <c r="AY12" s="190">
        <f t="shared" si="2"/>
        <v>1.6300000000000008</v>
      </c>
      <c r="AZ12" s="190">
        <f t="shared" si="3"/>
        <v>4.4500000000000028</v>
      </c>
      <c r="BA12" s="190">
        <f t="shared" si="4"/>
        <v>0</v>
      </c>
      <c r="BB12" s="190">
        <f t="shared" si="5"/>
        <v>0</v>
      </c>
      <c r="BC12" s="190">
        <f t="shared" si="6"/>
        <v>0</v>
      </c>
      <c r="BD12" s="190">
        <f t="shared" si="7"/>
        <v>0</v>
      </c>
      <c r="BE12" s="190">
        <f t="shared" si="8"/>
        <v>0</v>
      </c>
      <c r="BF12" s="190">
        <f t="shared" si="9"/>
        <v>0</v>
      </c>
      <c r="BG12" s="190">
        <f t="shared" si="10"/>
        <v>0</v>
      </c>
      <c r="BH12" s="190">
        <f t="shared" si="11"/>
        <v>0</v>
      </c>
      <c r="BI12" s="190">
        <f t="shared" si="12"/>
        <v>0</v>
      </c>
      <c r="BJ12" s="190">
        <f t="shared" si="13"/>
        <v>0</v>
      </c>
      <c r="BK12" s="190">
        <f t="shared" si="14"/>
        <v>0</v>
      </c>
      <c r="BL12" s="190">
        <f t="shared" si="15"/>
        <v>0</v>
      </c>
      <c r="BM12" s="190">
        <f t="shared" si="16"/>
        <v>0</v>
      </c>
      <c r="BN12" s="190"/>
      <c r="BO12" s="258">
        <f t="shared" si="17"/>
        <v>0</v>
      </c>
      <c r="BP12" s="71">
        <f t="shared" si="18"/>
        <v>0</v>
      </c>
      <c r="BQ12" s="112">
        <f t="shared" si="19"/>
        <v>0</v>
      </c>
      <c r="BR12" s="112">
        <f t="shared" si="20"/>
        <v>0</v>
      </c>
      <c r="BS12" s="112">
        <f t="shared" si="21"/>
        <v>0</v>
      </c>
      <c r="BT12" s="112">
        <f t="shared" si="22"/>
        <v>0</v>
      </c>
      <c r="BU12" s="112">
        <f t="shared" si="23"/>
        <v>0</v>
      </c>
      <c r="BV12" s="112">
        <f t="shared" si="24"/>
        <v>0</v>
      </c>
      <c r="BW12" s="112">
        <f t="shared" si="25"/>
        <v>0</v>
      </c>
      <c r="BX12" s="112">
        <f t="shared" si="26"/>
        <v>0</v>
      </c>
      <c r="BY12" s="71">
        <f t="shared" si="27"/>
        <v>0</v>
      </c>
      <c r="BZ12" s="112">
        <f t="shared" si="28"/>
        <v>0</v>
      </c>
      <c r="CA12" s="233"/>
      <c r="CB12" s="233"/>
      <c r="CC12" s="71">
        <f t="shared" si="29"/>
        <v>0</v>
      </c>
      <c r="CD12" s="71">
        <f t="shared" si="30"/>
        <v>0</v>
      </c>
      <c r="CE12" s="71">
        <f t="shared" si="31"/>
        <v>0</v>
      </c>
      <c r="CF12" s="71">
        <f t="shared" si="32"/>
        <v>0</v>
      </c>
      <c r="CG12" s="71">
        <f t="shared" si="33"/>
        <v>0</v>
      </c>
      <c r="CH12" s="261">
        <f t="shared" si="34"/>
        <v>0</v>
      </c>
      <c r="CI12" s="262">
        <f t="shared" si="35"/>
        <v>0</v>
      </c>
      <c r="CJ12" s="164"/>
      <c r="CK12" s="78" t="s">
        <v>108</v>
      </c>
      <c r="CL12" s="176" t="e">
        <f>+'SEMANA DEL 7 AL 14'!CP23</f>
        <v>#REF!</v>
      </c>
      <c r="CM12" s="147" t="e">
        <f>+#REF!</f>
        <v>#REF!</v>
      </c>
      <c r="CN12" s="76" t="e">
        <f>+CL12+CM12</f>
        <v>#REF!</v>
      </c>
      <c r="CO12" s="175" t="e">
        <f>+#REF!</f>
        <v>#REF!</v>
      </c>
      <c r="CP12" s="76" t="e">
        <f>CN12-CO12</f>
        <v>#REF!</v>
      </c>
      <c r="CQ12" s="127"/>
      <c r="CR12" s="127"/>
      <c r="CS12" s="55" t="str">
        <f t="shared" si="36"/>
        <v xml:space="preserve">GUILLERMO ZAMBRANO </v>
      </c>
      <c r="CT12" s="185" t="str">
        <f>+'SEMANA DEL 2 AL 7-3-26'!CS12</f>
        <v>V-5.642.663</v>
      </c>
      <c r="CU12" s="292">
        <f t="shared" si="37"/>
        <v>0</v>
      </c>
      <c r="CV12" s="292">
        <f t="shared" si="38"/>
        <v>0</v>
      </c>
      <c r="CW12" s="292"/>
      <c r="CX12" s="292"/>
      <c r="CY12" s="292">
        <f t="shared" si="39"/>
        <v>0</v>
      </c>
      <c r="CZ12" s="301"/>
      <c r="DA12" s="301"/>
      <c r="DB12" s="302">
        <f t="shared" si="40"/>
        <v>0</v>
      </c>
      <c r="DC12" s="303"/>
      <c r="DD12" s="186">
        <f t="shared" si="41"/>
        <v>0</v>
      </c>
      <c r="DE12" s="317">
        <f t="shared" si="42"/>
        <v>0</v>
      </c>
      <c r="DF12" s="250"/>
      <c r="DG12" s="250"/>
    </row>
    <row r="13" spans="1:111" s="40" customFormat="1" ht="18" x14ac:dyDescent="0.25">
      <c r="A13" s="297" t="str">
        <f>+'SEMANA DEL 7 AL 14'!A13</f>
        <v>HUGO ALMEIDA</v>
      </c>
      <c r="B13" s="289">
        <f>+'SEMANA DEL 7 AL 14'!AX13</f>
        <v>0</v>
      </c>
      <c r="C13" s="289">
        <f>+'SEMANA DEL 7 AL 14'!AY13</f>
        <v>0</v>
      </c>
      <c r="D13" s="289">
        <f>+'SEMANA DEL 7 AL 14'!AZ13</f>
        <v>0</v>
      </c>
      <c r="E13" s="289">
        <f>+'SEMANA DEL 7 AL 14'!BA13</f>
        <v>0</v>
      </c>
      <c r="F13" s="289">
        <f>+'SEMANA DEL 7 AL 14'!BB13</f>
        <v>0</v>
      </c>
      <c r="G13" s="289">
        <f>+'SEMANA DEL 7 AL 14'!BC13</f>
        <v>0</v>
      </c>
      <c r="H13" s="289">
        <f>+'SEMANA DEL 7 AL 14'!BD13</f>
        <v>0</v>
      </c>
      <c r="I13" s="289">
        <f>+'SEMANA DEL 7 AL 14'!BE13</f>
        <v>0</v>
      </c>
      <c r="J13" s="289">
        <f>+'SEMANA DEL 7 AL 14'!BF13</f>
        <v>0</v>
      </c>
      <c r="K13" s="289">
        <f>+'SEMANA DEL 7 AL 14'!BG13</f>
        <v>0</v>
      </c>
      <c r="L13" s="289">
        <f>+'SEMANA DEL 7 AL 14'!BH13</f>
        <v>0</v>
      </c>
      <c r="M13" s="289">
        <f>+'SEMANA DEL 7 AL 14'!BI13</f>
        <v>0</v>
      </c>
      <c r="N13" s="289">
        <f>+'SEMANA DEL 7 AL 14'!BJ13</f>
        <v>0</v>
      </c>
      <c r="O13" s="289">
        <f>+'SEMANA DEL 7 AL 14'!BK13</f>
        <v>0</v>
      </c>
      <c r="P13" s="289">
        <f>+'SEMANA DEL 7 AL 14'!BL13</f>
        <v>0</v>
      </c>
      <c r="Q13" s="289">
        <f>+'SEMANA DEL 7 AL 14'!BM13</f>
        <v>0</v>
      </c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99"/>
      <c r="AN13" s="183"/>
      <c r="AO13" s="289"/>
      <c r="AP13" s="322"/>
      <c r="AQ13" s="322"/>
      <c r="AR13" s="322"/>
      <c r="AS13" s="322"/>
      <c r="AT13" s="322"/>
      <c r="AU13" s="322"/>
      <c r="AV13" s="322"/>
      <c r="AW13" s="322"/>
      <c r="AX13" s="190">
        <f t="shared" si="1"/>
        <v>0</v>
      </c>
      <c r="AY13" s="190">
        <f t="shared" si="2"/>
        <v>0</v>
      </c>
      <c r="AZ13" s="190">
        <f t="shared" si="3"/>
        <v>0</v>
      </c>
      <c r="BA13" s="190">
        <f t="shared" si="4"/>
        <v>0</v>
      </c>
      <c r="BB13" s="190">
        <f t="shared" si="5"/>
        <v>0</v>
      </c>
      <c r="BC13" s="190">
        <f t="shared" si="6"/>
        <v>0</v>
      </c>
      <c r="BD13" s="190">
        <f t="shared" si="7"/>
        <v>0</v>
      </c>
      <c r="BE13" s="190">
        <f t="shared" si="8"/>
        <v>0</v>
      </c>
      <c r="BF13" s="190">
        <f t="shared" si="9"/>
        <v>0</v>
      </c>
      <c r="BG13" s="190">
        <f t="shared" si="10"/>
        <v>0</v>
      </c>
      <c r="BH13" s="190">
        <f t="shared" si="11"/>
        <v>0</v>
      </c>
      <c r="BI13" s="190">
        <f t="shared" si="12"/>
        <v>0</v>
      </c>
      <c r="BJ13" s="190">
        <f t="shared" si="13"/>
        <v>0</v>
      </c>
      <c r="BK13" s="190">
        <f t="shared" si="14"/>
        <v>0</v>
      </c>
      <c r="BL13" s="190">
        <f t="shared" si="15"/>
        <v>0</v>
      </c>
      <c r="BM13" s="190">
        <f t="shared" si="16"/>
        <v>0</v>
      </c>
      <c r="BN13" s="190"/>
      <c r="BO13" s="258">
        <f t="shared" si="17"/>
        <v>0</v>
      </c>
      <c r="BP13" s="71">
        <f t="shared" si="18"/>
        <v>0</v>
      </c>
      <c r="BQ13" s="112">
        <f t="shared" si="19"/>
        <v>0</v>
      </c>
      <c r="BR13" s="112">
        <f t="shared" si="20"/>
        <v>0</v>
      </c>
      <c r="BS13" s="112">
        <f t="shared" si="21"/>
        <v>0</v>
      </c>
      <c r="BT13" s="112">
        <f t="shared" si="22"/>
        <v>0</v>
      </c>
      <c r="BU13" s="112">
        <f t="shared" si="23"/>
        <v>0</v>
      </c>
      <c r="BV13" s="112">
        <f t="shared" si="24"/>
        <v>0</v>
      </c>
      <c r="BW13" s="112">
        <f t="shared" si="25"/>
        <v>0</v>
      </c>
      <c r="BX13" s="112">
        <f t="shared" si="26"/>
        <v>0</v>
      </c>
      <c r="BY13" s="71">
        <f t="shared" si="27"/>
        <v>0</v>
      </c>
      <c r="BZ13" s="112">
        <f t="shared" si="28"/>
        <v>0</v>
      </c>
      <c r="CA13" s="233"/>
      <c r="CB13" s="233"/>
      <c r="CC13" s="71">
        <f t="shared" si="29"/>
        <v>0</v>
      </c>
      <c r="CD13" s="71">
        <f t="shared" si="30"/>
        <v>0</v>
      </c>
      <c r="CE13" s="71">
        <f t="shared" si="31"/>
        <v>0</v>
      </c>
      <c r="CF13" s="71">
        <f t="shared" si="32"/>
        <v>0</v>
      </c>
      <c r="CG13" s="71">
        <f t="shared" si="33"/>
        <v>0</v>
      </c>
      <c r="CH13" s="261">
        <f t="shared" si="34"/>
        <v>0</v>
      </c>
      <c r="CI13" s="262">
        <f t="shared" si="35"/>
        <v>0</v>
      </c>
      <c r="CJ13" s="164"/>
      <c r="CK13" s="78"/>
      <c r="CL13" s="176"/>
      <c r="CM13" s="147"/>
      <c r="CN13" s="76"/>
      <c r="CO13" s="175"/>
      <c r="CP13" s="76"/>
      <c r="CQ13" s="127"/>
      <c r="CR13" s="127"/>
      <c r="CS13" s="55" t="str">
        <f t="shared" si="36"/>
        <v>HUGO ALMEIDA</v>
      </c>
      <c r="CT13" s="185" t="str">
        <f>+'SEMANA DEL 2 AL 7-3-26'!CS13</f>
        <v>V-8,988,550</v>
      </c>
      <c r="CU13" s="292">
        <f t="shared" si="37"/>
        <v>0</v>
      </c>
      <c r="CV13" s="292">
        <f t="shared" si="38"/>
        <v>0</v>
      </c>
      <c r="CW13" s="292"/>
      <c r="CX13" s="292"/>
      <c r="CY13" s="292">
        <f t="shared" si="39"/>
        <v>0</v>
      </c>
      <c r="CZ13" s="301"/>
      <c r="DA13" s="301"/>
      <c r="DB13" s="302">
        <f t="shared" si="40"/>
        <v>0</v>
      </c>
      <c r="DC13" s="303"/>
      <c r="DD13" s="186">
        <f t="shared" si="41"/>
        <v>0</v>
      </c>
      <c r="DE13" s="317">
        <f t="shared" si="42"/>
        <v>0</v>
      </c>
      <c r="DF13" s="250"/>
      <c r="DG13" s="250"/>
    </row>
    <row r="14" spans="1:111" s="40" customFormat="1" ht="18" x14ac:dyDescent="0.25">
      <c r="A14" s="297" t="str">
        <f>+'SEMANA DEL 7 AL 14'!A14</f>
        <v>HILDA SERRANO</v>
      </c>
      <c r="B14" s="289">
        <f>+'SEMANA DEL 7 AL 14'!AX14</f>
        <v>1</v>
      </c>
      <c r="C14" s="289">
        <f>+'SEMANA DEL 7 AL 14'!AY14</f>
        <v>1.8000000000000007</v>
      </c>
      <c r="D14" s="289">
        <f>+'SEMANA DEL 7 AL 14'!AZ14</f>
        <v>7</v>
      </c>
      <c r="E14" s="289">
        <f>+'SEMANA DEL 7 AL 14'!BA14</f>
        <v>1</v>
      </c>
      <c r="F14" s="289">
        <f>+'SEMANA DEL 7 AL 14'!BB14</f>
        <v>0</v>
      </c>
      <c r="G14" s="289">
        <f>+'SEMANA DEL 7 AL 14'!BC14</f>
        <v>0</v>
      </c>
      <c r="H14" s="289">
        <f>+'SEMANA DEL 7 AL 14'!BD14</f>
        <v>0</v>
      </c>
      <c r="I14" s="289">
        <f>+'SEMANA DEL 7 AL 14'!BE14</f>
        <v>0</v>
      </c>
      <c r="J14" s="289">
        <f>+'SEMANA DEL 7 AL 14'!BF14</f>
        <v>0</v>
      </c>
      <c r="K14" s="289">
        <f>+'SEMANA DEL 7 AL 14'!BG14</f>
        <v>0</v>
      </c>
      <c r="L14" s="289">
        <f>+'SEMANA DEL 7 AL 14'!BH14</f>
        <v>0</v>
      </c>
      <c r="M14" s="289">
        <f>+'SEMANA DEL 7 AL 14'!BI14</f>
        <v>0</v>
      </c>
      <c r="N14" s="289">
        <f>+'SEMANA DEL 7 AL 14'!BJ14</f>
        <v>0</v>
      </c>
      <c r="O14" s="289">
        <f>+'SEMANA DEL 7 AL 14'!BK14</f>
        <v>0</v>
      </c>
      <c r="P14" s="289">
        <f>+'SEMANA DEL 7 AL 14'!BL14</f>
        <v>0</v>
      </c>
      <c r="Q14" s="289">
        <f>+'SEMANA DEL 7 AL 14'!BM14</f>
        <v>0</v>
      </c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99"/>
      <c r="AM14" s="299"/>
      <c r="AN14" s="183"/>
      <c r="AO14" s="289"/>
      <c r="AP14" s="322"/>
      <c r="AQ14" s="322"/>
      <c r="AR14" s="322"/>
      <c r="AS14" s="322"/>
      <c r="AT14" s="322"/>
      <c r="AU14" s="322"/>
      <c r="AV14" s="322"/>
      <c r="AW14" s="322"/>
      <c r="AX14" s="190">
        <f t="shared" si="1"/>
        <v>1</v>
      </c>
      <c r="AY14" s="190">
        <f t="shared" si="2"/>
        <v>1.8000000000000007</v>
      </c>
      <c r="AZ14" s="190">
        <f t="shared" si="3"/>
        <v>7</v>
      </c>
      <c r="BA14" s="190">
        <f t="shared" si="4"/>
        <v>1</v>
      </c>
      <c r="BB14" s="190">
        <f t="shared" si="5"/>
        <v>0</v>
      </c>
      <c r="BC14" s="190">
        <f t="shared" si="6"/>
        <v>0</v>
      </c>
      <c r="BD14" s="190">
        <f t="shared" si="7"/>
        <v>0</v>
      </c>
      <c r="BE14" s="190">
        <f t="shared" si="8"/>
        <v>0</v>
      </c>
      <c r="BF14" s="190">
        <f t="shared" si="9"/>
        <v>0</v>
      </c>
      <c r="BG14" s="190">
        <f t="shared" si="10"/>
        <v>0</v>
      </c>
      <c r="BH14" s="190">
        <f t="shared" si="11"/>
        <v>0</v>
      </c>
      <c r="BI14" s="190">
        <f t="shared" si="12"/>
        <v>0</v>
      </c>
      <c r="BJ14" s="190">
        <f t="shared" si="13"/>
        <v>0</v>
      </c>
      <c r="BK14" s="190">
        <f t="shared" si="14"/>
        <v>0</v>
      </c>
      <c r="BL14" s="190">
        <f t="shared" si="15"/>
        <v>0</v>
      </c>
      <c r="BM14" s="190">
        <f t="shared" si="16"/>
        <v>0</v>
      </c>
      <c r="BN14" s="190"/>
      <c r="BO14" s="258">
        <f t="shared" si="17"/>
        <v>0</v>
      </c>
      <c r="BP14" s="71">
        <f t="shared" si="18"/>
        <v>0</v>
      </c>
      <c r="BQ14" s="112">
        <f t="shared" si="19"/>
        <v>0</v>
      </c>
      <c r="BR14" s="112">
        <f t="shared" si="20"/>
        <v>0</v>
      </c>
      <c r="BS14" s="112">
        <f t="shared" si="21"/>
        <v>0</v>
      </c>
      <c r="BT14" s="112">
        <f t="shared" si="22"/>
        <v>0</v>
      </c>
      <c r="BU14" s="112">
        <f t="shared" si="23"/>
        <v>0</v>
      </c>
      <c r="BV14" s="112">
        <f t="shared" si="24"/>
        <v>0</v>
      </c>
      <c r="BW14" s="112">
        <f t="shared" si="25"/>
        <v>0</v>
      </c>
      <c r="BX14" s="112">
        <f t="shared" si="26"/>
        <v>0</v>
      </c>
      <c r="BY14" s="71">
        <f t="shared" si="27"/>
        <v>0</v>
      </c>
      <c r="BZ14" s="112">
        <f t="shared" si="28"/>
        <v>0</v>
      </c>
      <c r="CA14" s="233"/>
      <c r="CB14" s="233"/>
      <c r="CC14" s="71">
        <f t="shared" si="29"/>
        <v>0</v>
      </c>
      <c r="CD14" s="71">
        <f t="shared" si="30"/>
        <v>0</v>
      </c>
      <c r="CE14" s="71">
        <f t="shared" si="31"/>
        <v>0</v>
      </c>
      <c r="CF14" s="71">
        <f t="shared" si="32"/>
        <v>0</v>
      </c>
      <c r="CG14" s="71">
        <f t="shared" si="33"/>
        <v>0</v>
      </c>
      <c r="CH14" s="261">
        <f t="shared" si="34"/>
        <v>0</v>
      </c>
      <c r="CI14" s="262">
        <f t="shared" si="35"/>
        <v>0</v>
      </c>
      <c r="CJ14" s="164"/>
      <c r="CK14" s="78"/>
      <c r="CL14" s="176"/>
      <c r="CM14" s="147"/>
      <c r="CN14" s="76"/>
      <c r="CO14" s="175"/>
      <c r="CP14" s="76"/>
      <c r="CQ14" s="127"/>
      <c r="CR14" s="127"/>
      <c r="CS14" s="55" t="str">
        <f t="shared" si="36"/>
        <v>HILDA SERRANO</v>
      </c>
      <c r="CT14" s="185" t="str">
        <f>+'SEMANA DEL 2 AL 7-3-26'!CS14</f>
        <v>CC-60.413.802</v>
      </c>
      <c r="CU14" s="292">
        <f t="shared" si="37"/>
        <v>0</v>
      </c>
      <c r="CV14" s="292">
        <f t="shared" si="38"/>
        <v>0</v>
      </c>
      <c r="CW14" s="292"/>
      <c r="CX14" s="292"/>
      <c r="CY14" s="292">
        <f t="shared" si="39"/>
        <v>0</v>
      </c>
      <c r="CZ14" s="301"/>
      <c r="DA14" s="301"/>
      <c r="DB14" s="302">
        <f t="shared" si="40"/>
        <v>0</v>
      </c>
      <c r="DC14" s="303"/>
      <c r="DD14" s="186">
        <f t="shared" si="41"/>
        <v>0</v>
      </c>
      <c r="DE14" s="317">
        <f t="shared" si="42"/>
        <v>0</v>
      </c>
      <c r="DF14" s="250"/>
      <c r="DG14" s="250"/>
    </row>
    <row r="15" spans="1:111" s="40" customFormat="1" ht="18" x14ac:dyDescent="0.25">
      <c r="A15" s="297" t="str">
        <f>+'SEMANA DEL 7 AL 14'!A15</f>
        <v xml:space="preserve">HUMBERTO LUNA </v>
      </c>
      <c r="B15" s="289">
        <f>+'SEMANA DEL 7 AL 14'!AX15</f>
        <v>0</v>
      </c>
      <c r="C15" s="289">
        <f>+'SEMANA DEL 7 AL 14'!AY15</f>
        <v>0</v>
      </c>
      <c r="D15" s="289">
        <f>+'SEMANA DEL 7 AL 14'!AZ15</f>
        <v>0</v>
      </c>
      <c r="E15" s="289">
        <f>+'SEMANA DEL 7 AL 14'!BA15</f>
        <v>0</v>
      </c>
      <c r="F15" s="289">
        <f>+'SEMANA DEL 7 AL 14'!BB15</f>
        <v>0</v>
      </c>
      <c r="G15" s="289">
        <f>+'SEMANA DEL 7 AL 14'!BC15</f>
        <v>0</v>
      </c>
      <c r="H15" s="289">
        <f>+'SEMANA DEL 7 AL 14'!BD15</f>
        <v>0</v>
      </c>
      <c r="I15" s="289">
        <f>+'SEMANA DEL 7 AL 14'!BE15</f>
        <v>0</v>
      </c>
      <c r="J15" s="289">
        <f>+'SEMANA DEL 7 AL 14'!BF15</f>
        <v>0</v>
      </c>
      <c r="K15" s="289">
        <f>+'SEMANA DEL 7 AL 14'!BG15</f>
        <v>0</v>
      </c>
      <c r="L15" s="289">
        <f>+'SEMANA DEL 7 AL 14'!BH15</f>
        <v>0</v>
      </c>
      <c r="M15" s="289">
        <f>+'SEMANA DEL 7 AL 14'!BI15</f>
        <v>0</v>
      </c>
      <c r="N15" s="289">
        <f>+'SEMANA DEL 7 AL 14'!BJ15</f>
        <v>0</v>
      </c>
      <c r="O15" s="289">
        <f>+'SEMANA DEL 7 AL 14'!BK15</f>
        <v>0</v>
      </c>
      <c r="P15" s="289">
        <f>+'SEMANA DEL 7 AL 14'!BL15</f>
        <v>0</v>
      </c>
      <c r="Q15" s="289">
        <f>+'SEMANA DEL 7 AL 14'!BM15</f>
        <v>0</v>
      </c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183"/>
      <c r="AO15" s="289"/>
      <c r="AP15" s="322"/>
      <c r="AQ15" s="322"/>
      <c r="AR15" s="322"/>
      <c r="AS15" s="322"/>
      <c r="AT15" s="322"/>
      <c r="AU15" s="322"/>
      <c r="AV15" s="322"/>
      <c r="AW15" s="322"/>
      <c r="AX15" s="190">
        <f>+B15+R15-AH15</f>
        <v>0</v>
      </c>
      <c r="AY15" s="190">
        <f>+C15+S15-AI15</f>
        <v>0</v>
      </c>
      <c r="AZ15" s="190">
        <f>+D15+T15-AJ15</f>
        <v>0</v>
      </c>
      <c r="BA15" s="190">
        <f>+E15+U15-AK15</f>
        <v>0</v>
      </c>
      <c r="BB15" s="190">
        <f t="shared" si="5"/>
        <v>0</v>
      </c>
      <c r="BC15" s="190">
        <f t="shared" si="6"/>
        <v>0</v>
      </c>
      <c r="BD15" s="190">
        <f t="shared" si="7"/>
        <v>0</v>
      </c>
      <c r="BE15" s="190">
        <f t="shared" si="8"/>
        <v>0</v>
      </c>
      <c r="BF15" s="190">
        <f t="shared" si="9"/>
        <v>0</v>
      </c>
      <c r="BG15" s="190">
        <f t="shared" si="10"/>
        <v>0</v>
      </c>
      <c r="BH15" s="190">
        <f t="shared" si="11"/>
        <v>0</v>
      </c>
      <c r="BI15" s="190">
        <f t="shared" si="12"/>
        <v>0</v>
      </c>
      <c r="BJ15" s="190">
        <f t="shared" si="13"/>
        <v>0</v>
      </c>
      <c r="BK15" s="190">
        <f t="shared" si="14"/>
        <v>0</v>
      </c>
      <c r="BL15" s="190">
        <f t="shared" si="15"/>
        <v>0</v>
      </c>
      <c r="BM15" s="190">
        <f t="shared" si="16"/>
        <v>0</v>
      </c>
      <c r="BN15" s="190"/>
      <c r="BO15" s="258">
        <f t="shared" si="17"/>
        <v>0</v>
      </c>
      <c r="BP15" s="71">
        <f t="shared" si="18"/>
        <v>0</v>
      </c>
      <c r="BQ15" s="112">
        <f t="shared" si="19"/>
        <v>0</v>
      </c>
      <c r="BR15" s="112">
        <f t="shared" si="20"/>
        <v>0</v>
      </c>
      <c r="BS15" s="112">
        <f t="shared" si="21"/>
        <v>0</v>
      </c>
      <c r="BT15" s="112">
        <f t="shared" si="22"/>
        <v>0</v>
      </c>
      <c r="BU15" s="112">
        <f t="shared" si="23"/>
        <v>0</v>
      </c>
      <c r="BV15" s="112">
        <f t="shared" si="24"/>
        <v>0</v>
      </c>
      <c r="BW15" s="112">
        <f t="shared" si="25"/>
        <v>0</v>
      </c>
      <c r="BX15" s="112">
        <f t="shared" si="26"/>
        <v>0</v>
      </c>
      <c r="BY15" s="71">
        <f t="shared" si="27"/>
        <v>0</v>
      </c>
      <c r="BZ15" s="112">
        <f t="shared" si="28"/>
        <v>0</v>
      </c>
      <c r="CA15" s="233"/>
      <c r="CB15" s="233"/>
      <c r="CC15" s="71">
        <f t="shared" si="29"/>
        <v>0</v>
      </c>
      <c r="CD15" s="71">
        <f t="shared" si="30"/>
        <v>0</v>
      </c>
      <c r="CE15" s="71">
        <f t="shared" si="31"/>
        <v>0</v>
      </c>
      <c r="CF15" s="71">
        <f t="shared" si="32"/>
        <v>0</v>
      </c>
      <c r="CG15" s="71">
        <f t="shared" si="33"/>
        <v>0</v>
      </c>
      <c r="CH15" s="261">
        <f t="shared" si="34"/>
        <v>0</v>
      </c>
      <c r="CI15" s="262">
        <f t="shared" si="35"/>
        <v>0</v>
      </c>
      <c r="CJ15" s="164"/>
      <c r="CK15" s="78"/>
      <c r="CL15" s="176"/>
      <c r="CM15" s="147"/>
      <c r="CN15" s="76"/>
      <c r="CO15" s="175"/>
      <c r="CP15" s="76"/>
      <c r="CQ15" s="127"/>
      <c r="CR15" s="127"/>
      <c r="CS15" s="55" t="str">
        <f t="shared" si="36"/>
        <v xml:space="preserve">HUMBERTO LUNA </v>
      </c>
      <c r="CT15" s="185" t="str">
        <f>+'SEMANA DEL 2 AL 7-3-26'!CS15</f>
        <v>V-25.344.223</v>
      </c>
      <c r="CU15" s="292">
        <f t="shared" si="37"/>
        <v>0</v>
      </c>
      <c r="CV15" s="292">
        <f t="shared" si="38"/>
        <v>0</v>
      </c>
      <c r="CW15" s="292"/>
      <c r="CX15" s="292"/>
      <c r="CY15" s="292">
        <f t="shared" si="39"/>
        <v>0</v>
      </c>
      <c r="CZ15" s="301"/>
      <c r="DA15" s="301"/>
      <c r="DB15" s="302">
        <f t="shared" si="40"/>
        <v>0</v>
      </c>
      <c r="DC15" s="303"/>
      <c r="DD15" s="186">
        <f t="shared" si="41"/>
        <v>0</v>
      </c>
      <c r="DE15" s="317">
        <f t="shared" si="42"/>
        <v>0</v>
      </c>
      <c r="DF15" s="250"/>
      <c r="DG15" s="250"/>
    </row>
    <row r="16" spans="1:111" s="40" customFormat="1" ht="18" x14ac:dyDescent="0.25">
      <c r="A16" s="297" t="str">
        <f>+'SEMANA DEL 7 AL 14'!A16</f>
        <v>JOSE EBLAN GIRON</v>
      </c>
      <c r="B16" s="289">
        <f>+'SEMANA DEL 7 AL 14'!AX16</f>
        <v>0.70000000000000018</v>
      </c>
      <c r="C16" s="289">
        <f>+'SEMANA DEL 7 AL 14'!AY16</f>
        <v>1.2599999999999998</v>
      </c>
      <c r="D16" s="289">
        <f>+'SEMANA DEL 7 AL 14'!AZ16</f>
        <v>4.8999999999999986</v>
      </c>
      <c r="E16" s="289">
        <f>+'SEMANA DEL 7 AL 14'!BA16</f>
        <v>1</v>
      </c>
      <c r="F16" s="289">
        <f>+'SEMANA DEL 7 AL 14'!BB16</f>
        <v>0</v>
      </c>
      <c r="G16" s="289">
        <f>+'SEMANA DEL 7 AL 14'!BC16</f>
        <v>0</v>
      </c>
      <c r="H16" s="289">
        <f>+'SEMANA DEL 7 AL 14'!BD16</f>
        <v>0</v>
      </c>
      <c r="I16" s="289">
        <f>+'SEMANA DEL 7 AL 14'!BE16</f>
        <v>1</v>
      </c>
      <c r="J16" s="289">
        <f>+'SEMANA DEL 7 AL 14'!BF16</f>
        <v>0</v>
      </c>
      <c r="K16" s="289">
        <f>+'SEMANA DEL 7 AL 14'!BG16</f>
        <v>0</v>
      </c>
      <c r="L16" s="289">
        <f>+'SEMANA DEL 7 AL 14'!BH16</f>
        <v>0</v>
      </c>
      <c r="M16" s="289">
        <f>+'SEMANA DEL 7 AL 14'!BI16</f>
        <v>0</v>
      </c>
      <c r="N16" s="289">
        <f>+'SEMANA DEL 7 AL 14'!BJ16</f>
        <v>0</v>
      </c>
      <c r="O16" s="289">
        <f>+'SEMANA DEL 7 AL 14'!BK16</f>
        <v>0</v>
      </c>
      <c r="P16" s="289">
        <f>+'SEMANA DEL 7 AL 14'!BL16</f>
        <v>0</v>
      </c>
      <c r="Q16" s="289">
        <f>+'SEMANA DEL 7 AL 14'!BM16</f>
        <v>0</v>
      </c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183"/>
      <c r="AO16" s="289"/>
      <c r="AP16" s="289"/>
      <c r="AQ16" s="289"/>
      <c r="AR16" s="289"/>
      <c r="AS16" s="289"/>
      <c r="AT16" s="289"/>
      <c r="AU16" s="289"/>
      <c r="AV16" s="322"/>
      <c r="AW16" s="322"/>
      <c r="AX16" s="190">
        <f t="shared" si="1"/>
        <v>0.70000000000000018</v>
      </c>
      <c r="AY16" s="190">
        <f t="shared" si="2"/>
        <v>1.2599999999999998</v>
      </c>
      <c r="AZ16" s="190">
        <f t="shared" si="3"/>
        <v>4.8999999999999986</v>
      </c>
      <c r="BA16" s="190">
        <f t="shared" si="4"/>
        <v>1</v>
      </c>
      <c r="BB16" s="190">
        <f t="shared" si="5"/>
        <v>0</v>
      </c>
      <c r="BC16" s="190">
        <f t="shared" si="6"/>
        <v>0</v>
      </c>
      <c r="BD16" s="190">
        <f t="shared" si="7"/>
        <v>0</v>
      </c>
      <c r="BE16" s="190">
        <f t="shared" si="8"/>
        <v>1</v>
      </c>
      <c r="BF16" s="190">
        <f t="shared" si="9"/>
        <v>0</v>
      </c>
      <c r="BG16" s="190">
        <f t="shared" si="10"/>
        <v>0</v>
      </c>
      <c r="BH16" s="190">
        <f t="shared" si="11"/>
        <v>0</v>
      </c>
      <c r="BI16" s="190">
        <f t="shared" si="12"/>
        <v>0</v>
      </c>
      <c r="BJ16" s="190">
        <f t="shared" si="13"/>
        <v>0</v>
      </c>
      <c r="BK16" s="190">
        <f t="shared" si="14"/>
        <v>0</v>
      </c>
      <c r="BL16" s="190">
        <f t="shared" si="15"/>
        <v>0</v>
      </c>
      <c r="BM16" s="190">
        <f t="shared" si="16"/>
        <v>0</v>
      </c>
      <c r="BN16" s="190"/>
      <c r="BO16" s="258">
        <f t="shared" si="17"/>
        <v>0</v>
      </c>
      <c r="BP16" s="71">
        <f t="shared" si="18"/>
        <v>0</v>
      </c>
      <c r="BQ16" s="112">
        <f t="shared" si="19"/>
        <v>0</v>
      </c>
      <c r="BR16" s="112">
        <f t="shared" si="20"/>
        <v>0</v>
      </c>
      <c r="BS16" s="112">
        <f t="shared" si="21"/>
        <v>0</v>
      </c>
      <c r="BT16" s="112">
        <f t="shared" si="22"/>
        <v>0</v>
      </c>
      <c r="BU16" s="112">
        <f t="shared" si="23"/>
        <v>0</v>
      </c>
      <c r="BV16" s="112">
        <f t="shared" si="24"/>
        <v>0</v>
      </c>
      <c r="BW16" s="112">
        <f t="shared" si="25"/>
        <v>0</v>
      </c>
      <c r="BX16" s="112">
        <f t="shared" si="26"/>
        <v>0</v>
      </c>
      <c r="BY16" s="71">
        <f t="shared" si="27"/>
        <v>0</v>
      </c>
      <c r="BZ16" s="112">
        <f t="shared" si="28"/>
        <v>0</v>
      </c>
      <c r="CA16" s="233"/>
      <c r="CB16" s="233"/>
      <c r="CC16" s="71">
        <f t="shared" si="29"/>
        <v>0</v>
      </c>
      <c r="CD16" s="71">
        <f t="shared" si="30"/>
        <v>0</v>
      </c>
      <c r="CE16" s="71">
        <f t="shared" si="31"/>
        <v>0</v>
      </c>
      <c r="CF16" s="71">
        <f t="shared" si="32"/>
        <v>0</v>
      </c>
      <c r="CG16" s="71">
        <f t="shared" si="33"/>
        <v>0</v>
      </c>
      <c r="CH16" s="261">
        <f t="shared" si="34"/>
        <v>0</v>
      </c>
      <c r="CI16" s="262">
        <f t="shared" si="35"/>
        <v>0</v>
      </c>
      <c r="CJ16" s="164"/>
      <c r="CK16" s="78"/>
      <c r="CL16" s="176"/>
      <c r="CM16" s="147"/>
      <c r="CN16" s="76"/>
      <c r="CO16" s="175"/>
      <c r="CP16" s="76"/>
      <c r="CQ16" s="127"/>
      <c r="CR16" s="127"/>
      <c r="CS16" s="55" t="str">
        <f t="shared" si="36"/>
        <v>JOSE EBLAN GIRON</v>
      </c>
      <c r="CT16" s="185" t="str">
        <f>+'SEMANA DEL 2 AL 7-3-26'!CS16</f>
        <v>V-9.130.173</v>
      </c>
      <c r="CU16" s="292">
        <f t="shared" si="37"/>
        <v>0</v>
      </c>
      <c r="CV16" s="292">
        <f t="shared" si="38"/>
        <v>0</v>
      </c>
      <c r="CW16" s="292"/>
      <c r="CX16" s="292"/>
      <c r="CY16" s="292">
        <f t="shared" si="39"/>
        <v>0</v>
      </c>
      <c r="CZ16" s="301"/>
      <c r="DA16" s="301"/>
      <c r="DB16" s="302">
        <f t="shared" si="40"/>
        <v>0</v>
      </c>
      <c r="DC16" s="303"/>
      <c r="DD16" s="186">
        <f t="shared" si="41"/>
        <v>0</v>
      </c>
      <c r="DE16" s="317">
        <f t="shared" si="42"/>
        <v>0</v>
      </c>
      <c r="DF16" s="250"/>
      <c r="DG16" s="250"/>
    </row>
    <row r="17" spans="1:111" s="40" customFormat="1" ht="18" x14ac:dyDescent="0.25">
      <c r="A17" s="297" t="str">
        <f>+'SEMANA DEL 7 AL 14'!A17</f>
        <v xml:space="preserve">JOSE JURADO </v>
      </c>
      <c r="B17" s="289">
        <f>+'SEMANA DEL 7 AL 14'!AX17</f>
        <v>0</v>
      </c>
      <c r="C17" s="289">
        <f>+'SEMANA DEL 7 AL 14'!AY17</f>
        <v>0</v>
      </c>
      <c r="D17" s="289">
        <f>+'SEMANA DEL 7 AL 14'!AZ17</f>
        <v>0</v>
      </c>
      <c r="E17" s="289">
        <f>+'SEMANA DEL 7 AL 14'!BA17</f>
        <v>0</v>
      </c>
      <c r="F17" s="289">
        <f>+'SEMANA DEL 7 AL 14'!BB17</f>
        <v>0</v>
      </c>
      <c r="G17" s="289">
        <f>+'SEMANA DEL 7 AL 14'!BC17</f>
        <v>0</v>
      </c>
      <c r="H17" s="289">
        <f>+'SEMANA DEL 7 AL 14'!BD17</f>
        <v>0</v>
      </c>
      <c r="I17" s="289">
        <f>+'SEMANA DEL 7 AL 14'!BE17</f>
        <v>0</v>
      </c>
      <c r="J17" s="289">
        <f>+'SEMANA DEL 7 AL 14'!BF17</f>
        <v>0</v>
      </c>
      <c r="K17" s="289">
        <f>+'SEMANA DEL 7 AL 14'!BG17</f>
        <v>0</v>
      </c>
      <c r="L17" s="289">
        <f>+'SEMANA DEL 7 AL 14'!BH17</f>
        <v>0</v>
      </c>
      <c r="M17" s="289">
        <f>+'SEMANA DEL 7 AL 14'!BI17</f>
        <v>0</v>
      </c>
      <c r="N17" s="289">
        <f>+'SEMANA DEL 7 AL 14'!BJ17</f>
        <v>0</v>
      </c>
      <c r="O17" s="289">
        <f>+'SEMANA DEL 7 AL 14'!BK17</f>
        <v>0</v>
      </c>
      <c r="P17" s="289">
        <f>+'SEMANA DEL 7 AL 14'!BL17</f>
        <v>0</v>
      </c>
      <c r="Q17" s="289">
        <f>+'SEMANA DEL 7 AL 14'!BM17</f>
        <v>0</v>
      </c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98"/>
      <c r="AH17" s="289"/>
      <c r="AI17" s="289"/>
      <c r="AJ17" s="289"/>
      <c r="AK17" s="289"/>
      <c r="AL17" s="289"/>
      <c r="AM17" s="289"/>
      <c r="AN17" s="289"/>
      <c r="AO17" s="289"/>
      <c r="AP17" s="322"/>
      <c r="AQ17" s="322"/>
      <c r="AR17" s="322"/>
      <c r="AS17" s="322"/>
      <c r="AT17" s="322"/>
      <c r="AU17" s="322"/>
      <c r="AV17" s="322"/>
      <c r="AW17" s="322"/>
      <c r="AX17" s="190">
        <f t="shared" si="1"/>
        <v>0</v>
      </c>
      <c r="AY17" s="190">
        <f t="shared" si="2"/>
        <v>0</v>
      </c>
      <c r="AZ17" s="190">
        <f t="shared" si="3"/>
        <v>0</v>
      </c>
      <c r="BA17" s="190">
        <f t="shared" si="4"/>
        <v>0</v>
      </c>
      <c r="BB17" s="190">
        <f t="shared" si="5"/>
        <v>0</v>
      </c>
      <c r="BC17" s="190">
        <f t="shared" si="6"/>
        <v>0</v>
      </c>
      <c r="BD17" s="190">
        <f t="shared" si="7"/>
        <v>0</v>
      </c>
      <c r="BE17" s="190">
        <f t="shared" si="8"/>
        <v>0</v>
      </c>
      <c r="BF17" s="190">
        <f t="shared" si="9"/>
        <v>0</v>
      </c>
      <c r="BG17" s="190">
        <f t="shared" si="10"/>
        <v>0</v>
      </c>
      <c r="BH17" s="190">
        <f t="shared" si="11"/>
        <v>0</v>
      </c>
      <c r="BI17" s="190">
        <f t="shared" si="12"/>
        <v>0</v>
      </c>
      <c r="BJ17" s="190">
        <f t="shared" si="13"/>
        <v>0</v>
      </c>
      <c r="BK17" s="190">
        <f t="shared" si="14"/>
        <v>0</v>
      </c>
      <c r="BL17" s="190">
        <f t="shared" si="15"/>
        <v>0</v>
      </c>
      <c r="BM17" s="190">
        <f t="shared" si="16"/>
        <v>0</v>
      </c>
      <c r="BN17" s="190"/>
      <c r="BO17" s="258">
        <f t="shared" si="17"/>
        <v>0</v>
      </c>
      <c r="BP17" s="71">
        <f t="shared" si="18"/>
        <v>0</v>
      </c>
      <c r="BQ17" s="112">
        <f t="shared" si="19"/>
        <v>0</v>
      </c>
      <c r="BR17" s="112">
        <f t="shared" si="20"/>
        <v>0</v>
      </c>
      <c r="BS17" s="112">
        <f t="shared" si="21"/>
        <v>0</v>
      </c>
      <c r="BT17" s="112">
        <f t="shared" si="22"/>
        <v>0</v>
      </c>
      <c r="BU17" s="112">
        <f t="shared" si="23"/>
        <v>0</v>
      </c>
      <c r="BV17" s="112">
        <f t="shared" si="24"/>
        <v>0</v>
      </c>
      <c r="BW17" s="112">
        <f t="shared" si="25"/>
        <v>0</v>
      </c>
      <c r="BX17" s="112">
        <f t="shared" si="26"/>
        <v>0</v>
      </c>
      <c r="BY17" s="71">
        <f t="shared" si="27"/>
        <v>0</v>
      </c>
      <c r="BZ17" s="112">
        <f t="shared" si="28"/>
        <v>0</v>
      </c>
      <c r="CA17" s="233"/>
      <c r="CB17" s="233"/>
      <c r="CC17" s="71">
        <f t="shared" si="29"/>
        <v>0</v>
      </c>
      <c r="CD17" s="71">
        <f t="shared" si="30"/>
        <v>0</v>
      </c>
      <c r="CE17" s="71">
        <f t="shared" si="31"/>
        <v>0</v>
      </c>
      <c r="CF17" s="71">
        <f t="shared" si="32"/>
        <v>0</v>
      </c>
      <c r="CG17" s="71">
        <f t="shared" si="33"/>
        <v>0</v>
      </c>
      <c r="CH17" s="261">
        <f t="shared" si="34"/>
        <v>0</v>
      </c>
      <c r="CI17" s="262">
        <f t="shared" si="35"/>
        <v>0</v>
      </c>
      <c r="CJ17" s="164"/>
      <c r="CK17" s="78"/>
      <c r="CL17" s="176"/>
      <c r="CM17" s="147"/>
      <c r="CN17" s="76"/>
      <c r="CO17" s="175"/>
      <c r="CP17" s="76"/>
      <c r="CQ17" s="127"/>
      <c r="CR17" s="127"/>
      <c r="CS17" s="55" t="str">
        <f t="shared" si="36"/>
        <v xml:space="preserve">JOSE JURADO </v>
      </c>
      <c r="CT17" s="185" t="str">
        <f>+'SEMANA DEL 2 AL 7-3-26'!CS17</f>
        <v>V-8.986.394</v>
      </c>
      <c r="CU17" s="292">
        <f t="shared" si="37"/>
        <v>0</v>
      </c>
      <c r="CV17" s="292">
        <f t="shared" si="38"/>
        <v>0</v>
      </c>
      <c r="CW17" s="292"/>
      <c r="CX17" s="292"/>
      <c r="CY17" s="292">
        <f t="shared" si="39"/>
        <v>0</v>
      </c>
      <c r="CZ17" s="301"/>
      <c r="DA17" s="301"/>
      <c r="DB17" s="302">
        <f t="shared" si="40"/>
        <v>0</v>
      </c>
      <c r="DC17" s="303"/>
      <c r="DD17" s="186">
        <f t="shared" si="41"/>
        <v>0</v>
      </c>
      <c r="DE17" s="317">
        <f t="shared" si="42"/>
        <v>0</v>
      </c>
      <c r="DF17" s="250"/>
      <c r="DG17" s="250"/>
    </row>
    <row r="18" spans="1:111" s="40" customFormat="1" ht="18" x14ac:dyDescent="0.25">
      <c r="A18" s="297" t="str">
        <f>+'SEMANA DEL 7 AL 14'!A18</f>
        <v xml:space="preserve">KARINA SILVA </v>
      </c>
      <c r="B18" s="289">
        <f>+'SEMANA DEL 7 AL 14'!AX18</f>
        <v>0.25</v>
      </c>
      <c r="C18" s="289">
        <f>+'SEMANA DEL 7 AL 14'!AY18</f>
        <v>0.45000000000000107</v>
      </c>
      <c r="D18" s="289">
        <f>+'SEMANA DEL 7 AL 14'!AZ18</f>
        <v>9.1000000000000014</v>
      </c>
      <c r="E18" s="289">
        <f>+'SEMANA DEL 7 AL 14'!BA18</f>
        <v>0</v>
      </c>
      <c r="F18" s="289">
        <f>+'SEMANA DEL 7 AL 14'!BB18</f>
        <v>0</v>
      </c>
      <c r="G18" s="289">
        <f>+'SEMANA DEL 7 AL 14'!BC18</f>
        <v>0</v>
      </c>
      <c r="H18" s="289">
        <f>+'SEMANA DEL 7 AL 14'!BD18</f>
        <v>0</v>
      </c>
      <c r="I18" s="289">
        <f>+'SEMANA DEL 7 AL 14'!BE18</f>
        <v>0</v>
      </c>
      <c r="J18" s="289">
        <f>+'SEMANA DEL 7 AL 14'!BF18</f>
        <v>0</v>
      </c>
      <c r="K18" s="289">
        <f>+'SEMANA DEL 7 AL 14'!BG18</f>
        <v>0</v>
      </c>
      <c r="L18" s="289">
        <f>+'SEMANA DEL 7 AL 14'!BH18</f>
        <v>0</v>
      </c>
      <c r="M18" s="289">
        <f>+'SEMANA DEL 7 AL 14'!BI18</f>
        <v>0</v>
      </c>
      <c r="N18" s="289">
        <f>+'SEMANA DEL 7 AL 14'!BJ18</f>
        <v>0</v>
      </c>
      <c r="O18" s="289">
        <f>+'SEMANA DEL 7 AL 14'!BK18</f>
        <v>0</v>
      </c>
      <c r="P18" s="289">
        <f>+'SEMANA DEL 7 AL 14'!BL18</f>
        <v>0</v>
      </c>
      <c r="Q18" s="289">
        <f>+'SEMANA DEL 7 AL 14'!BM18</f>
        <v>0</v>
      </c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98"/>
      <c r="AH18" s="289"/>
      <c r="AI18" s="289"/>
      <c r="AJ18" s="289"/>
      <c r="AK18" s="289"/>
      <c r="AL18" s="299"/>
      <c r="AM18" s="299"/>
      <c r="AN18" s="183"/>
      <c r="AO18" s="289"/>
      <c r="AP18" s="322"/>
      <c r="AQ18" s="322"/>
      <c r="AR18" s="322"/>
      <c r="AS18" s="322"/>
      <c r="AT18" s="322"/>
      <c r="AU18" s="322"/>
      <c r="AV18" s="322"/>
      <c r="AW18" s="322"/>
      <c r="AX18" s="190">
        <f t="shared" si="1"/>
        <v>0.25</v>
      </c>
      <c r="AY18" s="190">
        <f t="shared" si="2"/>
        <v>0.45000000000000107</v>
      </c>
      <c r="AZ18" s="190">
        <f t="shared" si="3"/>
        <v>9.1000000000000014</v>
      </c>
      <c r="BA18" s="190">
        <f t="shared" si="4"/>
        <v>0</v>
      </c>
      <c r="BB18" s="190">
        <f t="shared" si="5"/>
        <v>0</v>
      </c>
      <c r="BC18" s="190">
        <f t="shared" si="6"/>
        <v>0</v>
      </c>
      <c r="BD18" s="190">
        <f t="shared" si="7"/>
        <v>0</v>
      </c>
      <c r="BE18" s="190">
        <f t="shared" si="8"/>
        <v>0</v>
      </c>
      <c r="BF18" s="190">
        <f t="shared" si="9"/>
        <v>0</v>
      </c>
      <c r="BG18" s="190">
        <f t="shared" si="10"/>
        <v>0</v>
      </c>
      <c r="BH18" s="190">
        <f t="shared" si="11"/>
        <v>0</v>
      </c>
      <c r="BI18" s="190">
        <f t="shared" si="12"/>
        <v>0</v>
      </c>
      <c r="BJ18" s="190">
        <f t="shared" si="13"/>
        <v>0</v>
      </c>
      <c r="BK18" s="190">
        <f t="shared" si="14"/>
        <v>0</v>
      </c>
      <c r="BL18" s="190">
        <f t="shared" si="15"/>
        <v>0</v>
      </c>
      <c r="BM18" s="190">
        <f t="shared" si="16"/>
        <v>0</v>
      </c>
      <c r="BN18" s="190"/>
      <c r="BO18" s="258">
        <f t="shared" si="17"/>
        <v>0</v>
      </c>
      <c r="BP18" s="71">
        <f t="shared" si="18"/>
        <v>0</v>
      </c>
      <c r="BQ18" s="112">
        <f t="shared" si="19"/>
        <v>0</v>
      </c>
      <c r="BR18" s="112">
        <f t="shared" si="20"/>
        <v>0</v>
      </c>
      <c r="BS18" s="112">
        <f t="shared" si="21"/>
        <v>0</v>
      </c>
      <c r="BT18" s="112">
        <f t="shared" si="22"/>
        <v>0</v>
      </c>
      <c r="BU18" s="112">
        <f t="shared" si="23"/>
        <v>0</v>
      </c>
      <c r="BV18" s="112">
        <f t="shared" si="24"/>
        <v>0</v>
      </c>
      <c r="BW18" s="112">
        <f t="shared" si="25"/>
        <v>0</v>
      </c>
      <c r="BX18" s="112">
        <f t="shared" si="26"/>
        <v>0</v>
      </c>
      <c r="BY18" s="71">
        <f t="shared" si="27"/>
        <v>0</v>
      </c>
      <c r="BZ18" s="112">
        <f t="shared" si="28"/>
        <v>0</v>
      </c>
      <c r="CA18" s="233"/>
      <c r="CB18" s="233"/>
      <c r="CC18" s="71">
        <f t="shared" si="29"/>
        <v>0</v>
      </c>
      <c r="CD18" s="71">
        <f t="shared" si="30"/>
        <v>0</v>
      </c>
      <c r="CE18" s="71">
        <f t="shared" si="31"/>
        <v>0</v>
      </c>
      <c r="CF18" s="71">
        <f t="shared" si="32"/>
        <v>0</v>
      </c>
      <c r="CG18" s="71">
        <f t="shared" si="33"/>
        <v>0</v>
      </c>
      <c r="CH18" s="261">
        <f t="shared" si="34"/>
        <v>0</v>
      </c>
      <c r="CI18" s="262">
        <f t="shared" si="35"/>
        <v>0</v>
      </c>
      <c r="CJ18" s="164"/>
      <c r="CK18" s="78"/>
      <c r="CL18" s="176"/>
      <c r="CM18" s="147"/>
      <c r="CN18" s="76"/>
      <c r="CO18" s="175"/>
      <c r="CP18" s="76"/>
      <c r="CQ18" s="127"/>
      <c r="CR18" s="127"/>
      <c r="CS18" s="55" t="str">
        <f t="shared" si="36"/>
        <v xml:space="preserve">KARINA SILVA </v>
      </c>
      <c r="CT18" s="185" t="str">
        <f>+'SEMANA DEL 2 AL 7-3-26'!CS18</f>
        <v>V-17.465.799</v>
      </c>
      <c r="CU18" s="292">
        <f t="shared" si="37"/>
        <v>0</v>
      </c>
      <c r="CV18" s="292">
        <f t="shared" si="38"/>
        <v>0</v>
      </c>
      <c r="CW18" s="292"/>
      <c r="CX18" s="292"/>
      <c r="CY18" s="292">
        <f t="shared" si="39"/>
        <v>0</v>
      </c>
      <c r="CZ18" s="301"/>
      <c r="DA18" s="301"/>
      <c r="DB18" s="302">
        <f t="shared" si="40"/>
        <v>0</v>
      </c>
      <c r="DC18" s="303"/>
      <c r="DD18" s="186">
        <f t="shared" si="41"/>
        <v>0</v>
      </c>
      <c r="DE18" s="317">
        <f t="shared" si="42"/>
        <v>0</v>
      </c>
      <c r="DF18" s="250"/>
      <c r="DG18" s="250"/>
    </row>
    <row r="19" spans="1:111" s="40" customFormat="1" ht="18" x14ac:dyDescent="0.25">
      <c r="A19" s="297" t="str">
        <f>+'SEMANA DEL 7 AL 14'!A19</f>
        <v>LUZ MERY ABAUNZA</v>
      </c>
      <c r="B19" s="289">
        <f>+'SEMANA DEL 7 AL 14'!AX19</f>
        <v>0</v>
      </c>
      <c r="C19" s="289">
        <f>+'SEMANA DEL 7 AL 14'!AY19</f>
        <v>0</v>
      </c>
      <c r="D19" s="289">
        <f>+'SEMANA DEL 7 AL 14'!AZ19</f>
        <v>0</v>
      </c>
      <c r="E19" s="289">
        <f>+'SEMANA DEL 7 AL 14'!BA19</f>
        <v>0</v>
      </c>
      <c r="F19" s="289">
        <f>+'SEMANA DEL 7 AL 14'!BB19</f>
        <v>0</v>
      </c>
      <c r="G19" s="289">
        <f>+'SEMANA DEL 7 AL 14'!BC19</f>
        <v>0</v>
      </c>
      <c r="H19" s="289">
        <f>+'SEMANA DEL 7 AL 14'!BD19</f>
        <v>0</v>
      </c>
      <c r="I19" s="289">
        <f>+'SEMANA DEL 7 AL 14'!BE19</f>
        <v>0</v>
      </c>
      <c r="J19" s="289">
        <f>+'SEMANA DEL 7 AL 14'!BF19</f>
        <v>0</v>
      </c>
      <c r="K19" s="289">
        <f>+'SEMANA DEL 7 AL 14'!BG19</f>
        <v>0</v>
      </c>
      <c r="L19" s="289">
        <f>+'SEMANA DEL 7 AL 14'!BH19</f>
        <v>0</v>
      </c>
      <c r="M19" s="289">
        <f>+'SEMANA DEL 7 AL 14'!BI19</f>
        <v>0</v>
      </c>
      <c r="N19" s="289">
        <f>+'SEMANA DEL 7 AL 14'!BJ19</f>
        <v>0</v>
      </c>
      <c r="O19" s="289">
        <f>+'SEMANA DEL 7 AL 14'!BK19</f>
        <v>0</v>
      </c>
      <c r="P19" s="289">
        <f>+'SEMANA DEL 7 AL 14'!BL19</f>
        <v>0</v>
      </c>
      <c r="Q19" s="289">
        <f>+'SEMANA DEL 7 AL 14'!BM19</f>
        <v>0</v>
      </c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98"/>
      <c r="AH19" s="289"/>
      <c r="AI19" s="289"/>
      <c r="AJ19" s="289"/>
      <c r="AK19" s="289"/>
      <c r="AL19" s="289"/>
      <c r="AM19" s="289"/>
      <c r="AN19" s="289"/>
      <c r="AO19" s="289"/>
      <c r="AP19" s="322"/>
      <c r="AQ19" s="322"/>
      <c r="AR19" s="322"/>
      <c r="AS19" s="322"/>
      <c r="AT19" s="322"/>
      <c r="AU19" s="322"/>
      <c r="AV19" s="322"/>
      <c r="AW19" s="322"/>
      <c r="AX19" s="190">
        <f t="shared" si="1"/>
        <v>0</v>
      </c>
      <c r="AY19" s="190">
        <f t="shared" si="2"/>
        <v>0</v>
      </c>
      <c r="AZ19" s="190">
        <f t="shared" si="3"/>
        <v>0</v>
      </c>
      <c r="BA19" s="190">
        <f t="shared" si="4"/>
        <v>0</v>
      </c>
      <c r="BB19" s="190">
        <f t="shared" si="5"/>
        <v>0</v>
      </c>
      <c r="BC19" s="190">
        <f t="shared" si="6"/>
        <v>0</v>
      </c>
      <c r="BD19" s="190">
        <f t="shared" si="7"/>
        <v>0</v>
      </c>
      <c r="BE19" s="190">
        <f t="shared" si="8"/>
        <v>0</v>
      </c>
      <c r="BF19" s="190">
        <f t="shared" si="9"/>
        <v>0</v>
      </c>
      <c r="BG19" s="190">
        <f t="shared" si="10"/>
        <v>0</v>
      </c>
      <c r="BH19" s="190">
        <f t="shared" si="11"/>
        <v>0</v>
      </c>
      <c r="BI19" s="190">
        <f t="shared" si="12"/>
        <v>0</v>
      </c>
      <c r="BJ19" s="190">
        <f t="shared" si="13"/>
        <v>0</v>
      </c>
      <c r="BK19" s="190">
        <f t="shared" si="14"/>
        <v>0</v>
      </c>
      <c r="BL19" s="190">
        <f t="shared" si="15"/>
        <v>0</v>
      </c>
      <c r="BM19" s="190">
        <f t="shared" si="16"/>
        <v>0</v>
      </c>
      <c r="BN19" s="190"/>
      <c r="BO19" s="258">
        <f t="shared" si="17"/>
        <v>0</v>
      </c>
      <c r="BP19" s="71">
        <f t="shared" si="18"/>
        <v>0</v>
      </c>
      <c r="BQ19" s="112">
        <f t="shared" si="19"/>
        <v>0</v>
      </c>
      <c r="BR19" s="112">
        <f t="shared" si="20"/>
        <v>0</v>
      </c>
      <c r="BS19" s="112">
        <f t="shared" si="21"/>
        <v>0</v>
      </c>
      <c r="BT19" s="112">
        <f t="shared" si="22"/>
        <v>0</v>
      </c>
      <c r="BU19" s="112">
        <f t="shared" si="23"/>
        <v>0</v>
      </c>
      <c r="BV19" s="112">
        <f t="shared" si="24"/>
        <v>0</v>
      </c>
      <c r="BW19" s="112">
        <f t="shared" si="25"/>
        <v>0</v>
      </c>
      <c r="BX19" s="112">
        <f t="shared" si="26"/>
        <v>0</v>
      </c>
      <c r="BY19" s="71">
        <f t="shared" si="27"/>
        <v>0</v>
      </c>
      <c r="BZ19" s="112">
        <f t="shared" si="28"/>
        <v>0</v>
      </c>
      <c r="CA19" s="233"/>
      <c r="CB19" s="233"/>
      <c r="CC19" s="71">
        <f t="shared" si="29"/>
        <v>0</v>
      </c>
      <c r="CD19" s="71">
        <f t="shared" si="30"/>
        <v>0</v>
      </c>
      <c r="CE19" s="71">
        <f t="shared" si="31"/>
        <v>0</v>
      </c>
      <c r="CF19" s="71">
        <f t="shared" si="32"/>
        <v>0</v>
      </c>
      <c r="CG19" s="71">
        <f t="shared" si="33"/>
        <v>0</v>
      </c>
      <c r="CH19" s="261">
        <f t="shared" si="34"/>
        <v>0</v>
      </c>
      <c r="CI19" s="262">
        <f t="shared" si="35"/>
        <v>0</v>
      </c>
      <c r="CJ19" s="164"/>
      <c r="CK19" s="78"/>
      <c r="CL19" s="176"/>
      <c r="CM19" s="147"/>
      <c r="CN19" s="76"/>
      <c r="CO19" s="175"/>
      <c r="CP19" s="76"/>
      <c r="CQ19" s="127"/>
      <c r="CR19" s="127"/>
      <c r="CS19" s="55" t="str">
        <f t="shared" si="36"/>
        <v>LUZ MERY ABAUNZA</v>
      </c>
      <c r="CT19" s="185" t="str">
        <f>+'SEMANA DEL 2 AL 7-3-26'!CS19</f>
        <v>CC-60.407.054</v>
      </c>
      <c r="CU19" s="292">
        <f t="shared" si="37"/>
        <v>0</v>
      </c>
      <c r="CV19" s="292">
        <f t="shared" si="38"/>
        <v>0</v>
      </c>
      <c r="CW19" s="292"/>
      <c r="CX19" s="292"/>
      <c r="CY19" s="292">
        <f t="shared" si="39"/>
        <v>0</v>
      </c>
      <c r="CZ19" s="301"/>
      <c r="DA19" s="301"/>
      <c r="DB19" s="302">
        <f t="shared" si="40"/>
        <v>0</v>
      </c>
      <c r="DC19" s="303"/>
      <c r="DD19" s="186">
        <f t="shared" si="41"/>
        <v>0</v>
      </c>
      <c r="DE19" s="317">
        <f t="shared" si="42"/>
        <v>0</v>
      </c>
      <c r="DF19" s="250"/>
      <c r="DG19" s="250"/>
    </row>
    <row r="20" spans="1:111" s="40" customFormat="1" ht="18" x14ac:dyDescent="0.25">
      <c r="A20" s="297" t="str">
        <f>+'SEMANA DEL 7 AL 14'!A20</f>
        <v>LUIS ROJAS</v>
      </c>
      <c r="B20" s="289">
        <f>+'SEMANA DEL 7 AL 14'!AX20</f>
        <v>0</v>
      </c>
      <c r="C20" s="289">
        <f>+'SEMANA DEL 7 AL 14'!AY20</f>
        <v>0</v>
      </c>
      <c r="D20" s="289">
        <f>+'SEMANA DEL 7 AL 14'!AZ20</f>
        <v>0</v>
      </c>
      <c r="E20" s="289">
        <f>+'SEMANA DEL 7 AL 14'!BA20</f>
        <v>0</v>
      </c>
      <c r="F20" s="289">
        <f>+'SEMANA DEL 7 AL 14'!BB20</f>
        <v>0</v>
      </c>
      <c r="G20" s="289">
        <f>+'SEMANA DEL 7 AL 14'!BC20</f>
        <v>0</v>
      </c>
      <c r="H20" s="289">
        <f>+'SEMANA DEL 7 AL 14'!BD20</f>
        <v>0</v>
      </c>
      <c r="I20" s="289">
        <f>+'SEMANA DEL 7 AL 14'!BE20</f>
        <v>0</v>
      </c>
      <c r="J20" s="289">
        <f>+'SEMANA DEL 7 AL 14'!BF20</f>
        <v>0</v>
      </c>
      <c r="K20" s="289">
        <f>+'SEMANA DEL 7 AL 14'!BG20</f>
        <v>0</v>
      </c>
      <c r="L20" s="289">
        <f>+'SEMANA DEL 7 AL 14'!BH20</f>
        <v>0</v>
      </c>
      <c r="M20" s="289">
        <f>+'SEMANA DEL 7 AL 14'!BI20</f>
        <v>0</v>
      </c>
      <c r="N20" s="289">
        <f>+'SEMANA DEL 7 AL 14'!BJ20</f>
        <v>0</v>
      </c>
      <c r="O20" s="289">
        <f>+'SEMANA DEL 7 AL 14'!BK20</f>
        <v>0</v>
      </c>
      <c r="P20" s="289">
        <f>+'SEMANA DEL 7 AL 14'!BL20</f>
        <v>0</v>
      </c>
      <c r="Q20" s="289">
        <f>+'SEMANA DEL 7 AL 14'!BM20</f>
        <v>0</v>
      </c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98"/>
      <c r="AH20" s="289"/>
      <c r="AI20" s="289"/>
      <c r="AJ20" s="289"/>
      <c r="AK20" s="289"/>
      <c r="AL20" s="289"/>
      <c r="AM20" s="289"/>
      <c r="AN20" s="289"/>
      <c r="AO20" s="289"/>
      <c r="AP20" s="322"/>
      <c r="AQ20" s="322"/>
      <c r="AR20" s="322"/>
      <c r="AS20" s="322"/>
      <c r="AT20" s="322"/>
      <c r="AU20" s="322"/>
      <c r="AV20" s="322"/>
      <c r="AW20" s="322"/>
      <c r="AX20" s="190">
        <f t="shared" si="1"/>
        <v>0</v>
      </c>
      <c r="AY20" s="190">
        <f t="shared" si="2"/>
        <v>0</v>
      </c>
      <c r="AZ20" s="190">
        <f t="shared" si="3"/>
        <v>0</v>
      </c>
      <c r="BA20" s="190">
        <f t="shared" si="4"/>
        <v>0</v>
      </c>
      <c r="BB20" s="190">
        <f t="shared" si="5"/>
        <v>0</v>
      </c>
      <c r="BC20" s="190">
        <f t="shared" si="6"/>
        <v>0</v>
      </c>
      <c r="BD20" s="190">
        <f t="shared" si="7"/>
        <v>0</v>
      </c>
      <c r="BE20" s="190">
        <f t="shared" si="8"/>
        <v>0</v>
      </c>
      <c r="BF20" s="190">
        <f t="shared" si="9"/>
        <v>0</v>
      </c>
      <c r="BG20" s="190">
        <f t="shared" si="10"/>
        <v>0</v>
      </c>
      <c r="BH20" s="190">
        <f t="shared" si="11"/>
        <v>0</v>
      </c>
      <c r="BI20" s="190">
        <f t="shared" si="12"/>
        <v>0</v>
      </c>
      <c r="BJ20" s="190">
        <f t="shared" si="13"/>
        <v>0</v>
      </c>
      <c r="BK20" s="190">
        <f t="shared" si="14"/>
        <v>0</v>
      </c>
      <c r="BL20" s="190">
        <f t="shared" si="15"/>
        <v>0</v>
      </c>
      <c r="BM20" s="190">
        <f t="shared" si="16"/>
        <v>0</v>
      </c>
      <c r="BN20" s="190"/>
      <c r="BO20" s="258">
        <f t="shared" si="17"/>
        <v>0</v>
      </c>
      <c r="BP20" s="71">
        <f t="shared" si="18"/>
        <v>0</v>
      </c>
      <c r="BQ20" s="112">
        <f t="shared" si="19"/>
        <v>0</v>
      </c>
      <c r="BR20" s="112">
        <f t="shared" si="20"/>
        <v>0</v>
      </c>
      <c r="BS20" s="112">
        <f t="shared" si="21"/>
        <v>0</v>
      </c>
      <c r="BT20" s="112">
        <f t="shared" si="22"/>
        <v>0</v>
      </c>
      <c r="BU20" s="112">
        <f t="shared" si="23"/>
        <v>0</v>
      </c>
      <c r="BV20" s="112">
        <f t="shared" si="24"/>
        <v>0</v>
      </c>
      <c r="BW20" s="112">
        <f t="shared" si="25"/>
        <v>0</v>
      </c>
      <c r="BX20" s="112">
        <f t="shared" si="26"/>
        <v>0</v>
      </c>
      <c r="BY20" s="71">
        <f t="shared" si="27"/>
        <v>0</v>
      </c>
      <c r="BZ20" s="112">
        <f t="shared" si="28"/>
        <v>0</v>
      </c>
      <c r="CA20" s="233"/>
      <c r="CB20" s="233"/>
      <c r="CC20" s="71">
        <f t="shared" si="29"/>
        <v>0</v>
      </c>
      <c r="CD20" s="71">
        <f t="shared" si="30"/>
        <v>0</v>
      </c>
      <c r="CE20" s="71">
        <f t="shared" si="31"/>
        <v>0</v>
      </c>
      <c r="CF20" s="71">
        <f t="shared" si="32"/>
        <v>0</v>
      </c>
      <c r="CG20" s="71">
        <f t="shared" si="33"/>
        <v>0</v>
      </c>
      <c r="CH20" s="261">
        <f t="shared" si="34"/>
        <v>0</v>
      </c>
      <c r="CI20" s="262">
        <f t="shared" si="35"/>
        <v>0</v>
      </c>
      <c r="CJ20" s="164"/>
      <c r="CK20" s="78"/>
      <c r="CL20" s="176"/>
      <c r="CM20" s="147"/>
      <c r="CN20" s="76"/>
      <c r="CO20" s="175"/>
      <c r="CP20" s="76"/>
      <c r="CQ20" s="127"/>
      <c r="CR20" s="127"/>
      <c r="CS20" s="55" t="str">
        <f t="shared" si="36"/>
        <v>LUIS ROJAS</v>
      </c>
      <c r="CT20" s="185" t="str">
        <f>+'SEMANA DEL 2 AL 7-3-26'!CS20</f>
        <v>CC.79.336.610</v>
      </c>
      <c r="CU20" s="292">
        <f t="shared" si="37"/>
        <v>0</v>
      </c>
      <c r="CV20" s="292">
        <f t="shared" si="38"/>
        <v>0</v>
      </c>
      <c r="CW20" s="292"/>
      <c r="CX20" s="292"/>
      <c r="CY20" s="292">
        <f t="shared" si="39"/>
        <v>0</v>
      </c>
      <c r="CZ20" s="301"/>
      <c r="DA20" s="301"/>
      <c r="DB20" s="302">
        <f t="shared" si="40"/>
        <v>0</v>
      </c>
      <c r="DC20" s="303"/>
      <c r="DD20" s="186">
        <f t="shared" si="41"/>
        <v>0</v>
      </c>
      <c r="DE20" s="317">
        <f t="shared" si="42"/>
        <v>0</v>
      </c>
      <c r="DF20" s="250"/>
      <c r="DG20" s="250"/>
    </row>
    <row r="21" spans="1:111" s="40" customFormat="1" ht="18" x14ac:dyDescent="0.25">
      <c r="A21" s="297" t="str">
        <f>+'SEMANA DEL 7 AL 14'!A21</f>
        <v xml:space="preserve">LUIS VALDERRAMA </v>
      </c>
      <c r="B21" s="289">
        <f>+'SEMANA DEL 7 AL 14'!AX21</f>
        <v>0</v>
      </c>
      <c r="C21" s="289">
        <f>+'SEMANA DEL 7 AL 14'!AY21</f>
        <v>0</v>
      </c>
      <c r="D21" s="289">
        <f>+'SEMANA DEL 7 AL 14'!AZ21</f>
        <v>0</v>
      </c>
      <c r="E21" s="289">
        <f>+'SEMANA DEL 7 AL 14'!BA21</f>
        <v>0</v>
      </c>
      <c r="F21" s="289">
        <f>+'SEMANA DEL 7 AL 14'!BB21</f>
        <v>0</v>
      </c>
      <c r="G21" s="289">
        <f>+'SEMANA DEL 7 AL 14'!BC21</f>
        <v>0</v>
      </c>
      <c r="H21" s="289">
        <f>+'SEMANA DEL 7 AL 14'!BD21</f>
        <v>0</v>
      </c>
      <c r="I21" s="289">
        <f>+'SEMANA DEL 7 AL 14'!BE21</f>
        <v>0</v>
      </c>
      <c r="J21" s="289">
        <f>+'SEMANA DEL 7 AL 14'!BF21</f>
        <v>0</v>
      </c>
      <c r="K21" s="289">
        <f>+'SEMANA DEL 7 AL 14'!BG21</f>
        <v>0</v>
      </c>
      <c r="L21" s="289">
        <f>+'SEMANA DEL 7 AL 14'!BH21</f>
        <v>0</v>
      </c>
      <c r="M21" s="289">
        <f>+'SEMANA DEL 7 AL 14'!BI21</f>
        <v>0</v>
      </c>
      <c r="N21" s="289">
        <f>+'SEMANA DEL 7 AL 14'!BJ21</f>
        <v>0</v>
      </c>
      <c r="O21" s="289">
        <f>+'SEMANA DEL 7 AL 14'!BK21</f>
        <v>0</v>
      </c>
      <c r="P21" s="289">
        <f>+'SEMANA DEL 7 AL 14'!BL21</f>
        <v>0</v>
      </c>
      <c r="Q21" s="289">
        <f>+'SEMANA DEL 7 AL 14'!BM21</f>
        <v>0</v>
      </c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99"/>
      <c r="AH21" s="289"/>
      <c r="AI21" s="289"/>
      <c r="AJ21" s="289"/>
      <c r="AK21" s="289"/>
      <c r="AL21" s="289"/>
      <c r="AM21" s="289"/>
      <c r="AN21" s="289"/>
      <c r="AO21" s="289"/>
      <c r="AP21" s="289"/>
      <c r="AQ21" s="322"/>
      <c r="AR21" s="322"/>
      <c r="AS21" s="322"/>
      <c r="AT21" s="322"/>
      <c r="AU21" s="322"/>
      <c r="AV21" s="322"/>
      <c r="AW21" s="322"/>
      <c r="AX21" s="190">
        <f t="shared" si="1"/>
        <v>0</v>
      </c>
      <c r="AY21" s="190">
        <f t="shared" si="2"/>
        <v>0</v>
      </c>
      <c r="AZ21" s="190">
        <f t="shared" si="3"/>
        <v>0</v>
      </c>
      <c r="BA21" s="190">
        <f t="shared" si="4"/>
        <v>0</v>
      </c>
      <c r="BB21" s="190">
        <f t="shared" si="5"/>
        <v>0</v>
      </c>
      <c r="BC21" s="190">
        <f t="shared" si="6"/>
        <v>0</v>
      </c>
      <c r="BD21" s="190">
        <f t="shared" si="7"/>
        <v>0</v>
      </c>
      <c r="BE21" s="190">
        <f t="shared" si="8"/>
        <v>0</v>
      </c>
      <c r="BF21" s="190">
        <f t="shared" si="9"/>
        <v>0</v>
      </c>
      <c r="BG21" s="190">
        <f t="shared" si="10"/>
        <v>0</v>
      </c>
      <c r="BH21" s="190">
        <f t="shared" si="11"/>
        <v>0</v>
      </c>
      <c r="BI21" s="190">
        <f t="shared" si="12"/>
        <v>0</v>
      </c>
      <c r="BJ21" s="190">
        <f t="shared" si="13"/>
        <v>0</v>
      </c>
      <c r="BK21" s="190">
        <f t="shared" si="14"/>
        <v>0</v>
      </c>
      <c r="BL21" s="190">
        <f t="shared" si="15"/>
        <v>0</v>
      </c>
      <c r="BM21" s="190">
        <f t="shared" si="16"/>
        <v>0</v>
      </c>
      <c r="BN21" s="190"/>
      <c r="BO21" s="258">
        <f t="shared" si="17"/>
        <v>0</v>
      </c>
      <c r="BP21" s="71">
        <f t="shared" si="18"/>
        <v>0</v>
      </c>
      <c r="BQ21" s="112">
        <f t="shared" si="19"/>
        <v>0</v>
      </c>
      <c r="BR21" s="112">
        <f t="shared" si="20"/>
        <v>0</v>
      </c>
      <c r="BS21" s="112">
        <f t="shared" si="21"/>
        <v>0</v>
      </c>
      <c r="BT21" s="112">
        <f t="shared" si="22"/>
        <v>0</v>
      </c>
      <c r="BU21" s="112">
        <f t="shared" si="23"/>
        <v>0</v>
      </c>
      <c r="BV21" s="112">
        <f t="shared" si="24"/>
        <v>0</v>
      </c>
      <c r="BW21" s="112">
        <f t="shared" si="25"/>
        <v>0</v>
      </c>
      <c r="BX21" s="112">
        <f t="shared" si="26"/>
        <v>0</v>
      </c>
      <c r="BY21" s="71">
        <f t="shared" si="27"/>
        <v>0</v>
      </c>
      <c r="BZ21" s="112">
        <f t="shared" si="28"/>
        <v>0</v>
      </c>
      <c r="CA21" s="233"/>
      <c r="CB21" s="233"/>
      <c r="CC21" s="71">
        <f t="shared" si="29"/>
        <v>0</v>
      </c>
      <c r="CD21" s="71">
        <f t="shared" si="30"/>
        <v>0</v>
      </c>
      <c r="CE21" s="71">
        <f t="shared" si="31"/>
        <v>0</v>
      </c>
      <c r="CF21" s="71">
        <f t="shared" si="32"/>
        <v>0</v>
      </c>
      <c r="CG21" s="71">
        <f t="shared" si="33"/>
        <v>0</v>
      </c>
      <c r="CH21" s="261">
        <f t="shared" si="34"/>
        <v>0</v>
      </c>
      <c r="CI21" s="262">
        <f t="shared" si="35"/>
        <v>0</v>
      </c>
      <c r="CJ21" s="164"/>
      <c r="CK21" s="172" t="s">
        <v>71</v>
      </c>
      <c r="CL21" s="176" t="e">
        <f>+'SEMANA DEL 7 AL 14'!CP24</f>
        <v>#REF!</v>
      </c>
      <c r="CM21" s="173" t="e">
        <f>+#REF!</f>
        <v>#REF!</v>
      </c>
      <c r="CN21" s="179" t="e">
        <f>+CL21+CM21</f>
        <v>#REF!</v>
      </c>
      <c r="CO21" s="195" t="e">
        <f>+#REF!</f>
        <v>#REF!</v>
      </c>
      <c r="CP21" s="179" t="e">
        <f>CN21-CO21</f>
        <v>#REF!</v>
      </c>
      <c r="CQ21" s="127"/>
      <c r="CR21" s="127"/>
      <c r="CS21" s="55" t="str">
        <f t="shared" si="36"/>
        <v xml:space="preserve">LUIS VALDERRAMA </v>
      </c>
      <c r="CT21" s="185" t="str">
        <f>+'SEMANA DEL 2 AL 7-3-26'!CS21</f>
        <v>V-23.095.433</v>
      </c>
      <c r="CU21" s="292">
        <f t="shared" si="37"/>
        <v>0</v>
      </c>
      <c r="CV21" s="292">
        <f t="shared" si="38"/>
        <v>0</v>
      </c>
      <c r="CW21" s="292"/>
      <c r="CX21" s="292"/>
      <c r="CY21" s="292">
        <f t="shared" si="39"/>
        <v>0</v>
      </c>
      <c r="CZ21" s="301"/>
      <c r="DA21" s="301"/>
      <c r="DB21" s="302">
        <f t="shared" si="40"/>
        <v>0</v>
      </c>
      <c r="DC21" s="303"/>
      <c r="DD21" s="186">
        <f t="shared" si="41"/>
        <v>0</v>
      </c>
      <c r="DE21" s="317">
        <f>+DB21+DD21+CY21</f>
        <v>0</v>
      </c>
      <c r="DF21" s="250"/>
      <c r="DG21" s="250"/>
    </row>
    <row r="22" spans="1:111" ht="18" x14ac:dyDescent="0.25">
      <c r="A22" s="297" t="str">
        <f>+'SEMANA DEL 7 AL 14'!A22</f>
        <v>LILIANA  VEGA</v>
      </c>
      <c r="B22" s="289">
        <f>+'SEMANA DEL 7 AL 14'!AX22</f>
        <v>0</v>
      </c>
      <c r="C22" s="289">
        <f>+'SEMANA DEL 7 AL 14'!AY22</f>
        <v>0</v>
      </c>
      <c r="D22" s="289">
        <f>+'SEMANA DEL 7 AL 14'!AZ22</f>
        <v>0</v>
      </c>
      <c r="E22" s="289">
        <f>+'SEMANA DEL 7 AL 14'!BA22</f>
        <v>0</v>
      </c>
      <c r="F22" s="289">
        <f>+'SEMANA DEL 7 AL 14'!BB22</f>
        <v>0</v>
      </c>
      <c r="G22" s="289">
        <f>+'SEMANA DEL 7 AL 14'!BC22</f>
        <v>0</v>
      </c>
      <c r="H22" s="289">
        <f>+'SEMANA DEL 7 AL 14'!BD22</f>
        <v>0</v>
      </c>
      <c r="I22" s="289">
        <f>+'SEMANA DEL 7 AL 14'!BE22</f>
        <v>0</v>
      </c>
      <c r="J22" s="289">
        <f>+'SEMANA DEL 7 AL 14'!BF22</f>
        <v>0</v>
      </c>
      <c r="K22" s="289">
        <f>+'SEMANA DEL 7 AL 14'!BG22</f>
        <v>0</v>
      </c>
      <c r="L22" s="289">
        <f>+'SEMANA DEL 7 AL 14'!BH22</f>
        <v>0</v>
      </c>
      <c r="M22" s="289">
        <f>+'SEMANA DEL 7 AL 14'!BI22</f>
        <v>0</v>
      </c>
      <c r="N22" s="289">
        <f>+'SEMANA DEL 7 AL 14'!BJ22</f>
        <v>0</v>
      </c>
      <c r="O22" s="289">
        <f>+'SEMANA DEL 7 AL 14'!BK22</f>
        <v>0</v>
      </c>
      <c r="P22" s="289">
        <f>+'SEMANA DEL 7 AL 14'!BL22</f>
        <v>0</v>
      </c>
      <c r="Q22" s="289">
        <f>+'SEMANA DEL 7 AL 14'!BM22</f>
        <v>0</v>
      </c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99"/>
      <c r="AH22" s="289"/>
      <c r="AI22" s="289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89"/>
      <c r="AU22" s="322"/>
      <c r="AV22" s="322"/>
      <c r="AW22" s="322"/>
      <c r="AX22" s="190">
        <f t="shared" si="1"/>
        <v>0</v>
      </c>
      <c r="AY22" s="190">
        <f t="shared" si="2"/>
        <v>0</v>
      </c>
      <c r="AZ22" s="190">
        <f t="shared" si="3"/>
        <v>0</v>
      </c>
      <c r="BA22" s="190">
        <f t="shared" si="4"/>
        <v>0</v>
      </c>
      <c r="BB22" s="190">
        <f t="shared" si="5"/>
        <v>0</v>
      </c>
      <c r="BC22" s="190">
        <f t="shared" si="6"/>
        <v>0</v>
      </c>
      <c r="BD22" s="190">
        <f t="shared" si="7"/>
        <v>0</v>
      </c>
      <c r="BE22" s="190">
        <f t="shared" si="8"/>
        <v>0</v>
      </c>
      <c r="BF22" s="190">
        <f t="shared" si="9"/>
        <v>0</v>
      </c>
      <c r="BG22" s="190">
        <f t="shared" si="10"/>
        <v>0</v>
      </c>
      <c r="BH22" s="190">
        <f t="shared" si="11"/>
        <v>0</v>
      </c>
      <c r="BI22" s="190">
        <f t="shared" si="12"/>
        <v>0</v>
      </c>
      <c r="BJ22" s="190">
        <f t="shared" si="13"/>
        <v>0</v>
      </c>
      <c r="BK22" s="190">
        <f t="shared" si="14"/>
        <v>0</v>
      </c>
      <c r="BL22" s="190">
        <f t="shared" si="15"/>
        <v>0</v>
      </c>
      <c r="BM22" s="190">
        <f t="shared" si="16"/>
        <v>0</v>
      </c>
      <c r="BN22" s="190"/>
      <c r="BO22" s="258">
        <f t="shared" si="17"/>
        <v>0</v>
      </c>
      <c r="BP22" s="71">
        <f t="shared" si="18"/>
        <v>0</v>
      </c>
      <c r="BQ22" s="112">
        <f t="shared" si="19"/>
        <v>0</v>
      </c>
      <c r="BR22" s="112">
        <f t="shared" si="20"/>
        <v>0</v>
      </c>
      <c r="BS22" s="112">
        <f t="shared" si="21"/>
        <v>0</v>
      </c>
      <c r="BT22" s="112">
        <f t="shared" si="22"/>
        <v>0</v>
      </c>
      <c r="BU22" s="112">
        <f t="shared" si="23"/>
        <v>0</v>
      </c>
      <c r="BV22" s="112">
        <f t="shared" si="24"/>
        <v>0</v>
      </c>
      <c r="BW22" s="112">
        <f t="shared" si="25"/>
        <v>0</v>
      </c>
      <c r="BX22" s="112">
        <f t="shared" si="26"/>
        <v>0</v>
      </c>
      <c r="BY22" s="71">
        <f t="shared" si="27"/>
        <v>0</v>
      </c>
      <c r="BZ22" s="112">
        <f t="shared" si="28"/>
        <v>0</v>
      </c>
      <c r="CA22" s="233"/>
      <c r="CB22" s="233"/>
      <c r="CC22" s="71">
        <f t="shared" si="29"/>
        <v>0</v>
      </c>
      <c r="CD22" s="71">
        <f t="shared" si="30"/>
        <v>0</v>
      </c>
      <c r="CE22" s="71">
        <f t="shared" si="31"/>
        <v>0</v>
      </c>
      <c r="CF22" s="71">
        <f t="shared" si="32"/>
        <v>0</v>
      </c>
      <c r="CG22" s="71">
        <f t="shared" si="33"/>
        <v>0</v>
      </c>
      <c r="CH22" s="261">
        <f t="shared" si="34"/>
        <v>0</v>
      </c>
      <c r="CI22" s="262">
        <f t="shared" si="35"/>
        <v>0</v>
      </c>
      <c r="CJ22" s="73"/>
      <c r="CK22" s="172" t="s">
        <v>66</v>
      </c>
      <c r="CL22" s="176" t="e">
        <f>+'SEMANA DEL 7 AL 14'!#REF!</f>
        <v>#REF!</v>
      </c>
      <c r="CM22" s="173" t="e">
        <f>+#REF!</f>
        <v>#REF!</v>
      </c>
      <c r="CN22" s="179" t="e">
        <f>+CL22+CM22</f>
        <v>#REF!</v>
      </c>
      <c r="CO22" s="195" t="e">
        <f>+#REF!</f>
        <v>#REF!</v>
      </c>
      <c r="CP22" s="179" t="e">
        <f>CN22-CO22</f>
        <v>#REF!</v>
      </c>
      <c r="CQ22" s="140"/>
      <c r="CR22" s="52"/>
      <c r="CS22" s="55" t="str">
        <f t="shared" si="36"/>
        <v>LILIANA  VEGA</v>
      </c>
      <c r="CT22" s="185" t="str">
        <f>+'SEMANA DEL 2 AL 7-3-26'!CS22</f>
        <v>V-11.021.605</v>
      </c>
      <c r="CU22" s="292">
        <f t="shared" si="37"/>
        <v>0</v>
      </c>
      <c r="CV22" s="292">
        <f t="shared" si="38"/>
        <v>0</v>
      </c>
      <c r="CW22" s="292"/>
      <c r="CX22" s="292"/>
      <c r="CY22" s="292">
        <f t="shared" si="39"/>
        <v>0</v>
      </c>
      <c r="CZ22" s="301"/>
      <c r="DA22" s="301"/>
      <c r="DB22" s="302">
        <f t="shared" si="40"/>
        <v>0</v>
      </c>
      <c r="DC22" s="303"/>
      <c r="DD22" s="186">
        <f t="shared" si="41"/>
        <v>0</v>
      </c>
      <c r="DE22" s="317">
        <f t="shared" si="42"/>
        <v>0</v>
      </c>
      <c r="DF22" s="184"/>
      <c r="DG22" s="184"/>
    </row>
    <row r="23" spans="1:111" ht="18" x14ac:dyDescent="0.25">
      <c r="A23" s="297" t="str">
        <f>+'SEMANA DEL 7 AL 14'!A23</f>
        <v xml:space="preserve">LUIS ERNESTO ALMEIDA </v>
      </c>
      <c r="B23" s="289">
        <f>+'SEMANA DEL 7 AL 14'!AX23</f>
        <v>0</v>
      </c>
      <c r="C23" s="289">
        <f>+'SEMANA DEL 7 AL 14'!AY23</f>
        <v>0</v>
      </c>
      <c r="D23" s="289">
        <f>+'SEMANA DEL 7 AL 14'!AZ23</f>
        <v>0</v>
      </c>
      <c r="E23" s="289">
        <f>+'SEMANA DEL 7 AL 14'!BA23</f>
        <v>0</v>
      </c>
      <c r="F23" s="289">
        <f>+'SEMANA DEL 7 AL 14'!BB23</f>
        <v>0</v>
      </c>
      <c r="G23" s="289">
        <f>+'SEMANA DEL 7 AL 14'!BC23</f>
        <v>0</v>
      </c>
      <c r="H23" s="289">
        <f>+'SEMANA DEL 7 AL 14'!BD23</f>
        <v>0</v>
      </c>
      <c r="I23" s="289">
        <f>+'SEMANA DEL 7 AL 14'!BE23</f>
        <v>0</v>
      </c>
      <c r="J23" s="289">
        <f>+'SEMANA DEL 7 AL 14'!BF23</f>
        <v>0</v>
      </c>
      <c r="K23" s="289">
        <f>+'SEMANA DEL 7 AL 14'!BG23</f>
        <v>0</v>
      </c>
      <c r="L23" s="289">
        <f>+'SEMANA DEL 7 AL 14'!BH23</f>
        <v>0</v>
      </c>
      <c r="M23" s="289">
        <f>+'SEMANA DEL 7 AL 14'!BI23</f>
        <v>0</v>
      </c>
      <c r="N23" s="289">
        <f>+'SEMANA DEL 7 AL 14'!BJ23</f>
        <v>0</v>
      </c>
      <c r="O23" s="289">
        <f>+'SEMANA DEL 7 AL 14'!BK23</f>
        <v>0</v>
      </c>
      <c r="P23" s="289">
        <f>+'SEMANA DEL 7 AL 14'!BL23</f>
        <v>0</v>
      </c>
      <c r="Q23" s="289">
        <f>+'SEMANA DEL 7 AL 14'!BM23</f>
        <v>0</v>
      </c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99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322"/>
      <c r="AV23" s="322"/>
      <c r="AW23" s="322"/>
      <c r="AX23" s="190">
        <f t="shared" si="1"/>
        <v>0</v>
      </c>
      <c r="AY23" s="190">
        <f t="shared" si="2"/>
        <v>0</v>
      </c>
      <c r="AZ23" s="190">
        <f t="shared" si="3"/>
        <v>0</v>
      </c>
      <c r="BA23" s="190">
        <f t="shared" si="4"/>
        <v>0</v>
      </c>
      <c r="BB23" s="190">
        <f t="shared" si="5"/>
        <v>0</v>
      </c>
      <c r="BC23" s="190">
        <f t="shared" si="6"/>
        <v>0</v>
      </c>
      <c r="BD23" s="190">
        <f t="shared" si="7"/>
        <v>0</v>
      </c>
      <c r="BE23" s="190">
        <f t="shared" si="8"/>
        <v>0</v>
      </c>
      <c r="BF23" s="190">
        <f t="shared" si="9"/>
        <v>0</v>
      </c>
      <c r="BG23" s="190">
        <f t="shared" si="10"/>
        <v>0</v>
      </c>
      <c r="BH23" s="190">
        <f t="shared" si="11"/>
        <v>0</v>
      </c>
      <c r="BI23" s="190">
        <f t="shared" si="12"/>
        <v>0</v>
      </c>
      <c r="BJ23" s="190">
        <f t="shared" si="13"/>
        <v>0</v>
      </c>
      <c r="BK23" s="190">
        <f t="shared" si="14"/>
        <v>0</v>
      </c>
      <c r="BL23" s="190">
        <f t="shared" si="15"/>
        <v>0</v>
      </c>
      <c r="BM23" s="190">
        <f t="shared" si="16"/>
        <v>0</v>
      </c>
      <c r="BN23" s="190"/>
      <c r="BO23" s="258">
        <f t="shared" si="17"/>
        <v>0</v>
      </c>
      <c r="BP23" s="71">
        <f t="shared" si="18"/>
        <v>0</v>
      </c>
      <c r="BQ23" s="112">
        <f t="shared" si="19"/>
        <v>0</v>
      </c>
      <c r="BR23" s="112">
        <f t="shared" si="20"/>
        <v>0</v>
      </c>
      <c r="BS23" s="112">
        <f t="shared" si="21"/>
        <v>0</v>
      </c>
      <c r="BT23" s="112">
        <f t="shared" si="22"/>
        <v>0</v>
      </c>
      <c r="BU23" s="112">
        <f t="shared" si="23"/>
        <v>0</v>
      </c>
      <c r="BV23" s="112">
        <f t="shared" si="24"/>
        <v>0</v>
      </c>
      <c r="BW23" s="112">
        <f t="shared" si="25"/>
        <v>0</v>
      </c>
      <c r="BX23" s="112">
        <f t="shared" si="26"/>
        <v>0</v>
      </c>
      <c r="BY23" s="71">
        <f t="shared" si="27"/>
        <v>0</v>
      </c>
      <c r="BZ23" s="112">
        <f t="shared" si="28"/>
        <v>0</v>
      </c>
      <c r="CA23" s="233"/>
      <c r="CB23" s="233"/>
      <c r="CC23" s="71">
        <f t="shared" si="29"/>
        <v>0</v>
      </c>
      <c r="CD23" s="71">
        <f t="shared" si="30"/>
        <v>0</v>
      </c>
      <c r="CE23" s="71">
        <f t="shared" si="31"/>
        <v>0</v>
      </c>
      <c r="CF23" s="71">
        <f t="shared" si="32"/>
        <v>0</v>
      </c>
      <c r="CG23" s="71">
        <f t="shared" si="33"/>
        <v>0</v>
      </c>
      <c r="CH23" s="261">
        <f t="shared" si="34"/>
        <v>0</v>
      </c>
      <c r="CI23" s="262">
        <f t="shared" si="35"/>
        <v>0</v>
      </c>
      <c r="CJ23" s="73"/>
      <c r="CK23" s="172"/>
      <c r="CL23" s="176"/>
      <c r="CM23" s="173"/>
      <c r="CN23" s="179"/>
      <c r="CO23" s="195"/>
      <c r="CP23" s="179"/>
      <c r="CQ23" s="140"/>
      <c r="CR23" s="52"/>
      <c r="CS23" s="55" t="str">
        <f t="shared" si="36"/>
        <v xml:space="preserve">LUIS ERNESTO ALMEIDA </v>
      </c>
      <c r="CT23" s="185" t="str">
        <f>+'SEMANA DEL 2 AL 7-3-26'!CS23</f>
        <v>V-13.365.579</v>
      </c>
      <c r="CU23" s="292">
        <f t="shared" si="37"/>
        <v>0</v>
      </c>
      <c r="CV23" s="292">
        <f t="shared" si="38"/>
        <v>0</v>
      </c>
      <c r="CW23" s="292"/>
      <c r="CX23" s="292"/>
      <c r="CY23" s="292">
        <f t="shared" si="39"/>
        <v>0</v>
      </c>
      <c r="CZ23" s="301"/>
      <c r="DA23" s="301"/>
      <c r="DB23" s="302">
        <f t="shared" si="40"/>
        <v>0</v>
      </c>
      <c r="DC23" s="303"/>
      <c r="DD23" s="186">
        <f t="shared" si="41"/>
        <v>0</v>
      </c>
      <c r="DE23" s="317">
        <f t="shared" si="42"/>
        <v>0</v>
      </c>
      <c r="DF23" s="184"/>
      <c r="DG23" s="184"/>
    </row>
    <row r="24" spans="1:111" ht="18" x14ac:dyDescent="0.25">
      <c r="A24" s="297" t="str">
        <f>+'SEMANA DEL 7 AL 14'!A24</f>
        <v xml:space="preserve">LEIDY SERRANO </v>
      </c>
      <c r="B24" s="289">
        <f>+'SEMANA DEL 7 AL 14'!AX24</f>
        <v>0</v>
      </c>
      <c r="C24" s="289">
        <f>+'SEMANA DEL 7 AL 14'!AY24</f>
        <v>0</v>
      </c>
      <c r="D24" s="289">
        <f>+'SEMANA DEL 7 AL 14'!AZ24</f>
        <v>0</v>
      </c>
      <c r="E24" s="289">
        <f>+'SEMANA DEL 7 AL 14'!BA24</f>
        <v>0</v>
      </c>
      <c r="F24" s="289">
        <f>+'SEMANA DEL 7 AL 14'!BB24</f>
        <v>0</v>
      </c>
      <c r="G24" s="289">
        <f>+'SEMANA DEL 7 AL 14'!BC24</f>
        <v>0</v>
      </c>
      <c r="H24" s="289">
        <f>+'SEMANA DEL 7 AL 14'!BD24</f>
        <v>0</v>
      </c>
      <c r="I24" s="289">
        <f>+'SEMANA DEL 7 AL 14'!BE24</f>
        <v>0</v>
      </c>
      <c r="J24" s="289">
        <f>+'SEMANA DEL 7 AL 14'!BF24</f>
        <v>0</v>
      </c>
      <c r="K24" s="289">
        <f>+'SEMANA DEL 7 AL 14'!BG24</f>
        <v>0</v>
      </c>
      <c r="L24" s="289">
        <f>+'SEMANA DEL 7 AL 14'!BH24</f>
        <v>0</v>
      </c>
      <c r="M24" s="289">
        <f>+'SEMANA DEL 7 AL 14'!BI24</f>
        <v>0</v>
      </c>
      <c r="N24" s="289">
        <f>+'SEMANA DEL 7 AL 14'!BJ24</f>
        <v>0</v>
      </c>
      <c r="O24" s="289">
        <f>+'SEMANA DEL 7 AL 14'!BK24</f>
        <v>0</v>
      </c>
      <c r="P24" s="289">
        <f>+'SEMANA DEL 7 AL 14'!BL24</f>
        <v>0</v>
      </c>
      <c r="Q24" s="289">
        <f>+'SEMANA DEL 7 AL 14'!BM24</f>
        <v>0</v>
      </c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99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322"/>
      <c r="AX24" s="190">
        <f t="shared" si="1"/>
        <v>0</v>
      </c>
      <c r="AY24" s="190">
        <f t="shared" si="2"/>
        <v>0</v>
      </c>
      <c r="AZ24" s="190">
        <f t="shared" si="3"/>
        <v>0</v>
      </c>
      <c r="BA24" s="190">
        <f t="shared" si="4"/>
        <v>0</v>
      </c>
      <c r="BB24" s="190">
        <f t="shared" si="5"/>
        <v>0</v>
      </c>
      <c r="BC24" s="190">
        <f t="shared" si="6"/>
        <v>0</v>
      </c>
      <c r="BD24" s="190">
        <f t="shared" si="7"/>
        <v>0</v>
      </c>
      <c r="BE24" s="190">
        <f t="shared" si="8"/>
        <v>0</v>
      </c>
      <c r="BF24" s="190">
        <f t="shared" si="9"/>
        <v>0</v>
      </c>
      <c r="BG24" s="190">
        <f t="shared" si="10"/>
        <v>0</v>
      </c>
      <c r="BH24" s="190">
        <f t="shared" si="11"/>
        <v>0</v>
      </c>
      <c r="BI24" s="190">
        <f t="shared" si="12"/>
        <v>0</v>
      </c>
      <c r="BJ24" s="190">
        <f t="shared" si="13"/>
        <v>0</v>
      </c>
      <c r="BK24" s="190">
        <f t="shared" si="14"/>
        <v>0</v>
      </c>
      <c r="BL24" s="190">
        <f t="shared" si="15"/>
        <v>0</v>
      </c>
      <c r="BM24" s="190">
        <f t="shared" si="16"/>
        <v>0</v>
      </c>
      <c r="BN24" s="190"/>
      <c r="BO24" s="258">
        <f t="shared" si="17"/>
        <v>0</v>
      </c>
      <c r="BP24" s="71">
        <f t="shared" si="18"/>
        <v>0</v>
      </c>
      <c r="BQ24" s="112">
        <f t="shared" si="19"/>
        <v>0</v>
      </c>
      <c r="BR24" s="112">
        <f t="shared" si="20"/>
        <v>0</v>
      </c>
      <c r="BS24" s="112">
        <f t="shared" si="21"/>
        <v>0</v>
      </c>
      <c r="BT24" s="112">
        <f t="shared" si="22"/>
        <v>0</v>
      </c>
      <c r="BU24" s="112">
        <f t="shared" si="23"/>
        <v>0</v>
      </c>
      <c r="BV24" s="112">
        <f t="shared" si="24"/>
        <v>0</v>
      </c>
      <c r="BW24" s="112">
        <f t="shared" si="25"/>
        <v>0</v>
      </c>
      <c r="BX24" s="112">
        <f t="shared" si="26"/>
        <v>0</v>
      </c>
      <c r="BY24" s="71">
        <f t="shared" si="27"/>
        <v>0</v>
      </c>
      <c r="BZ24" s="112">
        <f t="shared" si="28"/>
        <v>0</v>
      </c>
      <c r="CA24" s="233"/>
      <c r="CB24" s="233"/>
      <c r="CC24" s="71">
        <f t="shared" si="29"/>
        <v>0</v>
      </c>
      <c r="CD24" s="71">
        <f t="shared" si="30"/>
        <v>0</v>
      </c>
      <c r="CE24" s="71">
        <f t="shared" si="31"/>
        <v>0</v>
      </c>
      <c r="CF24" s="71">
        <f t="shared" si="32"/>
        <v>0</v>
      </c>
      <c r="CG24" s="71">
        <f t="shared" si="33"/>
        <v>0</v>
      </c>
      <c r="CH24" s="261">
        <f t="shared" si="34"/>
        <v>0</v>
      </c>
      <c r="CI24" s="262">
        <f t="shared" si="35"/>
        <v>0</v>
      </c>
      <c r="CJ24" s="73"/>
      <c r="CK24" s="172"/>
      <c r="CL24" s="176"/>
      <c r="CM24" s="173"/>
      <c r="CN24" s="179"/>
      <c r="CO24" s="195"/>
      <c r="CP24" s="179"/>
      <c r="CQ24" s="140"/>
      <c r="CR24" s="52"/>
      <c r="CS24" s="55" t="str">
        <f t="shared" si="36"/>
        <v xml:space="preserve">LEIDY SERRANO </v>
      </c>
      <c r="CT24" s="185" t="str">
        <f>+'SEMANA DEL 2 AL 7-3-26'!CS24</f>
        <v>V-15.958.666</v>
      </c>
      <c r="CU24" s="292">
        <f t="shared" si="37"/>
        <v>0</v>
      </c>
      <c r="CV24" s="292">
        <f t="shared" si="38"/>
        <v>0</v>
      </c>
      <c r="CW24" s="292"/>
      <c r="CX24" s="292"/>
      <c r="CY24" s="292">
        <f t="shared" si="39"/>
        <v>0</v>
      </c>
      <c r="CZ24" s="301"/>
      <c r="DA24" s="301"/>
      <c r="DB24" s="302">
        <f t="shared" si="40"/>
        <v>0</v>
      </c>
      <c r="DC24" s="303"/>
      <c r="DD24" s="186">
        <f t="shared" si="41"/>
        <v>0</v>
      </c>
      <c r="DE24" s="317">
        <f t="shared" si="42"/>
        <v>0</v>
      </c>
      <c r="DF24" s="184"/>
      <c r="DG24" s="184"/>
    </row>
    <row r="25" spans="1:111" ht="18" x14ac:dyDescent="0.25">
      <c r="A25" s="297" t="str">
        <f>+'SEMANA DEL 7 AL 14'!A25</f>
        <v xml:space="preserve">MAYERLIN BOLIVAR </v>
      </c>
      <c r="B25" s="289">
        <f>+'SEMANA DEL 7 AL 14'!AX25</f>
        <v>0.30000000000000071</v>
      </c>
      <c r="C25" s="289">
        <f>+'SEMANA DEL 7 AL 14'!AY25</f>
        <v>1.3399999999999963</v>
      </c>
      <c r="D25" s="289">
        <f>+'SEMANA DEL 7 AL 14'!AZ25</f>
        <v>2.0999999999999801</v>
      </c>
      <c r="E25" s="289">
        <f>+'SEMANA DEL 7 AL 14'!BA25</f>
        <v>0</v>
      </c>
      <c r="F25" s="289">
        <f>+'SEMANA DEL 7 AL 14'!BB25</f>
        <v>0</v>
      </c>
      <c r="G25" s="289">
        <f>+'SEMANA DEL 7 AL 14'!BC25</f>
        <v>0</v>
      </c>
      <c r="H25" s="289">
        <f>+'SEMANA DEL 7 AL 14'!BD25</f>
        <v>0</v>
      </c>
      <c r="I25" s="289">
        <f>+'SEMANA DEL 7 AL 14'!BE25</f>
        <v>0</v>
      </c>
      <c r="J25" s="289">
        <f>+'SEMANA DEL 7 AL 14'!BF25</f>
        <v>0</v>
      </c>
      <c r="K25" s="289">
        <f>+'SEMANA DEL 7 AL 14'!BG25</f>
        <v>0</v>
      </c>
      <c r="L25" s="289">
        <f>+'SEMANA DEL 7 AL 14'!BH25</f>
        <v>0</v>
      </c>
      <c r="M25" s="289">
        <f>+'SEMANA DEL 7 AL 14'!BI25</f>
        <v>0</v>
      </c>
      <c r="N25" s="289">
        <f>+'SEMANA DEL 7 AL 14'!BJ25</f>
        <v>0</v>
      </c>
      <c r="O25" s="289">
        <f>+'SEMANA DEL 7 AL 14'!BK25</f>
        <v>0</v>
      </c>
      <c r="P25" s="289">
        <f>+'SEMANA DEL 7 AL 14'!BL25</f>
        <v>0</v>
      </c>
      <c r="Q25" s="289">
        <f>+'SEMANA DEL 7 AL 14'!BM25</f>
        <v>0</v>
      </c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99"/>
      <c r="AH25" s="289"/>
      <c r="AI25" s="289"/>
      <c r="AJ25" s="289"/>
      <c r="AK25" s="289"/>
      <c r="AL25" s="299"/>
      <c r="AM25" s="289"/>
      <c r="AN25" s="322"/>
      <c r="AO25" s="322"/>
      <c r="AP25" s="322"/>
      <c r="AQ25" s="322"/>
      <c r="AR25" s="322"/>
      <c r="AS25" s="322"/>
      <c r="AT25" s="322"/>
      <c r="AU25" s="322"/>
      <c r="AV25" s="322"/>
      <c r="AW25" s="322"/>
      <c r="AX25" s="190">
        <f t="shared" si="1"/>
        <v>0.30000000000000071</v>
      </c>
      <c r="AY25" s="190">
        <f t="shared" si="2"/>
        <v>1.3399999999999963</v>
      </c>
      <c r="AZ25" s="190">
        <f t="shared" si="3"/>
        <v>2.0999999999999801</v>
      </c>
      <c r="BA25" s="190">
        <f t="shared" si="4"/>
        <v>0</v>
      </c>
      <c r="BB25" s="190">
        <f t="shared" si="5"/>
        <v>0</v>
      </c>
      <c r="BC25" s="190">
        <f t="shared" si="6"/>
        <v>0</v>
      </c>
      <c r="BD25" s="190">
        <f t="shared" si="7"/>
        <v>0</v>
      </c>
      <c r="BE25" s="190">
        <f t="shared" si="8"/>
        <v>0</v>
      </c>
      <c r="BF25" s="190">
        <f t="shared" si="9"/>
        <v>0</v>
      </c>
      <c r="BG25" s="190">
        <f t="shared" si="10"/>
        <v>0</v>
      </c>
      <c r="BH25" s="190">
        <f t="shared" si="11"/>
        <v>0</v>
      </c>
      <c r="BI25" s="190">
        <f t="shared" si="12"/>
        <v>0</v>
      </c>
      <c r="BJ25" s="190">
        <f t="shared" si="13"/>
        <v>0</v>
      </c>
      <c r="BK25" s="190">
        <f t="shared" si="14"/>
        <v>0</v>
      </c>
      <c r="BL25" s="190">
        <f t="shared" si="15"/>
        <v>0</v>
      </c>
      <c r="BM25" s="190">
        <f t="shared" si="16"/>
        <v>0</v>
      </c>
      <c r="BN25" s="190"/>
      <c r="BO25" s="258">
        <f t="shared" si="17"/>
        <v>0</v>
      </c>
      <c r="BP25" s="71">
        <f t="shared" si="18"/>
        <v>0</v>
      </c>
      <c r="BQ25" s="112">
        <f t="shared" si="19"/>
        <v>0</v>
      </c>
      <c r="BR25" s="112">
        <f t="shared" si="20"/>
        <v>0</v>
      </c>
      <c r="BS25" s="112">
        <f t="shared" si="21"/>
        <v>0</v>
      </c>
      <c r="BT25" s="112">
        <f t="shared" si="22"/>
        <v>0</v>
      </c>
      <c r="BU25" s="112">
        <f t="shared" si="23"/>
        <v>0</v>
      </c>
      <c r="BV25" s="112">
        <f t="shared" si="24"/>
        <v>0</v>
      </c>
      <c r="BW25" s="112">
        <f t="shared" si="25"/>
        <v>0</v>
      </c>
      <c r="BX25" s="112">
        <f t="shared" si="26"/>
        <v>0</v>
      </c>
      <c r="BY25" s="71">
        <f t="shared" si="27"/>
        <v>0</v>
      </c>
      <c r="BZ25" s="112">
        <f t="shared" si="28"/>
        <v>0</v>
      </c>
      <c r="CA25" s="233"/>
      <c r="CB25" s="233"/>
      <c r="CC25" s="71">
        <f t="shared" si="29"/>
        <v>0</v>
      </c>
      <c r="CD25" s="71">
        <f t="shared" si="30"/>
        <v>0</v>
      </c>
      <c r="CE25" s="71">
        <f t="shared" si="31"/>
        <v>0</v>
      </c>
      <c r="CF25" s="71">
        <f t="shared" si="32"/>
        <v>0</v>
      </c>
      <c r="CG25" s="71">
        <f t="shared" si="33"/>
        <v>0</v>
      </c>
      <c r="CH25" s="261">
        <f t="shared" si="34"/>
        <v>0</v>
      </c>
      <c r="CI25" s="262">
        <f t="shared" si="35"/>
        <v>0</v>
      </c>
      <c r="CJ25" s="73"/>
      <c r="CK25" s="196" t="s">
        <v>113</v>
      </c>
      <c r="CL25" s="176">
        <f>+'SEMANA DEL 7 AL 14'!CP27</f>
        <v>0</v>
      </c>
      <c r="CM25" s="173" t="e">
        <f>+#REF!</f>
        <v>#REF!</v>
      </c>
      <c r="CN25" s="179" t="e">
        <f>+CL25+CM25</f>
        <v>#REF!</v>
      </c>
      <c r="CO25" s="195" t="e">
        <f>+#REF!</f>
        <v>#REF!</v>
      </c>
      <c r="CP25" s="179" t="e">
        <f>CN25-CO25</f>
        <v>#REF!</v>
      </c>
      <c r="CQ25" s="140"/>
      <c r="CR25" s="52"/>
      <c r="CS25" s="55" t="str">
        <f t="shared" si="36"/>
        <v xml:space="preserve">MAYERLIN BOLIVAR </v>
      </c>
      <c r="CT25" s="185" t="str">
        <f>+'SEMANA DEL 2 AL 7-3-26'!CS25</f>
        <v>V-15,774,803</v>
      </c>
      <c r="CU25" s="292">
        <f t="shared" si="37"/>
        <v>0</v>
      </c>
      <c r="CV25" s="292">
        <f t="shared" si="38"/>
        <v>0</v>
      </c>
      <c r="CW25" s="292"/>
      <c r="CX25" s="292"/>
      <c r="CY25" s="292">
        <f t="shared" si="39"/>
        <v>0</v>
      </c>
      <c r="CZ25" s="301"/>
      <c r="DA25" s="301"/>
      <c r="DB25" s="302">
        <f t="shared" si="40"/>
        <v>0</v>
      </c>
      <c r="DC25" s="303"/>
      <c r="DD25" s="186">
        <f t="shared" si="41"/>
        <v>0</v>
      </c>
      <c r="DE25" s="317">
        <f t="shared" si="42"/>
        <v>0</v>
      </c>
      <c r="DF25" s="184"/>
      <c r="DG25" s="184"/>
    </row>
    <row r="26" spans="1:111" ht="18" x14ac:dyDescent="0.25">
      <c r="A26" s="297" t="str">
        <f>+'SEMANA DEL 7 AL 14'!A26</f>
        <v xml:space="preserve">MARTHA SILVA </v>
      </c>
      <c r="B26" s="289">
        <f>+'SEMANA DEL 7 AL 14'!AX26</f>
        <v>9.9999999999999645E-2</v>
      </c>
      <c r="C26" s="289">
        <f>+'SEMANA DEL 7 AL 14'!AY26</f>
        <v>0.17999999999999972</v>
      </c>
      <c r="D26" s="289">
        <f>+'SEMANA DEL 7 AL 14'!AZ26</f>
        <v>12.000000000000021</v>
      </c>
      <c r="E26" s="289">
        <f>+'SEMANA DEL 7 AL 14'!BA26</f>
        <v>0</v>
      </c>
      <c r="F26" s="289">
        <f>+'SEMANA DEL 7 AL 14'!BB26</f>
        <v>0</v>
      </c>
      <c r="G26" s="289">
        <f>+'SEMANA DEL 7 AL 14'!BC26</f>
        <v>0</v>
      </c>
      <c r="H26" s="289">
        <f>+'SEMANA DEL 7 AL 14'!BD26</f>
        <v>0</v>
      </c>
      <c r="I26" s="289">
        <f>+'SEMANA DEL 7 AL 14'!BE26</f>
        <v>0</v>
      </c>
      <c r="J26" s="289">
        <f>+'SEMANA DEL 7 AL 14'!BF26</f>
        <v>0</v>
      </c>
      <c r="K26" s="289">
        <f>+'SEMANA DEL 7 AL 14'!BG26</f>
        <v>0</v>
      </c>
      <c r="L26" s="289">
        <f>+'SEMANA DEL 7 AL 14'!BH26</f>
        <v>0</v>
      </c>
      <c r="M26" s="289">
        <f>+'SEMANA DEL 7 AL 14'!BI26</f>
        <v>0</v>
      </c>
      <c r="N26" s="289">
        <f>+'SEMANA DEL 7 AL 14'!BJ26</f>
        <v>0</v>
      </c>
      <c r="O26" s="289">
        <f>+'SEMANA DEL 7 AL 14'!BK26</f>
        <v>0</v>
      </c>
      <c r="P26" s="289">
        <f>+'SEMANA DEL 7 AL 14'!BL26</f>
        <v>0</v>
      </c>
      <c r="Q26" s="289">
        <f>+'SEMANA DEL 7 AL 14'!BM26</f>
        <v>0</v>
      </c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99"/>
      <c r="AH26" s="289"/>
      <c r="AI26" s="289"/>
      <c r="AJ26" s="289"/>
      <c r="AK26" s="289"/>
      <c r="AL26" s="289"/>
      <c r="AM26" s="289"/>
      <c r="AN26" s="289"/>
      <c r="AO26" s="289"/>
      <c r="AP26" s="289"/>
      <c r="AQ26" s="322"/>
      <c r="AR26" s="322"/>
      <c r="AS26" s="322"/>
      <c r="AT26" s="322"/>
      <c r="AU26" s="322"/>
      <c r="AV26" s="322"/>
      <c r="AW26" s="322"/>
      <c r="AX26" s="190">
        <f t="shared" si="1"/>
        <v>9.9999999999999645E-2</v>
      </c>
      <c r="AY26" s="190">
        <f t="shared" si="2"/>
        <v>0.17999999999999972</v>
      </c>
      <c r="AZ26" s="190">
        <f t="shared" si="3"/>
        <v>12.000000000000021</v>
      </c>
      <c r="BA26" s="190">
        <f t="shared" si="4"/>
        <v>0</v>
      </c>
      <c r="BB26" s="190">
        <f t="shared" si="5"/>
        <v>0</v>
      </c>
      <c r="BC26" s="190">
        <f t="shared" si="6"/>
        <v>0</v>
      </c>
      <c r="BD26" s="190">
        <f t="shared" si="7"/>
        <v>0</v>
      </c>
      <c r="BE26" s="190">
        <f t="shared" si="8"/>
        <v>0</v>
      </c>
      <c r="BF26" s="190">
        <f t="shared" si="9"/>
        <v>0</v>
      </c>
      <c r="BG26" s="190">
        <f t="shared" si="10"/>
        <v>0</v>
      </c>
      <c r="BH26" s="190">
        <f t="shared" si="11"/>
        <v>0</v>
      </c>
      <c r="BI26" s="190">
        <f t="shared" si="12"/>
        <v>0</v>
      </c>
      <c r="BJ26" s="190">
        <f t="shared" si="13"/>
        <v>0</v>
      </c>
      <c r="BK26" s="190">
        <f t="shared" si="14"/>
        <v>0</v>
      </c>
      <c r="BL26" s="190">
        <f t="shared" si="15"/>
        <v>0</v>
      </c>
      <c r="BM26" s="190">
        <f t="shared" si="16"/>
        <v>0</v>
      </c>
      <c r="BN26" s="190"/>
      <c r="BO26" s="258">
        <f t="shared" si="17"/>
        <v>0</v>
      </c>
      <c r="BP26" s="71">
        <f t="shared" si="18"/>
        <v>0</v>
      </c>
      <c r="BQ26" s="112">
        <f t="shared" si="19"/>
        <v>0</v>
      </c>
      <c r="BR26" s="112">
        <f t="shared" si="20"/>
        <v>0</v>
      </c>
      <c r="BS26" s="112">
        <f t="shared" si="21"/>
        <v>0</v>
      </c>
      <c r="BT26" s="112">
        <f t="shared" si="22"/>
        <v>0</v>
      </c>
      <c r="BU26" s="112">
        <f t="shared" si="23"/>
        <v>0</v>
      </c>
      <c r="BV26" s="112">
        <f t="shared" si="24"/>
        <v>0</v>
      </c>
      <c r="BW26" s="112">
        <f t="shared" si="25"/>
        <v>0</v>
      </c>
      <c r="BX26" s="112">
        <f t="shared" si="26"/>
        <v>0</v>
      </c>
      <c r="BY26" s="71">
        <f t="shared" si="27"/>
        <v>0</v>
      </c>
      <c r="BZ26" s="112">
        <f t="shared" si="28"/>
        <v>0</v>
      </c>
      <c r="CA26" s="233"/>
      <c r="CB26" s="233"/>
      <c r="CC26" s="71">
        <f t="shared" si="29"/>
        <v>0</v>
      </c>
      <c r="CD26" s="71">
        <f t="shared" si="30"/>
        <v>0</v>
      </c>
      <c r="CE26" s="71">
        <f t="shared" si="31"/>
        <v>0</v>
      </c>
      <c r="CF26" s="71">
        <f t="shared" si="32"/>
        <v>0</v>
      </c>
      <c r="CG26" s="71">
        <f t="shared" si="33"/>
        <v>0</v>
      </c>
      <c r="CH26" s="261">
        <f t="shared" si="34"/>
        <v>0</v>
      </c>
      <c r="CI26" s="262">
        <f t="shared" si="35"/>
        <v>0</v>
      </c>
      <c r="CJ26" s="73"/>
      <c r="CK26" s="196"/>
      <c r="CL26" s="176"/>
      <c r="CM26" s="173"/>
      <c r="CN26" s="179"/>
      <c r="CO26" s="195"/>
      <c r="CP26" s="179"/>
      <c r="CQ26" s="140"/>
      <c r="CR26" s="52"/>
      <c r="CS26" s="55" t="str">
        <f t="shared" si="36"/>
        <v xml:space="preserve">MARTHA SILVA </v>
      </c>
      <c r="CT26" s="185" t="str">
        <f>+'SEMANA DEL 2 AL 7-3-26'!CS26</f>
        <v>V-28,636.032</v>
      </c>
      <c r="CU26" s="292">
        <f t="shared" si="37"/>
        <v>0</v>
      </c>
      <c r="CV26" s="292">
        <f t="shared" si="38"/>
        <v>0</v>
      </c>
      <c r="CW26" s="292"/>
      <c r="CX26" s="292"/>
      <c r="CY26" s="292">
        <f t="shared" si="39"/>
        <v>0</v>
      </c>
      <c r="CZ26" s="301"/>
      <c r="DA26" s="301"/>
      <c r="DB26" s="302">
        <f t="shared" si="40"/>
        <v>0</v>
      </c>
      <c r="DC26" s="303"/>
      <c r="DD26" s="186">
        <f t="shared" si="41"/>
        <v>0</v>
      </c>
      <c r="DE26" s="317">
        <f t="shared" si="42"/>
        <v>0</v>
      </c>
      <c r="DF26" s="184"/>
      <c r="DG26" s="184"/>
    </row>
    <row r="27" spans="1:111" ht="18" x14ac:dyDescent="0.25">
      <c r="A27" s="297" t="str">
        <f>+'SEMANA DEL 7 AL 14'!A27</f>
        <v>MARIELA MARTINEZ</v>
      </c>
      <c r="B27" s="289">
        <f>+'SEMANA DEL 7 AL 14'!AX27</f>
        <v>0</v>
      </c>
      <c r="C27" s="289">
        <f>+'SEMANA DEL 7 AL 14'!AY27</f>
        <v>-3.9999999999977831E-3</v>
      </c>
      <c r="D27" s="289">
        <f>+'SEMANA DEL 7 AL 14'!AZ27</f>
        <v>0</v>
      </c>
      <c r="E27" s="289">
        <f>+'SEMANA DEL 7 AL 14'!BA27</f>
        <v>0</v>
      </c>
      <c r="F27" s="289">
        <f>+'SEMANA DEL 7 AL 14'!BB27</f>
        <v>0</v>
      </c>
      <c r="G27" s="289">
        <f>+'SEMANA DEL 7 AL 14'!BC27</f>
        <v>0</v>
      </c>
      <c r="H27" s="289">
        <f>+'SEMANA DEL 7 AL 14'!BD27</f>
        <v>0</v>
      </c>
      <c r="I27" s="289">
        <f>+'SEMANA DEL 7 AL 14'!BE27</f>
        <v>0</v>
      </c>
      <c r="J27" s="289">
        <f>+'SEMANA DEL 7 AL 14'!BF27</f>
        <v>0</v>
      </c>
      <c r="K27" s="289">
        <f>+'SEMANA DEL 7 AL 14'!BG27</f>
        <v>0</v>
      </c>
      <c r="L27" s="289">
        <f>+'SEMANA DEL 7 AL 14'!BH27</f>
        <v>0</v>
      </c>
      <c r="M27" s="289">
        <f>+'SEMANA DEL 7 AL 14'!BI27</f>
        <v>0</v>
      </c>
      <c r="N27" s="289">
        <f>+'SEMANA DEL 7 AL 14'!BJ27</f>
        <v>0</v>
      </c>
      <c r="O27" s="289">
        <f>+'SEMANA DEL 7 AL 14'!BK27</f>
        <v>0</v>
      </c>
      <c r="P27" s="289">
        <f>+'SEMANA DEL 7 AL 14'!BL27</f>
        <v>0</v>
      </c>
      <c r="Q27" s="289">
        <f>+'SEMANA DEL 7 AL 14'!BM27</f>
        <v>0</v>
      </c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99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322"/>
      <c r="AU27" s="322"/>
      <c r="AV27" s="322"/>
      <c r="AW27" s="322"/>
      <c r="AX27" s="190">
        <f t="shared" si="1"/>
        <v>0</v>
      </c>
      <c r="AY27" s="190">
        <f t="shared" si="2"/>
        <v>-3.9999999999977831E-3</v>
      </c>
      <c r="AZ27" s="190">
        <f t="shared" si="3"/>
        <v>0</v>
      </c>
      <c r="BA27" s="190">
        <f t="shared" si="4"/>
        <v>0</v>
      </c>
      <c r="BB27" s="190">
        <f t="shared" si="5"/>
        <v>0</v>
      </c>
      <c r="BC27" s="190">
        <f t="shared" si="6"/>
        <v>0</v>
      </c>
      <c r="BD27" s="190">
        <f t="shared" si="7"/>
        <v>0</v>
      </c>
      <c r="BE27" s="190">
        <f t="shared" si="8"/>
        <v>0</v>
      </c>
      <c r="BF27" s="190">
        <f t="shared" si="9"/>
        <v>0</v>
      </c>
      <c r="BG27" s="190">
        <f t="shared" si="10"/>
        <v>0</v>
      </c>
      <c r="BH27" s="190">
        <f t="shared" si="11"/>
        <v>0</v>
      </c>
      <c r="BI27" s="190">
        <f t="shared" si="12"/>
        <v>0</v>
      </c>
      <c r="BJ27" s="190">
        <f t="shared" si="13"/>
        <v>0</v>
      </c>
      <c r="BK27" s="190">
        <f t="shared" si="14"/>
        <v>0</v>
      </c>
      <c r="BL27" s="190">
        <f t="shared" si="15"/>
        <v>0</v>
      </c>
      <c r="BM27" s="190">
        <f t="shared" si="16"/>
        <v>0</v>
      </c>
      <c r="BN27" s="190"/>
      <c r="BO27" s="258">
        <f t="shared" si="17"/>
        <v>0</v>
      </c>
      <c r="BP27" s="71">
        <f t="shared" si="18"/>
        <v>0</v>
      </c>
      <c r="BQ27" s="112">
        <f t="shared" si="19"/>
        <v>0</v>
      </c>
      <c r="BR27" s="112">
        <f t="shared" si="20"/>
        <v>0</v>
      </c>
      <c r="BS27" s="112">
        <f t="shared" si="21"/>
        <v>0</v>
      </c>
      <c r="BT27" s="112">
        <f t="shared" si="22"/>
        <v>0</v>
      </c>
      <c r="BU27" s="112">
        <f t="shared" si="23"/>
        <v>0</v>
      </c>
      <c r="BV27" s="112">
        <f t="shared" si="24"/>
        <v>0</v>
      </c>
      <c r="BW27" s="112">
        <f t="shared" si="25"/>
        <v>0</v>
      </c>
      <c r="BX27" s="112">
        <f t="shared" si="26"/>
        <v>0</v>
      </c>
      <c r="BY27" s="71">
        <f t="shared" si="27"/>
        <v>0</v>
      </c>
      <c r="BZ27" s="112">
        <f t="shared" si="28"/>
        <v>0</v>
      </c>
      <c r="CA27" s="233"/>
      <c r="CB27" s="233"/>
      <c r="CC27" s="71">
        <f t="shared" si="29"/>
        <v>0</v>
      </c>
      <c r="CD27" s="71">
        <f t="shared" si="30"/>
        <v>0</v>
      </c>
      <c r="CE27" s="71">
        <f t="shared" si="31"/>
        <v>0</v>
      </c>
      <c r="CF27" s="71">
        <f t="shared" si="32"/>
        <v>0</v>
      </c>
      <c r="CG27" s="71">
        <f t="shared" si="33"/>
        <v>0</v>
      </c>
      <c r="CH27" s="261">
        <f t="shared" si="34"/>
        <v>0</v>
      </c>
      <c r="CI27" s="262">
        <f t="shared" si="35"/>
        <v>0</v>
      </c>
      <c r="CJ27" s="73"/>
      <c r="CK27" s="172"/>
      <c r="CL27" s="176"/>
      <c r="CM27" s="173"/>
      <c r="CN27" s="179"/>
      <c r="CO27" s="195"/>
      <c r="CP27" s="241"/>
      <c r="CQ27" s="140"/>
      <c r="CR27" s="52"/>
      <c r="CS27" s="55" t="str">
        <f t="shared" si="36"/>
        <v>MARIELA MARTINEZ</v>
      </c>
      <c r="CT27" s="185" t="str">
        <f>+'SEMANA DEL 2 AL 7-3-26'!CS29</f>
        <v>V-22.680.548</v>
      </c>
      <c r="CU27" s="292">
        <f t="shared" si="37"/>
        <v>0</v>
      </c>
      <c r="CV27" s="292">
        <f t="shared" si="38"/>
        <v>0</v>
      </c>
      <c r="CW27" s="292"/>
      <c r="CX27" s="292"/>
      <c r="CY27" s="292">
        <f t="shared" si="39"/>
        <v>0</v>
      </c>
      <c r="CZ27" s="301"/>
      <c r="DA27" s="301"/>
      <c r="DB27" s="302">
        <f t="shared" si="40"/>
        <v>0</v>
      </c>
      <c r="DC27" s="303"/>
      <c r="DD27" s="186">
        <f t="shared" si="41"/>
        <v>0</v>
      </c>
      <c r="DE27" s="317">
        <f t="shared" si="42"/>
        <v>0</v>
      </c>
      <c r="DF27" s="184"/>
      <c r="DG27" s="184"/>
    </row>
    <row r="28" spans="1:111" ht="18" x14ac:dyDescent="0.25">
      <c r="A28" s="297" t="str">
        <f>+'SEMANA DEL 7 AL 14'!A28</f>
        <v xml:space="preserve">MANUEL CONTRERAS </v>
      </c>
      <c r="B28" s="289">
        <f>+'SEMANA DEL 7 AL 14'!AX28</f>
        <v>0</v>
      </c>
      <c r="C28" s="289">
        <f>+'SEMANA DEL 7 AL 14'!AY28</f>
        <v>-3.9999999999977831E-3</v>
      </c>
      <c r="D28" s="289">
        <f>+'SEMANA DEL 7 AL 14'!AZ28</f>
        <v>0</v>
      </c>
      <c r="E28" s="289">
        <f>+'SEMANA DEL 7 AL 14'!BA28</f>
        <v>0</v>
      </c>
      <c r="F28" s="289">
        <f>+'SEMANA DEL 7 AL 14'!BB28</f>
        <v>0</v>
      </c>
      <c r="G28" s="289">
        <f>+'SEMANA DEL 7 AL 14'!BC28</f>
        <v>0</v>
      </c>
      <c r="H28" s="289">
        <f>+'SEMANA DEL 7 AL 14'!BD28</f>
        <v>0</v>
      </c>
      <c r="I28" s="289">
        <f>+'SEMANA DEL 7 AL 14'!BE28</f>
        <v>0</v>
      </c>
      <c r="J28" s="289">
        <f>+'SEMANA DEL 7 AL 14'!BF28</f>
        <v>0</v>
      </c>
      <c r="K28" s="289">
        <f>+'SEMANA DEL 7 AL 14'!BG28</f>
        <v>0</v>
      </c>
      <c r="L28" s="289">
        <f>+'SEMANA DEL 7 AL 14'!BH28</f>
        <v>0</v>
      </c>
      <c r="M28" s="289">
        <f>+'SEMANA DEL 7 AL 14'!BI28</f>
        <v>0</v>
      </c>
      <c r="N28" s="289">
        <f>+'SEMANA DEL 7 AL 14'!BJ28</f>
        <v>0</v>
      </c>
      <c r="O28" s="289">
        <f>+'SEMANA DEL 7 AL 14'!BK28</f>
        <v>0</v>
      </c>
      <c r="P28" s="289">
        <f>+'SEMANA DEL 7 AL 14'!BL28</f>
        <v>0</v>
      </c>
      <c r="Q28" s="289">
        <f>+'SEMANA DEL 7 AL 14'!BM28</f>
        <v>0</v>
      </c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99"/>
      <c r="AH28" s="289"/>
      <c r="AI28" s="289"/>
      <c r="AJ28" s="289"/>
      <c r="AK28" s="289"/>
      <c r="AL28" s="299"/>
      <c r="AM28" s="299"/>
      <c r="AN28" s="183"/>
      <c r="AO28" s="289"/>
      <c r="AP28" s="289"/>
      <c r="AQ28" s="289"/>
      <c r="AR28" s="289"/>
      <c r="AS28" s="289"/>
      <c r="AT28" s="322"/>
      <c r="AU28" s="322"/>
      <c r="AV28" s="322"/>
      <c r="AW28" s="322"/>
      <c r="AX28" s="190">
        <f t="shared" si="1"/>
        <v>0</v>
      </c>
      <c r="AY28" s="190">
        <f t="shared" si="2"/>
        <v>-3.9999999999977831E-3</v>
      </c>
      <c r="AZ28" s="190">
        <f t="shared" si="3"/>
        <v>0</v>
      </c>
      <c r="BA28" s="190">
        <f t="shared" si="4"/>
        <v>0</v>
      </c>
      <c r="BB28" s="190">
        <f t="shared" si="5"/>
        <v>0</v>
      </c>
      <c r="BC28" s="190">
        <f t="shared" si="6"/>
        <v>0</v>
      </c>
      <c r="BD28" s="190">
        <f t="shared" si="7"/>
        <v>0</v>
      </c>
      <c r="BE28" s="190">
        <f t="shared" si="8"/>
        <v>0</v>
      </c>
      <c r="BF28" s="190">
        <f t="shared" si="9"/>
        <v>0</v>
      </c>
      <c r="BG28" s="190">
        <f t="shared" si="10"/>
        <v>0</v>
      </c>
      <c r="BH28" s="190">
        <f t="shared" si="11"/>
        <v>0</v>
      </c>
      <c r="BI28" s="190">
        <f t="shared" si="12"/>
        <v>0</v>
      </c>
      <c r="BJ28" s="190">
        <f t="shared" si="13"/>
        <v>0</v>
      </c>
      <c r="BK28" s="190">
        <f t="shared" si="14"/>
        <v>0</v>
      </c>
      <c r="BL28" s="190">
        <f t="shared" si="15"/>
        <v>0</v>
      </c>
      <c r="BM28" s="190">
        <f t="shared" si="16"/>
        <v>0</v>
      </c>
      <c r="BN28" s="190"/>
      <c r="BO28" s="258">
        <f t="shared" si="17"/>
        <v>0</v>
      </c>
      <c r="BP28" s="71">
        <f t="shared" si="18"/>
        <v>0</v>
      </c>
      <c r="BQ28" s="112">
        <f t="shared" si="19"/>
        <v>0</v>
      </c>
      <c r="BR28" s="112">
        <f t="shared" si="20"/>
        <v>0</v>
      </c>
      <c r="BS28" s="112">
        <f t="shared" si="21"/>
        <v>0</v>
      </c>
      <c r="BT28" s="112">
        <f t="shared" si="22"/>
        <v>0</v>
      </c>
      <c r="BU28" s="112">
        <f t="shared" si="23"/>
        <v>0</v>
      </c>
      <c r="BV28" s="112">
        <f t="shared" si="24"/>
        <v>0</v>
      </c>
      <c r="BW28" s="112">
        <f t="shared" si="25"/>
        <v>0</v>
      </c>
      <c r="BX28" s="112">
        <f t="shared" si="26"/>
        <v>0</v>
      </c>
      <c r="BY28" s="71">
        <f t="shared" si="27"/>
        <v>0</v>
      </c>
      <c r="BZ28" s="112">
        <f t="shared" si="28"/>
        <v>0</v>
      </c>
      <c r="CA28" s="233"/>
      <c r="CB28" s="233"/>
      <c r="CC28" s="71">
        <f t="shared" si="29"/>
        <v>0</v>
      </c>
      <c r="CD28" s="71">
        <f t="shared" si="30"/>
        <v>0</v>
      </c>
      <c r="CE28" s="71">
        <f t="shared" si="31"/>
        <v>0</v>
      </c>
      <c r="CF28" s="71">
        <f t="shared" si="32"/>
        <v>0</v>
      </c>
      <c r="CG28" s="71">
        <f t="shared" si="33"/>
        <v>0</v>
      </c>
      <c r="CH28" s="261">
        <f t="shared" si="34"/>
        <v>0</v>
      </c>
      <c r="CI28" s="262">
        <f t="shared" si="35"/>
        <v>0</v>
      </c>
      <c r="CJ28" s="73"/>
      <c r="CK28" s="172"/>
      <c r="CL28" s="176"/>
      <c r="CM28" s="173"/>
      <c r="CN28" s="179"/>
      <c r="CO28" s="195"/>
      <c r="CP28" s="241"/>
      <c r="CQ28" s="140"/>
      <c r="CR28" s="52"/>
      <c r="CS28" s="55" t="str">
        <f t="shared" si="36"/>
        <v xml:space="preserve">MANUEL CONTRERAS </v>
      </c>
      <c r="CT28" s="185" t="e">
        <f>+'SEMANA DEL 2 AL 7-3-26'!#REF!</f>
        <v>#REF!</v>
      </c>
      <c r="CU28" s="292">
        <f t="shared" si="37"/>
        <v>0</v>
      </c>
      <c r="CV28" s="292">
        <f t="shared" si="38"/>
        <v>0</v>
      </c>
      <c r="CW28" s="292"/>
      <c r="CX28" s="292"/>
      <c r="CY28" s="292">
        <f t="shared" si="39"/>
        <v>0</v>
      </c>
      <c r="CZ28" s="301"/>
      <c r="DA28" s="301"/>
      <c r="DB28" s="302">
        <f t="shared" si="40"/>
        <v>0</v>
      </c>
      <c r="DC28" s="303"/>
      <c r="DD28" s="186">
        <f t="shared" si="41"/>
        <v>0</v>
      </c>
      <c r="DE28" s="317">
        <f t="shared" si="42"/>
        <v>0</v>
      </c>
      <c r="DF28" s="184"/>
      <c r="DG28" s="184"/>
    </row>
    <row r="29" spans="1:111" ht="18" x14ac:dyDescent="0.25">
      <c r="A29" s="297" t="str">
        <f>+'SEMANA DEL 7 AL 14'!A29</f>
        <v xml:space="preserve">MARIA MEDINA </v>
      </c>
      <c r="B29" s="289">
        <f>+'SEMANA DEL 7 AL 14'!AX29</f>
        <v>0</v>
      </c>
      <c r="C29" s="289">
        <f>+'SEMANA DEL 7 AL 14'!AY29</f>
        <v>-3.9999999999977831E-3</v>
      </c>
      <c r="D29" s="289">
        <f>+'SEMANA DEL 7 AL 14'!AZ29</f>
        <v>0</v>
      </c>
      <c r="E29" s="289">
        <f>+'SEMANA DEL 7 AL 14'!BA29</f>
        <v>0</v>
      </c>
      <c r="F29" s="289">
        <f>+'SEMANA DEL 7 AL 14'!BB29</f>
        <v>0</v>
      </c>
      <c r="G29" s="289">
        <f>+'SEMANA DEL 7 AL 14'!BC29</f>
        <v>0</v>
      </c>
      <c r="H29" s="289">
        <f>+'SEMANA DEL 7 AL 14'!BD29</f>
        <v>0</v>
      </c>
      <c r="I29" s="289">
        <f>+'SEMANA DEL 7 AL 14'!BE29</f>
        <v>0</v>
      </c>
      <c r="J29" s="289">
        <f>+'SEMANA DEL 7 AL 14'!BF29</f>
        <v>0</v>
      </c>
      <c r="K29" s="289">
        <f>+'SEMANA DEL 7 AL 14'!BG29</f>
        <v>0</v>
      </c>
      <c r="L29" s="289">
        <f>+'SEMANA DEL 7 AL 14'!BH29</f>
        <v>0</v>
      </c>
      <c r="M29" s="289">
        <f>+'SEMANA DEL 7 AL 14'!BI29</f>
        <v>0</v>
      </c>
      <c r="N29" s="289">
        <f>+'SEMANA DEL 7 AL 14'!BJ29</f>
        <v>0</v>
      </c>
      <c r="O29" s="289">
        <f>+'SEMANA DEL 7 AL 14'!BK29</f>
        <v>0</v>
      </c>
      <c r="P29" s="289">
        <f>+'SEMANA DEL 7 AL 14'!BL29</f>
        <v>0</v>
      </c>
      <c r="Q29" s="289">
        <f>+'SEMANA DEL 7 AL 14'!BM29</f>
        <v>0</v>
      </c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9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322"/>
      <c r="AU29" s="322"/>
      <c r="AV29" s="322"/>
      <c r="AW29" s="322"/>
      <c r="AX29" s="190">
        <f t="shared" si="1"/>
        <v>0</v>
      </c>
      <c r="AY29" s="190">
        <f t="shared" si="2"/>
        <v>-3.9999999999977831E-3</v>
      </c>
      <c r="AZ29" s="190">
        <f t="shared" si="3"/>
        <v>0</v>
      </c>
      <c r="BA29" s="190">
        <f t="shared" si="4"/>
        <v>0</v>
      </c>
      <c r="BB29" s="190">
        <f t="shared" si="5"/>
        <v>0</v>
      </c>
      <c r="BC29" s="190">
        <f t="shared" si="6"/>
        <v>0</v>
      </c>
      <c r="BD29" s="190">
        <f t="shared" si="7"/>
        <v>0</v>
      </c>
      <c r="BE29" s="190">
        <f t="shared" si="8"/>
        <v>0</v>
      </c>
      <c r="BF29" s="190">
        <f t="shared" si="9"/>
        <v>0</v>
      </c>
      <c r="BG29" s="190">
        <f t="shared" si="10"/>
        <v>0</v>
      </c>
      <c r="BH29" s="190">
        <f t="shared" si="11"/>
        <v>0</v>
      </c>
      <c r="BI29" s="190">
        <f t="shared" si="12"/>
        <v>0</v>
      </c>
      <c r="BJ29" s="190">
        <f t="shared" si="13"/>
        <v>0</v>
      </c>
      <c r="BK29" s="190">
        <f t="shared" si="14"/>
        <v>0</v>
      </c>
      <c r="BL29" s="190">
        <f t="shared" si="15"/>
        <v>0</v>
      </c>
      <c r="BM29" s="190">
        <f t="shared" si="16"/>
        <v>0</v>
      </c>
      <c r="BN29" s="190"/>
      <c r="BO29" s="258">
        <f t="shared" si="17"/>
        <v>0</v>
      </c>
      <c r="BP29" s="71">
        <f t="shared" si="18"/>
        <v>0</v>
      </c>
      <c r="BQ29" s="112">
        <f t="shared" si="19"/>
        <v>0</v>
      </c>
      <c r="BR29" s="112">
        <f t="shared" si="20"/>
        <v>0</v>
      </c>
      <c r="BS29" s="112">
        <f t="shared" si="21"/>
        <v>0</v>
      </c>
      <c r="BT29" s="112">
        <f t="shared" si="22"/>
        <v>0</v>
      </c>
      <c r="BU29" s="112">
        <f t="shared" si="23"/>
        <v>0</v>
      </c>
      <c r="BV29" s="112">
        <f t="shared" si="24"/>
        <v>0</v>
      </c>
      <c r="BW29" s="112">
        <f t="shared" si="25"/>
        <v>0</v>
      </c>
      <c r="BX29" s="112">
        <f t="shared" si="26"/>
        <v>0</v>
      </c>
      <c r="BY29" s="71">
        <f t="shared" si="27"/>
        <v>0</v>
      </c>
      <c r="BZ29" s="112">
        <f t="shared" si="28"/>
        <v>0</v>
      </c>
      <c r="CA29" s="233"/>
      <c r="CB29" s="233"/>
      <c r="CC29" s="71">
        <f t="shared" si="29"/>
        <v>0</v>
      </c>
      <c r="CD29" s="71">
        <f t="shared" si="30"/>
        <v>0</v>
      </c>
      <c r="CE29" s="71">
        <f t="shared" si="31"/>
        <v>0</v>
      </c>
      <c r="CF29" s="71">
        <f t="shared" si="32"/>
        <v>0</v>
      </c>
      <c r="CG29" s="71">
        <f t="shared" si="33"/>
        <v>0</v>
      </c>
      <c r="CH29" s="261">
        <f t="shared" si="34"/>
        <v>0</v>
      </c>
      <c r="CI29" s="262">
        <f t="shared" si="35"/>
        <v>0</v>
      </c>
      <c r="CJ29" s="73"/>
      <c r="CK29" s="172"/>
      <c r="CL29" s="176"/>
      <c r="CM29" s="173"/>
      <c r="CN29" s="179"/>
      <c r="CO29" s="195"/>
      <c r="CP29" s="241"/>
      <c r="CQ29" s="140"/>
      <c r="CR29" s="52"/>
      <c r="CS29" s="55" t="str">
        <f t="shared" si="36"/>
        <v xml:space="preserve">MARIA MEDINA </v>
      </c>
      <c r="CT29" s="185" t="str">
        <f>+'SEMANA DEL 2 AL 7-3-26'!CS30</f>
        <v>V-8991.028</v>
      </c>
      <c r="CU29" s="292">
        <f t="shared" si="37"/>
        <v>0</v>
      </c>
      <c r="CV29" s="292">
        <f t="shared" si="38"/>
        <v>0</v>
      </c>
      <c r="CW29" s="292"/>
      <c r="CX29" s="292"/>
      <c r="CY29" s="292">
        <f t="shared" si="39"/>
        <v>0</v>
      </c>
      <c r="CZ29" s="301"/>
      <c r="DA29" s="301"/>
      <c r="DB29" s="302">
        <f t="shared" si="40"/>
        <v>0</v>
      </c>
      <c r="DC29" s="303"/>
      <c r="DD29" s="186">
        <f t="shared" si="41"/>
        <v>0</v>
      </c>
      <c r="DE29" s="317">
        <f t="shared" si="42"/>
        <v>0</v>
      </c>
      <c r="DF29" s="184"/>
      <c r="DG29" s="184"/>
    </row>
    <row r="30" spans="1:111" ht="18" x14ac:dyDescent="0.25">
      <c r="A30" s="297" t="str">
        <f>+'SEMANA DEL 7 AL 14'!A30</f>
        <v xml:space="preserve">PETTER BENAVIDES </v>
      </c>
      <c r="B30" s="289">
        <f>+'SEMANA DEL 7 AL 14'!AX30</f>
        <v>10</v>
      </c>
      <c r="C30" s="289">
        <f>+'SEMANA DEL 7 AL 14'!AY30</f>
        <v>18</v>
      </c>
      <c r="D30" s="289">
        <f>+'SEMANA DEL 7 AL 14'!AZ30</f>
        <v>70</v>
      </c>
      <c r="E30" s="289">
        <f>+'SEMANA DEL 7 AL 14'!BA30</f>
        <v>8</v>
      </c>
      <c r="F30" s="289">
        <f>+'SEMANA DEL 7 AL 14'!BB30</f>
        <v>0</v>
      </c>
      <c r="G30" s="289">
        <f>+'SEMANA DEL 7 AL 14'!BC30</f>
        <v>0</v>
      </c>
      <c r="H30" s="289">
        <f>+'SEMANA DEL 7 AL 14'!BD30</f>
        <v>0</v>
      </c>
      <c r="I30" s="289">
        <f>+'SEMANA DEL 7 AL 14'!BE30</f>
        <v>2</v>
      </c>
      <c r="J30" s="289">
        <f>+'SEMANA DEL 7 AL 14'!BF30</f>
        <v>0</v>
      </c>
      <c r="K30" s="289">
        <f>+'SEMANA DEL 7 AL 14'!BG30</f>
        <v>0</v>
      </c>
      <c r="L30" s="289">
        <f>+'SEMANA DEL 7 AL 14'!BH30</f>
        <v>0</v>
      </c>
      <c r="M30" s="289">
        <f>+'SEMANA DEL 7 AL 14'!BI30</f>
        <v>0</v>
      </c>
      <c r="N30" s="289">
        <f>+'SEMANA DEL 7 AL 14'!BJ30</f>
        <v>0</v>
      </c>
      <c r="O30" s="289">
        <f>+'SEMANA DEL 7 AL 14'!BK30</f>
        <v>0</v>
      </c>
      <c r="P30" s="289">
        <f>+'SEMANA DEL 7 AL 14'!BL30</f>
        <v>0</v>
      </c>
      <c r="Q30" s="289">
        <f>+'SEMANA DEL 7 AL 14'!BM30</f>
        <v>0</v>
      </c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9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322"/>
      <c r="AU30" s="322"/>
      <c r="AV30" s="322"/>
      <c r="AW30" s="322"/>
      <c r="AX30" s="190">
        <f t="shared" si="1"/>
        <v>10</v>
      </c>
      <c r="AY30" s="190">
        <f t="shared" si="2"/>
        <v>18</v>
      </c>
      <c r="AZ30" s="190">
        <f t="shared" si="3"/>
        <v>70</v>
      </c>
      <c r="BA30" s="190">
        <f t="shared" si="4"/>
        <v>8</v>
      </c>
      <c r="BB30" s="190">
        <f t="shared" si="5"/>
        <v>0</v>
      </c>
      <c r="BC30" s="190">
        <f t="shared" si="6"/>
        <v>0</v>
      </c>
      <c r="BD30" s="190">
        <f t="shared" si="7"/>
        <v>0</v>
      </c>
      <c r="BE30" s="190">
        <f t="shared" si="8"/>
        <v>2</v>
      </c>
      <c r="BF30" s="190">
        <f t="shared" si="9"/>
        <v>0</v>
      </c>
      <c r="BG30" s="190">
        <f t="shared" si="10"/>
        <v>0</v>
      </c>
      <c r="BH30" s="190">
        <f t="shared" si="11"/>
        <v>0</v>
      </c>
      <c r="BI30" s="190">
        <f t="shared" si="12"/>
        <v>0</v>
      </c>
      <c r="BJ30" s="190">
        <f t="shared" si="13"/>
        <v>0</v>
      </c>
      <c r="BK30" s="190">
        <f t="shared" si="14"/>
        <v>0</v>
      </c>
      <c r="BL30" s="190">
        <f t="shared" si="15"/>
        <v>0</v>
      </c>
      <c r="BM30" s="190">
        <f t="shared" si="16"/>
        <v>0</v>
      </c>
      <c r="BN30" s="190"/>
      <c r="BO30" s="258">
        <f t="shared" si="17"/>
        <v>0</v>
      </c>
      <c r="BP30" s="71">
        <f t="shared" si="18"/>
        <v>0</v>
      </c>
      <c r="BQ30" s="112">
        <f t="shared" si="19"/>
        <v>0</v>
      </c>
      <c r="BR30" s="112">
        <f t="shared" si="20"/>
        <v>0</v>
      </c>
      <c r="BS30" s="112">
        <f t="shared" si="21"/>
        <v>0</v>
      </c>
      <c r="BT30" s="112">
        <f t="shared" si="22"/>
        <v>0</v>
      </c>
      <c r="BU30" s="112">
        <f t="shared" si="23"/>
        <v>0</v>
      </c>
      <c r="BV30" s="112">
        <f t="shared" si="24"/>
        <v>0</v>
      </c>
      <c r="BW30" s="112">
        <f t="shared" si="25"/>
        <v>0</v>
      </c>
      <c r="BX30" s="112">
        <f t="shared" si="26"/>
        <v>0</v>
      </c>
      <c r="BY30" s="71">
        <f t="shared" si="27"/>
        <v>0</v>
      </c>
      <c r="BZ30" s="112">
        <f t="shared" si="28"/>
        <v>0</v>
      </c>
      <c r="CA30" s="233"/>
      <c r="CB30" s="233"/>
      <c r="CC30" s="71">
        <f t="shared" si="29"/>
        <v>0</v>
      </c>
      <c r="CD30" s="71">
        <f t="shared" si="30"/>
        <v>0</v>
      </c>
      <c r="CE30" s="71">
        <f t="shared" si="31"/>
        <v>0</v>
      </c>
      <c r="CF30" s="71">
        <f t="shared" si="32"/>
        <v>0</v>
      </c>
      <c r="CG30" s="71">
        <f t="shared" si="33"/>
        <v>0</v>
      </c>
      <c r="CH30" s="261">
        <f t="shared" si="34"/>
        <v>0</v>
      </c>
      <c r="CI30" s="262">
        <f t="shared" si="35"/>
        <v>0</v>
      </c>
      <c r="CJ30" s="73"/>
      <c r="CK30" s="172"/>
      <c r="CL30" s="176"/>
      <c r="CM30" s="173"/>
      <c r="CN30" s="179"/>
      <c r="CO30" s="195"/>
      <c r="CP30" s="241"/>
      <c r="CQ30" s="140"/>
      <c r="CR30" s="52"/>
      <c r="CS30" s="55" t="str">
        <f t="shared" si="36"/>
        <v xml:space="preserve">PETTER BENAVIDES </v>
      </c>
      <c r="CT30" s="185" t="str">
        <f>+'SEMANA DEL 2 AL 7-3-26'!CS31</f>
        <v>V-5.327.891</v>
      </c>
      <c r="CU30" s="292">
        <f t="shared" si="37"/>
        <v>0</v>
      </c>
      <c r="CV30" s="292">
        <f t="shared" si="38"/>
        <v>0</v>
      </c>
      <c r="CW30" s="292"/>
      <c r="CX30" s="292"/>
      <c r="CY30" s="292">
        <f t="shared" si="39"/>
        <v>0</v>
      </c>
      <c r="CZ30" s="301"/>
      <c r="DA30" s="301"/>
      <c r="DB30" s="302">
        <f t="shared" si="40"/>
        <v>0</v>
      </c>
      <c r="DC30" s="303"/>
      <c r="DD30" s="186">
        <f t="shared" si="41"/>
        <v>0</v>
      </c>
      <c r="DE30" s="317">
        <f t="shared" si="42"/>
        <v>0</v>
      </c>
      <c r="DF30" s="184"/>
      <c r="DG30" s="184"/>
    </row>
    <row r="31" spans="1:111" ht="18" x14ac:dyDescent="0.25">
      <c r="A31" s="297" t="str">
        <f>+'SEMANA DEL 7 AL 14'!A31</f>
        <v xml:space="preserve">RAMON PARRA </v>
      </c>
      <c r="B31" s="289">
        <f>+'SEMANA DEL 7 AL 14'!AX31</f>
        <v>0</v>
      </c>
      <c r="C31" s="289">
        <f>+'SEMANA DEL 7 AL 14'!AY31</f>
        <v>0</v>
      </c>
      <c r="D31" s="289">
        <f>+'SEMANA DEL 7 AL 14'!AZ31</f>
        <v>0</v>
      </c>
      <c r="E31" s="289">
        <f>+'SEMANA DEL 7 AL 14'!BA31</f>
        <v>0</v>
      </c>
      <c r="F31" s="289">
        <f>+'SEMANA DEL 7 AL 14'!BB31</f>
        <v>0</v>
      </c>
      <c r="G31" s="289">
        <f>+'SEMANA DEL 7 AL 14'!BC31</f>
        <v>0</v>
      </c>
      <c r="H31" s="289">
        <f>+'SEMANA DEL 7 AL 14'!BD31</f>
        <v>0</v>
      </c>
      <c r="I31" s="289">
        <f>+'SEMANA DEL 7 AL 14'!BE31</f>
        <v>0</v>
      </c>
      <c r="J31" s="289">
        <f>+'SEMANA DEL 7 AL 14'!BF31</f>
        <v>0</v>
      </c>
      <c r="K31" s="289">
        <f>+'SEMANA DEL 7 AL 14'!BG31</f>
        <v>0</v>
      </c>
      <c r="L31" s="289">
        <f>+'SEMANA DEL 7 AL 14'!BH31</f>
        <v>0</v>
      </c>
      <c r="M31" s="289">
        <f>+'SEMANA DEL 7 AL 14'!BI31</f>
        <v>0</v>
      </c>
      <c r="N31" s="289">
        <f>+'SEMANA DEL 7 AL 14'!BJ31</f>
        <v>0</v>
      </c>
      <c r="O31" s="289">
        <f>+'SEMANA DEL 7 AL 14'!BK31</f>
        <v>0</v>
      </c>
      <c r="P31" s="289">
        <f>+'SEMANA DEL 7 AL 14'!BL31</f>
        <v>0</v>
      </c>
      <c r="Q31" s="289">
        <f>+'SEMANA DEL 7 AL 14'!BM31</f>
        <v>0</v>
      </c>
      <c r="R31" s="289"/>
      <c r="S31" s="289"/>
      <c r="T31" s="289"/>
      <c r="U31" s="289"/>
      <c r="V31" s="299"/>
      <c r="W31" s="299"/>
      <c r="X31" s="289"/>
      <c r="Y31" s="289"/>
      <c r="Z31" s="289"/>
      <c r="AA31" s="289"/>
      <c r="AB31" s="289"/>
      <c r="AC31" s="289"/>
      <c r="AD31" s="289"/>
      <c r="AE31" s="289"/>
      <c r="AF31" s="289"/>
      <c r="AG31" s="299"/>
      <c r="AH31" s="289"/>
      <c r="AI31" s="289"/>
      <c r="AJ31" s="289"/>
      <c r="AK31" s="289"/>
      <c r="AL31" s="299"/>
      <c r="AM31" s="299"/>
      <c r="AN31" s="289"/>
      <c r="AO31" s="289"/>
      <c r="AP31" s="289"/>
      <c r="AQ31" s="322"/>
      <c r="AR31" s="322"/>
      <c r="AS31" s="322"/>
      <c r="AT31" s="322"/>
      <c r="AU31" s="322"/>
      <c r="AV31" s="322"/>
      <c r="AW31" s="322"/>
      <c r="AX31" s="190">
        <f>+B31+R31-AH31</f>
        <v>0</v>
      </c>
      <c r="AY31" s="190">
        <f>+C31+S31-AI31</f>
        <v>0</v>
      </c>
      <c r="AZ31" s="190">
        <f>+D31+T31-AJ31</f>
        <v>0</v>
      </c>
      <c r="BA31" s="190">
        <f>+E31+U31-AK31</f>
        <v>0</v>
      </c>
      <c r="BB31" s="190">
        <f t="shared" si="5"/>
        <v>0</v>
      </c>
      <c r="BC31" s="190">
        <f t="shared" si="6"/>
        <v>0</v>
      </c>
      <c r="BD31" s="190">
        <f t="shared" si="7"/>
        <v>0</v>
      </c>
      <c r="BE31" s="190">
        <f t="shared" si="8"/>
        <v>0</v>
      </c>
      <c r="BF31" s="190">
        <f t="shared" si="9"/>
        <v>0</v>
      </c>
      <c r="BG31" s="190">
        <f t="shared" si="10"/>
        <v>0</v>
      </c>
      <c r="BH31" s="190">
        <f t="shared" si="11"/>
        <v>0</v>
      </c>
      <c r="BI31" s="190">
        <f t="shared" si="12"/>
        <v>0</v>
      </c>
      <c r="BJ31" s="190">
        <f t="shared" si="13"/>
        <v>0</v>
      </c>
      <c r="BK31" s="190">
        <f t="shared" si="14"/>
        <v>0</v>
      </c>
      <c r="BL31" s="190">
        <f t="shared" si="15"/>
        <v>0</v>
      </c>
      <c r="BM31" s="190">
        <f t="shared" si="16"/>
        <v>0</v>
      </c>
      <c r="BN31" s="190"/>
      <c r="BO31" s="258">
        <f t="shared" si="17"/>
        <v>0</v>
      </c>
      <c r="BP31" s="71">
        <f t="shared" si="18"/>
        <v>0</v>
      </c>
      <c r="BQ31" s="112">
        <f t="shared" si="19"/>
        <v>0</v>
      </c>
      <c r="BR31" s="112">
        <f t="shared" si="20"/>
        <v>0</v>
      </c>
      <c r="BS31" s="112">
        <f t="shared" si="21"/>
        <v>0</v>
      </c>
      <c r="BT31" s="112">
        <f t="shared" si="22"/>
        <v>0</v>
      </c>
      <c r="BU31" s="112">
        <f t="shared" si="23"/>
        <v>0</v>
      </c>
      <c r="BV31" s="112">
        <f t="shared" si="24"/>
        <v>0</v>
      </c>
      <c r="BW31" s="112">
        <f t="shared" si="25"/>
        <v>0</v>
      </c>
      <c r="BX31" s="112">
        <f t="shared" si="26"/>
        <v>0</v>
      </c>
      <c r="BY31" s="71">
        <f t="shared" si="27"/>
        <v>0</v>
      </c>
      <c r="BZ31" s="112">
        <f t="shared" si="28"/>
        <v>0</v>
      </c>
      <c r="CA31" s="233"/>
      <c r="CB31" s="233"/>
      <c r="CC31" s="71">
        <f t="shared" si="29"/>
        <v>0</v>
      </c>
      <c r="CD31" s="71">
        <f t="shared" si="30"/>
        <v>0</v>
      </c>
      <c r="CE31" s="71">
        <f t="shared" si="31"/>
        <v>0</v>
      </c>
      <c r="CF31" s="71">
        <f t="shared" si="32"/>
        <v>0</v>
      </c>
      <c r="CG31" s="71">
        <f t="shared" si="33"/>
        <v>0</v>
      </c>
      <c r="CH31" s="261">
        <f t="shared" si="34"/>
        <v>0</v>
      </c>
      <c r="CI31" s="262">
        <f t="shared" si="35"/>
        <v>0</v>
      </c>
      <c r="CJ31" s="73"/>
      <c r="CK31" s="172" t="s">
        <v>114</v>
      </c>
      <c r="CL31" s="176" t="e">
        <f>+'SEMANA DEL 7 AL 14'!CP35</f>
        <v>#REF!</v>
      </c>
      <c r="CM31" s="173" t="e">
        <f>+#REF!</f>
        <v>#REF!</v>
      </c>
      <c r="CN31" s="179" t="e">
        <f>+CL31+CM31</f>
        <v>#REF!</v>
      </c>
      <c r="CO31" s="195" t="e">
        <f>+#REF!</f>
        <v>#REF!</v>
      </c>
      <c r="CP31" s="241" t="e">
        <f>CN31-CO31</f>
        <v>#REF!</v>
      </c>
      <c r="CQ31" s="140"/>
      <c r="CR31" s="52"/>
      <c r="CS31" s="55" t="str">
        <f t="shared" si="36"/>
        <v xml:space="preserve">RAMON PARRA </v>
      </c>
      <c r="CT31" s="185" t="str">
        <f>+'SEMANA DEL 2 AL 7-3-26'!CS32</f>
        <v>V-18.718.244</v>
      </c>
      <c r="CU31" s="292">
        <f t="shared" si="37"/>
        <v>0</v>
      </c>
      <c r="CV31" s="292">
        <f t="shared" si="38"/>
        <v>0</v>
      </c>
      <c r="CW31" s="292"/>
      <c r="CX31" s="292"/>
      <c r="CY31" s="292">
        <f t="shared" si="39"/>
        <v>0</v>
      </c>
      <c r="CZ31" s="301"/>
      <c r="DA31" s="301"/>
      <c r="DB31" s="302">
        <f t="shared" si="40"/>
        <v>0</v>
      </c>
      <c r="DC31" s="303"/>
      <c r="DD31" s="186">
        <f t="shared" si="41"/>
        <v>0</v>
      </c>
      <c r="DE31" s="317">
        <f t="shared" si="42"/>
        <v>0</v>
      </c>
      <c r="DF31" s="184"/>
      <c r="DG31" s="184"/>
    </row>
    <row r="32" spans="1:111" ht="18" x14ac:dyDescent="0.25">
      <c r="A32" s="297" t="str">
        <f>+'SEMANA DEL 7 AL 14'!A32</f>
        <v>SULAY ALMEIDA</v>
      </c>
      <c r="B32" s="289">
        <f>+'SEMANA DEL 7 AL 14'!AX32</f>
        <v>1</v>
      </c>
      <c r="C32" s="289">
        <f>+'SEMANA DEL 7 AL 14'!AY32</f>
        <v>1.8099999999999996</v>
      </c>
      <c r="D32" s="289">
        <f>+'SEMANA DEL 7 AL 14'!AZ32</f>
        <v>6.9500000000000028</v>
      </c>
      <c r="E32" s="289">
        <f>+'SEMANA DEL 7 AL 14'!BA32</f>
        <v>0</v>
      </c>
      <c r="F32" s="289">
        <f>+'SEMANA DEL 7 AL 14'!BB32</f>
        <v>0</v>
      </c>
      <c r="G32" s="289">
        <f>+'SEMANA DEL 7 AL 14'!BC32</f>
        <v>0</v>
      </c>
      <c r="H32" s="289">
        <f>+'SEMANA DEL 7 AL 14'!BD32</f>
        <v>0</v>
      </c>
      <c r="I32" s="289">
        <f>+'SEMANA DEL 7 AL 14'!BE32</f>
        <v>0</v>
      </c>
      <c r="J32" s="289">
        <f>+'SEMANA DEL 7 AL 14'!BF32</f>
        <v>0</v>
      </c>
      <c r="K32" s="289">
        <f>+'SEMANA DEL 7 AL 14'!BG32</f>
        <v>0</v>
      </c>
      <c r="L32" s="289">
        <f>+'SEMANA DEL 7 AL 14'!BH32</f>
        <v>0</v>
      </c>
      <c r="M32" s="289">
        <f>+'SEMANA DEL 7 AL 14'!BI32</f>
        <v>0</v>
      </c>
      <c r="N32" s="289">
        <f>+'SEMANA DEL 7 AL 14'!BJ32</f>
        <v>0</v>
      </c>
      <c r="O32" s="289">
        <f>+'SEMANA DEL 7 AL 14'!BK32</f>
        <v>0</v>
      </c>
      <c r="P32" s="289">
        <f>+'SEMANA DEL 7 AL 14'!BL32</f>
        <v>0</v>
      </c>
      <c r="Q32" s="289">
        <f>+'SEMANA DEL 7 AL 14'!BM32</f>
        <v>0</v>
      </c>
      <c r="R32" s="299"/>
      <c r="S32" s="299"/>
      <c r="T32" s="299"/>
      <c r="U32" s="299"/>
      <c r="V32" s="299"/>
      <c r="W32" s="299"/>
      <c r="X32" s="289"/>
      <c r="Y32" s="289"/>
      <c r="Z32" s="289"/>
      <c r="AA32" s="289"/>
      <c r="AB32" s="289"/>
      <c r="AC32" s="289"/>
      <c r="AD32" s="289"/>
      <c r="AE32" s="289"/>
      <c r="AF32" s="289"/>
      <c r="AG32" s="299"/>
      <c r="AH32" s="299"/>
      <c r="AI32" s="299"/>
      <c r="AJ32" s="299"/>
      <c r="AK32" s="299"/>
      <c r="AL32" s="299"/>
      <c r="AM32" s="299"/>
      <c r="AN32" s="289"/>
      <c r="AO32" s="289"/>
      <c r="AP32" s="289"/>
      <c r="AQ32" s="322"/>
      <c r="AR32" s="322"/>
      <c r="AS32" s="322"/>
      <c r="AT32" s="322"/>
      <c r="AU32" s="322"/>
      <c r="AV32" s="322"/>
      <c r="AW32" s="322"/>
      <c r="AX32" s="190">
        <f t="shared" si="1"/>
        <v>1</v>
      </c>
      <c r="AY32" s="190">
        <f t="shared" si="2"/>
        <v>1.8099999999999996</v>
      </c>
      <c r="AZ32" s="190">
        <f t="shared" si="3"/>
        <v>6.9500000000000028</v>
      </c>
      <c r="BA32" s="190">
        <f t="shared" si="4"/>
        <v>0</v>
      </c>
      <c r="BB32" s="190">
        <f t="shared" si="5"/>
        <v>0</v>
      </c>
      <c r="BC32" s="190">
        <f t="shared" si="6"/>
        <v>0</v>
      </c>
      <c r="BD32" s="190">
        <f t="shared" si="7"/>
        <v>0</v>
      </c>
      <c r="BE32" s="190">
        <f t="shared" si="8"/>
        <v>0</v>
      </c>
      <c r="BF32" s="190">
        <f t="shared" si="9"/>
        <v>0</v>
      </c>
      <c r="BG32" s="190">
        <f t="shared" si="10"/>
        <v>0</v>
      </c>
      <c r="BH32" s="190">
        <f t="shared" si="11"/>
        <v>0</v>
      </c>
      <c r="BI32" s="190">
        <f t="shared" si="12"/>
        <v>0</v>
      </c>
      <c r="BJ32" s="190">
        <f t="shared" si="13"/>
        <v>0</v>
      </c>
      <c r="BK32" s="190">
        <f t="shared" si="14"/>
        <v>0</v>
      </c>
      <c r="BL32" s="190">
        <f t="shared" si="15"/>
        <v>0</v>
      </c>
      <c r="BM32" s="190">
        <f t="shared" si="16"/>
        <v>0</v>
      </c>
      <c r="BN32" s="190"/>
      <c r="BO32" s="258">
        <f t="shared" si="17"/>
        <v>0</v>
      </c>
      <c r="BP32" s="71">
        <f t="shared" si="18"/>
        <v>0</v>
      </c>
      <c r="BQ32" s="112">
        <f t="shared" si="19"/>
        <v>0</v>
      </c>
      <c r="BR32" s="112">
        <f t="shared" si="20"/>
        <v>0</v>
      </c>
      <c r="BS32" s="112">
        <f t="shared" si="21"/>
        <v>0</v>
      </c>
      <c r="BT32" s="112">
        <f t="shared" si="22"/>
        <v>0</v>
      </c>
      <c r="BU32" s="112">
        <f t="shared" si="23"/>
        <v>0</v>
      </c>
      <c r="BV32" s="112">
        <f t="shared" si="24"/>
        <v>0</v>
      </c>
      <c r="BW32" s="112">
        <f t="shared" si="25"/>
        <v>0</v>
      </c>
      <c r="BX32" s="112">
        <f t="shared" si="26"/>
        <v>0</v>
      </c>
      <c r="BY32" s="71">
        <f t="shared" si="27"/>
        <v>0</v>
      </c>
      <c r="BZ32" s="112">
        <f t="shared" si="28"/>
        <v>0</v>
      </c>
      <c r="CA32" s="233"/>
      <c r="CB32" s="233"/>
      <c r="CC32" s="71">
        <f t="shared" si="29"/>
        <v>0</v>
      </c>
      <c r="CD32" s="71">
        <f t="shared" si="30"/>
        <v>0</v>
      </c>
      <c r="CE32" s="71">
        <f t="shared" si="31"/>
        <v>0</v>
      </c>
      <c r="CF32" s="71">
        <f t="shared" si="32"/>
        <v>0</v>
      </c>
      <c r="CG32" s="71">
        <f t="shared" si="33"/>
        <v>0</v>
      </c>
      <c r="CH32" s="261">
        <f t="shared" si="34"/>
        <v>0</v>
      </c>
      <c r="CI32" s="262">
        <f t="shared" si="35"/>
        <v>0</v>
      </c>
      <c r="CJ32" s="73"/>
      <c r="CK32" s="172"/>
      <c r="CL32" s="176"/>
      <c r="CM32" s="173"/>
      <c r="CN32" s="179"/>
      <c r="CO32" s="343"/>
      <c r="CP32" s="344"/>
      <c r="CQ32" s="140"/>
      <c r="CR32" s="52"/>
      <c r="CS32" s="55" t="str">
        <f t="shared" si="36"/>
        <v>SULAY ALMEIDA</v>
      </c>
      <c r="CT32" s="185" t="str">
        <f>+'SEMANA DEL 2 AL 7-3-26'!CS33</f>
        <v>V-21.033.815</v>
      </c>
      <c r="CU32" s="292">
        <f>+BN32</f>
        <v>0</v>
      </c>
      <c r="CV32" s="292">
        <f>+AW32</f>
        <v>0</v>
      </c>
      <c r="CW32" s="292"/>
      <c r="CX32" s="292"/>
      <c r="CY32" s="292">
        <f t="shared" si="39"/>
        <v>0</v>
      </c>
      <c r="CZ32" s="301"/>
      <c r="DA32" s="301"/>
      <c r="DB32" s="302">
        <f>+CZ32*6500+DA32*3500</f>
        <v>0</v>
      </c>
      <c r="DC32" s="303"/>
      <c r="DD32" s="186">
        <f>+CI32</f>
        <v>0</v>
      </c>
      <c r="DE32" s="317">
        <f>+DB32+DD32+CY32</f>
        <v>0</v>
      </c>
      <c r="DF32" s="184"/>
      <c r="DG32" s="184"/>
    </row>
    <row r="33" spans="1:111" ht="18" x14ac:dyDescent="0.25">
      <c r="A33" s="297" t="str">
        <f>+'SEMANA DEL 7 AL 14'!A33</f>
        <v xml:space="preserve">RENE ALMEIDA </v>
      </c>
      <c r="B33" s="289">
        <f>+'SEMANA DEL 7 AL 14'!AX33</f>
        <v>3.8999999999999995</v>
      </c>
      <c r="C33" s="289">
        <f>+'SEMANA DEL 7 AL 14'!AY33</f>
        <v>4.5200000000000005</v>
      </c>
      <c r="D33" s="289">
        <f>+'SEMANA DEL 7 AL 14'!AZ33</f>
        <v>24.6</v>
      </c>
      <c r="E33" s="289">
        <f>+'SEMANA DEL 7 AL 14'!BA33</f>
        <v>2</v>
      </c>
      <c r="F33" s="289">
        <f>+'SEMANA DEL 7 AL 14'!BB33</f>
        <v>0</v>
      </c>
      <c r="G33" s="289">
        <f>+'SEMANA DEL 7 AL 14'!BC33</f>
        <v>0</v>
      </c>
      <c r="H33" s="289">
        <f>+'SEMANA DEL 7 AL 14'!BD33</f>
        <v>0</v>
      </c>
      <c r="I33" s="289">
        <f>+'SEMANA DEL 7 AL 14'!BE33</f>
        <v>0</v>
      </c>
      <c r="J33" s="289">
        <f>+'SEMANA DEL 7 AL 14'!BF33</f>
        <v>0</v>
      </c>
      <c r="K33" s="289">
        <f>+'SEMANA DEL 7 AL 14'!BG33</f>
        <v>0</v>
      </c>
      <c r="L33" s="289">
        <f>+'SEMANA DEL 7 AL 14'!BH33</f>
        <v>0</v>
      </c>
      <c r="M33" s="289">
        <f>+'SEMANA DEL 7 AL 14'!BI33</f>
        <v>0</v>
      </c>
      <c r="N33" s="289">
        <f>+'SEMANA DEL 7 AL 14'!BJ33</f>
        <v>0</v>
      </c>
      <c r="O33" s="289">
        <f>+'SEMANA DEL 7 AL 14'!BK33</f>
        <v>0</v>
      </c>
      <c r="P33" s="289">
        <f>+'SEMANA DEL 7 AL 14'!BL33</f>
        <v>0</v>
      </c>
      <c r="Q33" s="289">
        <f>+'SEMANA DEL 7 AL 14'!BM33</f>
        <v>0</v>
      </c>
      <c r="R33" s="299"/>
      <c r="S33" s="299"/>
      <c r="T33" s="299"/>
      <c r="U33" s="299"/>
      <c r="V33" s="299"/>
      <c r="W33" s="299"/>
      <c r="X33" s="289"/>
      <c r="Y33" s="289"/>
      <c r="Z33" s="289"/>
      <c r="AA33" s="289"/>
      <c r="AB33" s="289"/>
      <c r="AC33" s="289"/>
      <c r="AD33" s="289"/>
      <c r="AE33" s="289"/>
      <c r="AF33" s="289"/>
      <c r="AG33" s="299"/>
      <c r="AH33" s="299"/>
      <c r="AI33" s="299"/>
      <c r="AJ33" s="299"/>
      <c r="AK33" s="299"/>
      <c r="AL33" s="299"/>
      <c r="AM33" s="299"/>
      <c r="AN33" s="289"/>
      <c r="AO33" s="289"/>
      <c r="AP33" s="289"/>
      <c r="AQ33" s="322"/>
      <c r="AR33" s="322"/>
      <c r="AS33" s="322"/>
      <c r="AT33" s="322"/>
      <c r="AU33" s="322"/>
      <c r="AV33" s="322"/>
      <c r="AW33" s="322"/>
      <c r="AX33" s="190">
        <f t="shared" si="1"/>
        <v>3.8999999999999995</v>
      </c>
      <c r="AY33" s="190">
        <f t="shared" si="2"/>
        <v>4.5200000000000005</v>
      </c>
      <c r="AZ33" s="190">
        <f t="shared" si="3"/>
        <v>24.6</v>
      </c>
      <c r="BA33" s="190">
        <f t="shared" si="4"/>
        <v>2</v>
      </c>
      <c r="BB33" s="190">
        <f t="shared" si="5"/>
        <v>0</v>
      </c>
      <c r="BC33" s="190">
        <f t="shared" si="6"/>
        <v>0</v>
      </c>
      <c r="BD33" s="190">
        <f t="shared" si="7"/>
        <v>0</v>
      </c>
      <c r="BE33" s="190">
        <f t="shared" si="8"/>
        <v>0</v>
      </c>
      <c r="BF33" s="190">
        <f t="shared" si="9"/>
        <v>0</v>
      </c>
      <c r="BG33" s="190">
        <f t="shared" si="10"/>
        <v>0</v>
      </c>
      <c r="BH33" s="190">
        <f t="shared" si="11"/>
        <v>0</v>
      </c>
      <c r="BI33" s="190">
        <f t="shared" si="12"/>
        <v>0</v>
      </c>
      <c r="BJ33" s="190">
        <f t="shared" si="13"/>
        <v>0</v>
      </c>
      <c r="BK33" s="190">
        <f t="shared" si="14"/>
        <v>0</v>
      </c>
      <c r="BL33" s="190">
        <f t="shared" si="15"/>
        <v>0</v>
      </c>
      <c r="BM33" s="190">
        <f t="shared" si="16"/>
        <v>0</v>
      </c>
      <c r="BN33" s="190"/>
      <c r="BO33" s="258">
        <f t="shared" si="17"/>
        <v>0</v>
      </c>
      <c r="BP33" s="71">
        <f t="shared" si="18"/>
        <v>0</v>
      </c>
      <c r="BQ33" s="112">
        <f t="shared" si="19"/>
        <v>0</v>
      </c>
      <c r="BR33" s="112">
        <f t="shared" si="20"/>
        <v>0</v>
      </c>
      <c r="BS33" s="112">
        <f t="shared" si="21"/>
        <v>0</v>
      </c>
      <c r="BT33" s="112">
        <f t="shared" si="22"/>
        <v>0</v>
      </c>
      <c r="BU33" s="112">
        <f t="shared" si="23"/>
        <v>0</v>
      </c>
      <c r="BV33" s="112">
        <f t="shared" si="24"/>
        <v>0</v>
      </c>
      <c r="BW33" s="112">
        <f t="shared" si="25"/>
        <v>0</v>
      </c>
      <c r="BX33" s="112">
        <f t="shared" si="26"/>
        <v>0</v>
      </c>
      <c r="BY33" s="71">
        <f t="shared" si="27"/>
        <v>0</v>
      </c>
      <c r="BZ33" s="112">
        <f t="shared" si="28"/>
        <v>0</v>
      </c>
      <c r="CA33" s="233"/>
      <c r="CB33" s="233"/>
      <c r="CC33" s="71">
        <f t="shared" si="29"/>
        <v>0</v>
      </c>
      <c r="CD33" s="71">
        <f t="shared" si="30"/>
        <v>0</v>
      </c>
      <c r="CE33" s="71">
        <f t="shared" si="31"/>
        <v>0</v>
      </c>
      <c r="CF33" s="71">
        <f t="shared" si="32"/>
        <v>0</v>
      </c>
      <c r="CG33" s="71">
        <f t="shared" si="33"/>
        <v>0</v>
      </c>
      <c r="CH33" s="261">
        <f t="shared" si="34"/>
        <v>0</v>
      </c>
      <c r="CI33" s="262">
        <f t="shared" si="35"/>
        <v>0</v>
      </c>
      <c r="CJ33" s="73"/>
      <c r="CK33" s="172"/>
      <c r="CL33" s="176"/>
      <c r="CM33" s="173"/>
      <c r="CN33" s="179"/>
      <c r="CO33" s="343"/>
      <c r="CP33" s="344"/>
      <c r="CQ33" s="140"/>
      <c r="CR33" s="52"/>
      <c r="CS33" s="55" t="str">
        <f t="shared" si="36"/>
        <v xml:space="preserve">RENE ALMEIDA </v>
      </c>
      <c r="CT33" s="185" t="str">
        <f>+'SEMANA DEL 2 AL 7-3-26'!CS34</f>
        <v>CC-60.412.324</v>
      </c>
      <c r="CU33" s="292">
        <f>+BN33</f>
        <v>0</v>
      </c>
      <c r="CV33" s="292">
        <f>+AW33</f>
        <v>0</v>
      </c>
      <c r="CW33" s="292"/>
      <c r="CX33" s="292"/>
      <c r="CY33" s="292">
        <f>+CW33*230</f>
        <v>0</v>
      </c>
      <c r="CZ33" s="301"/>
      <c r="DA33" s="301"/>
      <c r="DB33" s="302">
        <f>+CZ33*6500+DA33*3500</f>
        <v>0</v>
      </c>
      <c r="DC33" s="303"/>
      <c r="DD33" s="186">
        <f>+CI33</f>
        <v>0</v>
      </c>
      <c r="DE33" s="317">
        <f>+DB33+DD33+CY33</f>
        <v>0</v>
      </c>
      <c r="DF33" s="184"/>
      <c r="DG33" s="184"/>
    </row>
    <row r="34" spans="1:111" ht="18" x14ac:dyDescent="0.25">
      <c r="A34" s="297" t="str">
        <f>+'SEMANA DEL 7 AL 14'!A34</f>
        <v>RUBIELA MARTINEZ</v>
      </c>
      <c r="B34" s="289">
        <f>+'SEMANA DEL 7 AL 14'!AX34</f>
        <v>11</v>
      </c>
      <c r="C34" s="289">
        <f>+'SEMANA DEL 7 AL 14'!AY34</f>
        <v>20.36</v>
      </c>
      <c r="D34" s="289">
        <f>+'SEMANA DEL 7 AL 14'!AZ34</f>
        <v>76.99799999999999</v>
      </c>
      <c r="E34" s="289">
        <f>+'SEMANA DEL 7 AL 14'!BA34</f>
        <v>9</v>
      </c>
      <c r="F34" s="289">
        <f>+'SEMANA DEL 7 AL 14'!BB34</f>
        <v>0</v>
      </c>
      <c r="G34" s="289">
        <f>+'SEMANA DEL 7 AL 14'!BC34</f>
        <v>0</v>
      </c>
      <c r="H34" s="289">
        <f>+'SEMANA DEL 7 AL 14'!BD34</f>
        <v>0</v>
      </c>
      <c r="I34" s="289">
        <f>+'SEMANA DEL 7 AL 14'!BE34</f>
        <v>2</v>
      </c>
      <c r="J34" s="289">
        <f>+'SEMANA DEL 7 AL 14'!BF34</f>
        <v>0</v>
      </c>
      <c r="K34" s="289">
        <f>+'SEMANA DEL 7 AL 14'!BG34</f>
        <v>0</v>
      </c>
      <c r="L34" s="289">
        <f>+'SEMANA DEL 7 AL 14'!BH34</f>
        <v>0</v>
      </c>
      <c r="M34" s="289">
        <f>+'SEMANA DEL 7 AL 14'!BI34</f>
        <v>0</v>
      </c>
      <c r="N34" s="289">
        <f>+'SEMANA DEL 7 AL 14'!BJ34</f>
        <v>0</v>
      </c>
      <c r="O34" s="289">
        <f>+'SEMANA DEL 7 AL 14'!BK34</f>
        <v>0</v>
      </c>
      <c r="P34" s="289">
        <f>+'SEMANA DEL 7 AL 14'!BL34</f>
        <v>0</v>
      </c>
      <c r="Q34" s="289">
        <f>+'SEMANA DEL 7 AL 14'!BM34</f>
        <v>0</v>
      </c>
      <c r="R34" s="289"/>
      <c r="S34" s="289"/>
      <c r="T34" s="289"/>
      <c r="U34" s="289"/>
      <c r="V34" s="299"/>
      <c r="W34" s="299"/>
      <c r="X34" s="289"/>
      <c r="Y34" s="289"/>
      <c r="Z34" s="289"/>
      <c r="AA34" s="289"/>
      <c r="AB34" s="289"/>
      <c r="AC34" s="289"/>
      <c r="AD34" s="289"/>
      <c r="AE34" s="289"/>
      <c r="AF34" s="289"/>
      <c r="AG34" s="299"/>
      <c r="AH34" s="289"/>
      <c r="AI34" s="289"/>
      <c r="AJ34" s="289"/>
      <c r="AK34" s="289"/>
      <c r="AL34" s="299"/>
      <c r="AM34" s="299"/>
      <c r="AN34" s="289"/>
      <c r="AO34" s="289"/>
      <c r="AP34" s="289"/>
      <c r="AQ34" s="322"/>
      <c r="AR34" s="322"/>
      <c r="AS34" s="322"/>
      <c r="AT34" s="322"/>
      <c r="AU34" s="322"/>
      <c r="AV34" s="322"/>
      <c r="AW34" s="322"/>
      <c r="AX34" s="190">
        <f t="shared" si="1"/>
        <v>11</v>
      </c>
      <c r="AY34" s="190">
        <f t="shared" si="2"/>
        <v>20.36</v>
      </c>
      <c r="AZ34" s="190">
        <f t="shared" si="3"/>
        <v>76.99799999999999</v>
      </c>
      <c r="BA34" s="190">
        <f t="shared" si="4"/>
        <v>9</v>
      </c>
      <c r="BB34" s="190">
        <f t="shared" si="5"/>
        <v>0</v>
      </c>
      <c r="BC34" s="190">
        <f t="shared" si="6"/>
        <v>0</v>
      </c>
      <c r="BD34" s="190">
        <f t="shared" si="7"/>
        <v>0</v>
      </c>
      <c r="BE34" s="190">
        <f t="shared" si="8"/>
        <v>2</v>
      </c>
      <c r="BF34" s="190">
        <f t="shared" si="9"/>
        <v>0</v>
      </c>
      <c r="BG34" s="190">
        <f t="shared" si="10"/>
        <v>0</v>
      </c>
      <c r="BH34" s="190">
        <f t="shared" si="11"/>
        <v>0</v>
      </c>
      <c r="BI34" s="190">
        <f t="shared" si="12"/>
        <v>0</v>
      </c>
      <c r="BJ34" s="190">
        <f t="shared" si="13"/>
        <v>0</v>
      </c>
      <c r="BK34" s="190">
        <f t="shared" si="14"/>
        <v>0</v>
      </c>
      <c r="BL34" s="190">
        <f t="shared" si="15"/>
        <v>0</v>
      </c>
      <c r="BM34" s="190">
        <f t="shared" si="16"/>
        <v>0</v>
      </c>
      <c r="BN34" s="190"/>
      <c r="BO34" s="258">
        <f t="shared" si="17"/>
        <v>0</v>
      </c>
      <c r="BP34" s="71">
        <f t="shared" si="18"/>
        <v>0</v>
      </c>
      <c r="BQ34" s="112">
        <f t="shared" si="19"/>
        <v>0</v>
      </c>
      <c r="BR34" s="112">
        <f t="shared" si="20"/>
        <v>0</v>
      </c>
      <c r="BS34" s="112">
        <f t="shared" si="21"/>
        <v>0</v>
      </c>
      <c r="BT34" s="112">
        <f t="shared" si="22"/>
        <v>0</v>
      </c>
      <c r="BU34" s="112">
        <f t="shared" si="23"/>
        <v>0</v>
      </c>
      <c r="BV34" s="112">
        <f t="shared" si="24"/>
        <v>0</v>
      </c>
      <c r="BW34" s="112">
        <f t="shared" si="25"/>
        <v>0</v>
      </c>
      <c r="BX34" s="112">
        <f t="shared" si="26"/>
        <v>0</v>
      </c>
      <c r="BY34" s="71">
        <f t="shared" si="27"/>
        <v>0</v>
      </c>
      <c r="BZ34" s="112">
        <f t="shared" si="28"/>
        <v>0</v>
      </c>
      <c r="CA34" s="233"/>
      <c r="CB34" s="233"/>
      <c r="CC34" s="71">
        <f t="shared" si="29"/>
        <v>0</v>
      </c>
      <c r="CD34" s="71">
        <f t="shared" si="30"/>
        <v>0</v>
      </c>
      <c r="CE34" s="71">
        <f t="shared" si="31"/>
        <v>0</v>
      </c>
      <c r="CF34" s="71">
        <f t="shared" si="32"/>
        <v>0</v>
      </c>
      <c r="CG34" s="71">
        <f t="shared" si="33"/>
        <v>0</v>
      </c>
      <c r="CH34" s="261">
        <f t="shared" si="34"/>
        <v>0</v>
      </c>
      <c r="CI34" s="262">
        <f t="shared" si="35"/>
        <v>0</v>
      </c>
      <c r="CJ34" s="73"/>
      <c r="CK34" s="172"/>
      <c r="CL34" s="176"/>
      <c r="CM34" s="173"/>
      <c r="CN34" s="179"/>
      <c r="CO34" s="343"/>
      <c r="CP34" s="344"/>
      <c r="CQ34" s="140"/>
      <c r="CR34" s="52"/>
      <c r="CS34" s="55" t="str">
        <f t="shared" si="36"/>
        <v>RUBIELA MARTINEZ</v>
      </c>
      <c r="CT34" s="185" t="str">
        <f>+'SEMANA DEL 2 AL 7-3-26'!CS35</f>
        <v>CC-37.543.611</v>
      </c>
      <c r="CU34" s="292">
        <f>+BN34</f>
        <v>0</v>
      </c>
      <c r="CV34" s="292">
        <f>+AW34</f>
        <v>0</v>
      </c>
      <c r="CW34" s="292"/>
      <c r="CX34" s="292"/>
      <c r="CY34" s="292">
        <f>+CW34*230</f>
        <v>0</v>
      </c>
      <c r="CZ34" s="301"/>
      <c r="DA34" s="301"/>
      <c r="DB34" s="302">
        <f>+CZ34*6500+DA34*3500</f>
        <v>0</v>
      </c>
      <c r="DC34" s="303"/>
      <c r="DD34" s="186">
        <f>+CI34</f>
        <v>0</v>
      </c>
      <c r="DE34" s="317">
        <f>+DB34+DD34+CY34</f>
        <v>0</v>
      </c>
      <c r="DF34" s="184"/>
      <c r="DG34" s="184"/>
    </row>
    <row r="35" spans="1:111" ht="18" x14ac:dyDescent="0.25">
      <c r="A35" s="297" t="str">
        <f>+'SEMANA DEL 7 AL 14'!A35</f>
        <v xml:space="preserve">ROSMIRA DURAN </v>
      </c>
      <c r="B35" s="289">
        <f>+'SEMANA DEL 7 AL 14'!AX35</f>
        <v>4.9960000000000004</v>
      </c>
      <c r="C35" s="289">
        <f>+'SEMANA DEL 7 AL 14'!AY35</f>
        <v>9</v>
      </c>
      <c r="D35" s="289">
        <f>+'SEMANA DEL 7 AL 14'!AZ35</f>
        <v>35</v>
      </c>
      <c r="E35" s="289">
        <f>+'SEMANA DEL 7 AL 14'!BA35</f>
        <v>4</v>
      </c>
      <c r="F35" s="289">
        <f>+'SEMANA DEL 7 AL 14'!BB35</f>
        <v>0</v>
      </c>
      <c r="G35" s="289">
        <f>+'SEMANA DEL 7 AL 14'!BC35</f>
        <v>0</v>
      </c>
      <c r="H35" s="289">
        <f>+'SEMANA DEL 7 AL 14'!BD35</f>
        <v>0</v>
      </c>
      <c r="I35" s="289">
        <f>+'SEMANA DEL 7 AL 14'!BE35</f>
        <v>1</v>
      </c>
      <c r="J35" s="289">
        <f>+'SEMANA DEL 7 AL 14'!BF35</f>
        <v>0</v>
      </c>
      <c r="K35" s="289">
        <f>+'SEMANA DEL 7 AL 14'!BG35</f>
        <v>0</v>
      </c>
      <c r="L35" s="289">
        <f>+'SEMANA DEL 7 AL 14'!BH35</f>
        <v>0</v>
      </c>
      <c r="M35" s="289">
        <f>+'SEMANA DEL 7 AL 14'!BI35</f>
        <v>0</v>
      </c>
      <c r="N35" s="289">
        <f>+'SEMANA DEL 7 AL 14'!BJ35</f>
        <v>0</v>
      </c>
      <c r="O35" s="289">
        <f>+'SEMANA DEL 7 AL 14'!BK35</f>
        <v>0</v>
      </c>
      <c r="P35" s="289">
        <f>+'SEMANA DEL 7 AL 14'!BL35</f>
        <v>0</v>
      </c>
      <c r="Q35" s="289">
        <f>+'SEMANA DEL 7 AL 14'!BM35</f>
        <v>0</v>
      </c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190">
        <f t="shared" si="1"/>
        <v>4.9960000000000004</v>
      </c>
      <c r="AY35" s="190">
        <f t="shared" si="2"/>
        <v>9</v>
      </c>
      <c r="AZ35" s="190">
        <f t="shared" si="3"/>
        <v>35</v>
      </c>
      <c r="BA35" s="190">
        <f t="shared" si="4"/>
        <v>4</v>
      </c>
      <c r="BB35" s="190">
        <f t="shared" si="5"/>
        <v>0</v>
      </c>
      <c r="BC35" s="190">
        <f t="shared" si="6"/>
        <v>0</v>
      </c>
      <c r="BD35" s="190">
        <f t="shared" si="7"/>
        <v>0</v>
      </c>
      <c r="BE35" s="190">
        <f t="shared" si="8"/>
        <v>1</v>
      </c>
      <c r="BF35" s="190">
        <f t="shared" si="9"/>
        <v>0</v>
      </c>
      <c r="BG35" s="190">
        <f t="shared" si="10"/>
        <v>0</v>
      </c>
      <c r="BH35" s="190">
        <f t="shared" si="11"/>
        <v>0</v>
      </c>
      <c r="BI35" s="190">
        <f t="shared" si="12"/>
        <v>0</v>
      </c>
      <c r="BJ35" s="190">
        <f t="shared" si="13"/>
        <v>0</v>
      </c>
      <c r="BK35" s="190">
        <f t="shared" si="14"/>
        <v>0</v>
      </c>
      <c r="BL35" s="190">
        <f t="shared" si="15"/>
        <v>0</v>
      </c>
      <c r="BM35" s="190">
        <f t="shared" si="16"/>
        <v>0</v>
      </c>
      <c r="BN35" s="190"/>
      <c r="BO35" s="258">
        <f t="shared" si="17"/>
        <v>0</v>
      </c>
      <c r="BP35" s="71">
        <f t="shared" si="18"/>
        <v>0</v>
      </c>
      <c r="BQ35" s="112">
        <f t="shared" si="19"/>
        <v>0</v>
      </c>
      <c r="BR35" s="112">
        <f t="shared" si="20"/>
        <v>0</v>
      </c>
      <c r="BS35" s="112">
        <f t="shared" si="21"/>
        <v>0</v>
      </c>
      <c r="BT35" s="112">
        <f t="shared" si="22"/>
        <v>0</v>
      </c>
      <c r="BU35" s="112">
        <f t="shared" si="23"/>
        <v>0</v>
      </c>
      <c r="BV35" s="112">
        <f t="shared" si="24"/>
        <v>0</v>
      </c>
      <c r="BW35" s="112">
        <f t="shared" si="25"/>
        <v>0</v>
      </c>
      <c r="BX35" s="112">
        <f t="shared" si="26"/>
        <v>0</v>
      </c>
      <c r="BY35" s="71">
        <f t="shared" si="27"/>
        <v>0</v>
      </c>
      <c r="BZ35" s="112">
        <f t="shared" si="28"/>
        <v>0</v>
      </c>
      <c r="CA35" s="233"/>
      <c r="CB35" s="233"/>
      <c r="CC35" s="71">
        <f t="shared" si="29"/>
        <v>0</v>
      </c>
      <c r="CD35" s="71">
        <f t="shared" si="30"/>
        <v>0</v>
      </c>
      <c r="CE35" s="71">
        <f t="shared" si="31"/>
        <v>0</v>
      </c>
      <c r="CF35" s="71">
        <f t="shared" si="32"/>
        <v>0</v>
      </c>
      <c r="CG35" s="71">
        <f t="shared" si="33"/>
        <v>0</v>
      </c>
      <c r="CH35" s="261">
        <f t="shared" si="34"/>
        <v>0</v>
      </c>
      <c r="CI35" s="262">
        <f t="shared" si="35"/>
        <v>0</v>
      </c>
      <c r="CJ35" s="41"/>
      <c r="CK35" s="41" t="str">
        <f>+'SEMANA DEL 7 AL 14'!CK36</f>
        <v>RESORTES</v>
      </c>
      <c r="CL35" s="176" t="e">
        <f>+'SEMANA DEL 7 AL 14'!CP36</f>
        <v>#REF!</v>
      </c>
      <c r="CM35" s="41" t="e">
        <f>+'SEMANA DEL 7 AL 14'!CM36</f>
        <v>#REF!</v>
      </c>
      <c r="CN35" s="41" t="e">
        <f>+'SEMANA DEL 7 AL 14'!CN36</f>
        <v>#REF!</v>
      </c>
      <c r="CO35" s="240" t="e">
        <f>+'SEMANA DEL 7 AL 14'!CO36</f>
        <v>#REF!</v>
      </c>
      <c r="CP35" s="243" t="e">
        <f>+'SEMANA DEL 7 AL 14'!CP36</f>
        <v>#REF!</v>
      </c>
      <c r="CQ35" s="79"/>
      <c r="CR35" s="79"/>
      <c r="CS35" s="55" t="str">
        <f t="shared" si="36"/>
        <v xml:space="preserve">ROSMIRA DURAN </v>
      </c>
      <c r="CT35" s="185" t="str">
        <f>+'SEMANA DEL 2 AL 7-3-26'!CS36</f>
        <v>CC-37.221.293</v>
      </c>
      <c r="CU35" s="292">
        <f t="shared" si="37"/>
        <v>0</v>
      </c>
      <c r="CV35" s="292">
        <f t="shared" si="38"/>
        <v>0</v>
      </c>
      <c r="CW35" s="292"/>
      <c r="CX35" s="292"/>
      <c r="CY35" s="292">
        <f t="shared" si="39"/>
        <v>0</v>
      </c>
      <c r="CZ35" s="301"/>
      <c r="DA35" s="301"/>
      <c r="DB35" s="302">
        <f t="shared" si="40"/>
        <v>0</v>
      </c>
      <c r="DC35" s="303"/>
      <c r="DD35" s="186">
        <f t="shared" si="41"/>
        <v>0</v>
      </c>
      <c r="DE35" s="317">
        <f t="shared" si="42"/>
        <v>0</v>
      </c>
      <c r="DF35" s="184"/>
      <c r="DG35" s="184"/>
    </row>
    <row r="36" spans="1:111" ht="18" x14ac:dyDescent="0.25">
      <c r="A36" s="297" t="str">
        <f>+'SEMANA DEL 7 AL 14'!A36</f>
        <v xml:space="preserve">ROSALBA MATAGIRA </v>
      </c>
      <c r="B36" s="289">
        <f>+'SEMANA DEL 7 AL 14'!AX36</f>
        <v>11</v>
      </c>
      <c r="C36" s="289">
        <f>+'SEMANA DEL 7 AL 14'!AY36</f>
        <v>19.8</v>
      </c>
      <c r="D36" s="289">
        <f>+'SEMANA DEL 7 AL 14'!AZ36</f>
        <v>77</v>
      </c>
      <c r="E36" s="289">
        <f>+'SEMANA DEL 7 AL 14'!BA36</f>
        <v>9</v>
      </c>
      <c r="F36" s="289">
        <f>+'SEMANA DEL 7 AL 14'!BB36</f>
        <v>0</v>
      </c>
      <c r="G36" s="289">
        <f>+'SEMANA DEL 7 AL 14'!BC36</f>
        <v>0</v>
      </c>
      <c r="H36" s="289">
        <f>+'SEMANA DEL 7 AL 14'!BD36</f>
        <v>0</v>
      </c>
      <c r="I36" s="289">
        <f>+'SEMANA DEL 7 AL 14'!BE36</f>
        <v>0</v>
      </c>
      <c r="J36" s="289">
        <f>+'SEMANA DEL 7 AL 14'!BF36</f>
        <v>0</v>
      </c>
      <c r="K36" s="289">
        <f>+'SEMANA DEL 7 AL 14'!BG36</f>
        <v>0</v>
      </c>
      <c r="L36" s="289">
        <f>+'SEMANA DEL 7 AL 14'!BH36</f>
        <v>0</v>
      </c>
      <c r="M36" s="289">
        <f>+'SEMANA DEL 7 AL 14'!BI36</f>
        <v>0</v>
      </c>
      <c r="N36" s="289">
        <f>+'SEMANA DEL 7 AL 14'!BJ36</f>
        <v>0</v>
      </c>
      <c r="O36" s="289">
        <f>+'SEMANA DEL 7 AL 14'!BK36</f>
        <v>0</v>
      </c>
      <c r="P36" s="289">
        <f>+'SEMANA DEL 7 AL 14'!BL36</f>
        <v>0</v>
      </c>
      <c r="Q36" s="289">
        <f>+'SEMANA DEL 7 AL 14'!BM36</f>
        <v>0</v>
      </c>
      <c r="R36" s="299"/>
      <c r="S36" s="299"/>
      <c r="T36" s="299"/>
      <c r="U36" s="299"/>
      <c r="V36" s="299"/>
      <c r="W36" s="299"/>
      <c r="X36" s="289"/>
      <c r="Y36" s="289"/>
      <c r="Z36" s="289"/>
      <c r="AA36" s="289"/>
      <c r="AB36" s="289"/>
      <c r="AC36" s="289"/>
      <c r="AD36" s="289"/>
      <c r="AE36" s="289"/>
      <c r="AF36" s="289"/>
      <c r="AG36" s="299"/>
      <c r="AH36" s="299"/>
      <c r="AI36" s="299"/>
      <c r="AJ36" s="299"/>
      <c r="AK36" s="299"/>
      <c r="AL36" s="299"/>
      <c r="AM36" s="299"/>
      <c r="AN36" s="183"/>
      <c r="AO36" s="305"/>
      <c r="AP36" s="305"/>
      <c r="AQ36" s="289"/>
      <c r="AR36" s="289"/>
      <c r="AS36" s="289"/>
      <c r="AT36" s="289"/>
      <c r="AU36" s="289"/>
      <c r="AV36" s="289"/>
      <c r="AW36" s="289"/>
      <c r="AX36" s="190">
        <f t="shared" si="1"/>
        <v>11</v>
      </c>
      <c r="AY36" s="190">
        <f t="shared" si="2"/>
        <v>19.8</v>
      </c>
      <c r="AZ36" s="190">
        <f t="shared" si="3"/>
        <v>77</v>
      </c>
      <c r="BA36" s="190">
        <f t="shared" si="4"/>
        <v>9</v>
      </c>
      <c r="BB36" s="190">
        <f t="shared" si="5"/>
        <v>0</v>
      </c>
      <c r="BC36" s="190">
        <f t="shared" si="6"/>
        <v>0</v>
      </c>
      <c r="BD36" s="190">
        <f t="shared" si="7"/>
        <v>0</v>
      </c>
      <c r="BE36" s="190">
        <f t="shared" si="8"/>
        <v>0</v>
      </c>
      <c r="BF36" s="190">
        <f t="shared" si="9"/>
        <v>0</v>
      </c>
      <c r="BG36" s="190">
        <f t="shared" si="10"/>
        <v>0</v>
      </c>
      <c r="BH36" s="190">
        <f t="shared" si="11"/>
        <v>0</v>
      </c>
      <c r="BI36" s="190">
        <f t="shared" si="12"/>
        <v>0</v>
      </c>
      <c r="BJ36" s="190">
        <f t="shared" si="13"/>
        <v>0</v>
      </c>
      <c r="BK36" s="190">
        <f t="shared" si="14"/>
        <v>0</v>
      </c>
      <c r="BL36" s="190">
        <f t="shared" si="15"/>
        <v>0</v>
      </c>
      <c r="BM36" s="190">
        <f t="shared" si="16"/>
        <v>0</v>
      </c>
      <c r="BN36" s="190"/>
      <c r="BO36" s="258">
        <f t="shared" si="17"/>
        <v>0</v>
      </c>
      <c r="BP36" s="71">
        <f t="shared" si="18"/>
        <v>0</v>
      </c>
      <c r="BQ36" s="112">
        <f t="shared" si="19"/>
        <v>0</v>
      </c>
      <c r="BR36" s="112">
        <f t="shared" si="20"/>
        <v>0</v>
      </c>
      <c r="BS36" s="112">
        <f t="shared" si="21"/>
        <v>0</v>
      </c>
      <c r="BT36" s="112">
        <f t="shared" si="22"/>
        <v>0</v>
      </c>
      <c r="BU36" s="112">
        <f t="shared" si="23"/>
        <v>0</v>
      </c>
      <c r="BV36" s="112">
        <f t="shared" si="24"/>
        <v>0</v>
      </c>
      <c r="BW36" s="112">
        <f t="shared" si="25"/>
        <v>0</v>
      </c>
      <c r="BX36" s="112">
        <f t="shared" si="26"/>
        <v>0</v>
      </c>
      <c r="BY36" s="71">
        <f t="shared" si="27"/>
        <v>0</v>
      </c>
      <c r="BZ36" s="112">
        <f t="shared" si="28"/>
        <v>0</v>
      </c>
      <c r="CA36" s="233"/>
      <c r="CB36" s="233"/>
      <c r="CC36" s="71">
        <f t="shared" si="29"/>
        <v>0</v>
      </c>
      <c r="CD36" s="71">
        <f t="shared" si="30"/>
        <v>0</v>
      </c>
      <c r="CE36" s="71">
        <f t="shared" si="31"/>
        <v>0</v>
      </c>
      <c r="CF36" s="71">
        <f t="shared" si="32"/>
        <v>0</v>
      </c>
      <c r="CG36" s="71">
        <f t="shared" si="33"/>
        <v>0</v>
      </c>
      <c r="CH36" s="261">
        <f t="shared" si="34"/>
        <v>0</v>
      </c>
      <c r="CI36" s="262">
        <f t="shared" si="35"/>
        <v>0</v>
      </c>
      <c r="CJ36" s="79"/>
      <c r="CK36" s="41"/>
      <c r="CL36" s="176">
        <f>+'SEMANA DEL 7 AL 14'!CP40</f>
        <v>0</v>
      </c>
      <c r="CM36" s="129"/>
      <c r="CN36" s="41"/>
      <c r="CO36" s="240"/>
      <c r="CP36" s="79"/>
      <c r="CQ36" s="79"/>
      <c r="CR36" s="79"/>
      <c r="CS36" s="55" t="str">
        <f t="shared" si="36"/>
        <v xml:space="preserve">ROSALBA MATAGIRA </v>
      </c>
      <c r="CT36" s="185" t="str">
        <f>+'SEMANA DEL 2 AL 7-3-26'!CS37</f>
        <v>V-11.021.592</v>
      </c>
      <c r="CU36" s="292">
        <f t="shared" si="37"/>
        <v>0</v>
      </c>
      <c r="CV36" s="292">
        <f t="shared" si="38"/>
        <v>0</v>
      </c>
      <c r="CW36" s="292"/>
      <c r="CX36" s="292"/>
      <c r="CY36" s="292">
        <f t="shared" si="39"/>
        <v>0</v>
      </c>
      <c r="CZ36" s="301"/>
      <c r="DA36" s="301"/>
      <c r="DB36" s="302">
        <f t="shared" si="40"/>
        <v>0</v>
      </c>
      <c r="DC36" s="303"/>
      <c r="DD36" s="186">
        <f t="shared" si="41"/>
        <v>0</v>
      </c>
      <c r="DE36" s="317">
        <f t="shared" si="42"/>
        <v>0</v>
      </c>
      <c r="DF36" s="184"/>
      <c r="DG36" s="184"/>
    </row>
    <row r="37" spans="1:111" ht="18" x14ac:dyDescent="0.25">
      <c r="A37" s="297" t="str">
        <f>+'SEMANA DEL 7 AL 14'!A37</f>
        <v>STELLA SILVA</v>
      </c>
      <c r="B37" s="289">
        <f>+'SEMANA DEL 7 AL 14'!AX37</f>
        <v>4</v>
      </c>
      <c r="C37" s="289">
        <f>+'SEMANA DEL 7 AL 14'!AY37</f>
        <v>7.2</v>
      </c>
      <c r="D37" s="289">
        <f>+'SEMANA DEL 7 AL 14'!AZ37</f>
        <v>28</v>
      </c>
      <c r="E37" s="289">
        <f>+'SEMANA DEL 7 AL 14'!BA37</f>
        <v>3</v>
      </c>
      <c r="F37" s="289">
        <f>+'SEMANA DEL 7 AL 14'!BB37</f>
        <v>0</v>
      </c>
      <c r="G37" s="289">
        <f>+'SEMANA DEL 7 AL 14'!BC37</f>
        <v>0</v>
      </c>
      <c r="H37" s="289">
        <f>+'SEMANA DEL 7 AL 14'!BD37</f>
        <v>0</v>
      </c>
      <c r="I37" s="289">
        <f>+'SEMANA DEL 7 AL 14'!BE37</f>
        <v>0</v>
      </c>
      <c r="J37" s="289">
        <f>+'SEMANA DEL 7 AL 14'!BF37</f>
        <v>0</v>
      </c>
      <c r="K37" s="289">
        <f>+'SEMANA DEL 7 AL 14'!BG37</f>
        <v>0</v>
      </c>
      <c r="L37" s="289">
        <f>+'SEMANA DEL 7 AL 14'!BH37</f>
        <v>0</v>
      </c>
      <c r="M37" s="289">
        <f>+'SEMANA DEL 7 AL 14'!BI37</f>
        <v>0</v>
      </c>
      <c r="N37" s="289">
        <f>+'SEMANA DEL 7 AL 14'!BJ37</f>
        <v>0</v>
      </c>
      <c r="O37" s="289">
        <f>+'SEMANA DEL 7 AL 14'!BK37</f>
        <v>0</v>
      </c>
      <c r="P37" s="289">
        <f>+'SEMANA DEL 7 AL 14'!BL37</f>
        <v>0</v>
      </c>
      <c r="Q37" s="289">
        <f>+'SEMANA DEL 7 AL 14'!BM37</f>
        <v>0</v>
      </c>
      <c r="R37" s="299"/>
      <c r="S37" s="299"/>
      <c r="T37" s="299"/>
      <c r="U37" s="299"/>
      <c r="V37" s="299"/>
      <c r="W37" s="299"/>
      <c r="X37" s="289"/>
      <c r="Y37" s="289"/>
      <c r="Z37" s="289"/>
      <c r="AA37" s="289"/>
      <c r="AB37" s="289"/>
      <c r="AC37" s="289"/>
      <c r="AD37" s="289"/>
      <c r="AE37" s="289"/>
      <c r="AF37" s="289"/>
      <c r="AG37" s="299"/>
      <c r="AH37" s="299"/>
      <c r="AI37" s="299"/>
      <c r="AJ37" s="299"/>
      <c r="AK37" s="299"/>
      <c r="AL37" s="299"/>
      <c r="AM37" s="299"/>
      <c r="AN37" s="183"/>
      <c r="AO37" s="305"/>
      <c r="AP37" s="305"/>
      <c r="AQ37" s="289"/>
      <c r="AR37" s="289"/>
      <c r="AS37" s="289"/>
      <c r="AT37" s="289"/>
      <c r="AU37" s="289"/>
      <c r="AV37" s="289"/>
      <c r="AW37" s="289"/>
      <c r="AX37" s="190">
        <f t="shared" si="1"/>
        <v>4</v>
      </c>
      <c r="AY37" s="190">
        <f t="shared" si="2"/>
        <v>7.2</v>
      </c>
      <c r="AZ37" s="190">
        <f t="shared" si="3"/>
        <v>28</v>
      </c>
      <c r="BA37" s="190">
        <f t="shared" si="4"/>
        <v>3</v>
      </c>
      <c r="BB37" s="190">
        <f t="shared" si="5"/>
        <v>0</v>
      </c>
      <c r="BC37" s="190">
        <f t="shared" si="6"/>
        <v>0</v>
      </c>
      <c r="BD37" s="190">
        <f t="shared" si="7"/>
        <v>0</v>
      </c>
      <c r="BE37" s="190">
        <f t="shared" si="8"/>
        <v>0</v>
      </c>
      <c r="BF37" s="190">
        <f t="shared" si="9"/>
        <v>0</v>
      </c>
      <c r="BG37" s="190">
        <f t="shared" si="10"/>
        <v>0</v>
      </c>
      <c r="BH37" s="190">
        <f t="shared" si="11"/>
        <v>0</v>
      </c>
      <c r="BI37" s="190">
        <f t="shared" si="12"/>
        <v>0</v>
      </c>
      <c r="BJ37" s="190">
        <f t="shared" si="13"/>
        <v>0</v>
      </c>
      <c r="BK37" s="190">
        <f t="shared" si="14"/>
        <v>0</v>
      </c>
      <c r="BL37" s="190">
        <f t="shared" si="15"/>
        <v>0</v>
      </c>
      <c r="BM37" s="190">
        <f t="shared" si="16"/>
        <v>0</v>
      </c>
      <c r="BN37" s="190"/>
      <c r="BO37" s="258">
        <f t="shared" si="17"/>
        <v>0</v>
      </c>
      <c r="BP37" s="71">
        <f t="shared" si="18"/>
        <v>0</v>
      </c>
      <c r="BQ37" s="112">
        <f t="shared" si="19"/>
        <v>0</v>
      </c>
      <c r="BR37" s="112">
        <f t="shared" si="20"/>
        <v>0</v>
      </c>
      <c r="BS37" s="112">
        <f t="shared" si="21"/>
        <v>0</v>
      </c>
      <c r="BT37" s="112">
        <f t="shared" si="22"/>
        <v>0</v>
      </c>
      <c r="BU37" s="112">
        <f t="shared" si="23"/>
        <v>0</v>
      </c>
      <c r="BV37" s="112">
        <f t="shared" si="24"/>
        <v>0</v>
      </c>
      <c r="BW37" s="112">
        <f t="shared" si="25"/>
        <v>0</v>
      </c>
      <c r="BX37" s="112">
        <f t="shared" si="26"/>
        <v>0</v>
      </c>
      <c r="BY37" s="71">
        <f t="shared" si="27"/>
        <v>0</v>
      </c>
      <c r="BZ37" s="112">
        <f t="shared" si="28"/>
        <v>0</v>
      </c>
      <c r="CA37" s="233"/>
      <c r="CB37" s="233"/>
      <c r="CC37" s="71">
        <f t="shared" si="29"/>
        <v>0</v>
      </c>
      <c r="CD37" s="71">
        <f t="shared" si="30"/>
        <v>0</v>
      </c>
      <c r="CE37" s="71">
        <f t="shared" si="31"/>
        <v>0</v>
      </c>
      <c r="CF37" s="71">
        <f t="shared" si="32"/>
        <v>0</v>
      </c>
      <c r="CG37" s="71">
        <f t="shared" si="33"/>
        <v>0</v>
      </c>
      <c r="CH37" s="261">
        <f t="shared" si="34"/>
        <v>0</v>
      </c>
      <c r="CI37" s="262">
        <f t="shared" si="35"/>
        <v>0</v>
      </c>
      <c r="CJ37" s="79"/>
      <c r="CK37" s="41"/>
      <c r="CL37" s="176"/>
      <c r="CM37" s="129"/>
      <c r="CN37" s="41"/>
      <c r="CO37" s="240"/>
      <c r="CP37" s="79"/>
      <c r="CQ37" s="79"/>
      <c r="CR37" s="79"/>
      <c r="CS37" s="55" t="str">
        <f t="shared" si="36"/>
        <v>STELLA SILVA</v>
      </c>
      <c r="CT37" s="185" t="str">
        <f>+'SEMANA DEL 2 AL 7-3-26'!CS38</f>
        <v>CC-1.102.348.573</v>
      </c>
      <c r="CU37" s="292">
        <f t="shared" si="37"/>
        <v>0</v>
      </c>
      <c r="CV37" s="292">
        <f t="shared" si="38"/>
        <v>0</v>
      </c>
      <c r="CW37" s="292"/>
      <c r="CX37" s="292"/>
      <c r="CY37" s="292">
        <f t="shared" si="39"/>
        <v>0</v>
      </c>
      <c r="CZ37" s="301"/>
      <c r="DA37" s="301"/>
      <c r="DB37" s="302">
        <f t="shared" si="40"/>
        <v>0</v>
      </c>
      <c r="DC37" s="303"/>
      <c r="DD37" s="186">
        <f t="shared" si="41"/>
        <v>0</v>
      </c>
      <c r="DE37" s="317">
        <f>+DB37+DD37+CY37</f>
        <v>0</v>
      </c>
      <c r="DF37" s="184"/>
      <c r="DG37" s="184"/>
    </row>
    <row r="38" spans="1:111" ht="18" x14ac:dyDescent="0.25">
      <c r="A38" s="297" t="str">
        <f>+'SEMANA DEL 7 AL 14'!A38</f>
        <v>SANDRA MILENA ANTOLINES</v>
      </c>
      <c r="B38" s="289">
        <f>+'SEMANA DEL 7 AL 14'!AX38</f>
        <v>10</v>
      </c>
      <c r="C38" s="289">
        <f>+'SEMANA DEL 7 AL 14'!AY38</f>
        <v>18</v>
      </c>
      <c r="D38" s="289">
        <f>+'SEMANA DEL 7 AL 14'!AZ38</f>
        <v>70</v>
      </c>
      <c r="E38" s="289">
        <f>+'SEMANA DEL 7 AL 14'!BA38</f>
        <v>8</v>
      </c>
      <c r="F38" s="289">
        <f>+'SEMANA DEL 7 AL 14'!BB38</f>
        <v>0</v>
      </c>
      <c r="G38" s="289">
        <f>+'SEMANA DEL 7 AL 14'!BC38</f>
        <v>0</v>
      </c>
      <c r="H38" s="289">
        <f>+'SEMANA DEL 7 AL 14'!BD38</f>
        <v>0</v>
      </c>
      <c r="I38" s="289">
        <f>+'SEMANA DEL 7 AL 14'!BE38</f>
        <v>2</v>
      </c>
      <c r="J38" s="289">
        <f>+'SEMANA DEL 7 AL 14'!BF38</f>
        <v>0</v>
      </c>
      <c r="K38" s="289">
        <f>+'SEMANA DEL 7 AL 14'!BG38</f>
        <v>0</v>
      </c>
      <c r="L38" s="289">
        <f>+'SEMANA DEL 7 AL 14'!BH38</f>
        <v>0</v>
      </c>
      <c r="M38" s="289">
        <f>+'SEMANA DEL 7 AL 14'!BI38</f>
        <v>0</v>
      </c>
      <c r="N38" s="289">
        <f>+'SEMANA DEL 7 AL 14'!BJ38</f>
        <v>0</v>
      </c>
      <c r="O38" s="289">
        <f>+'SEMANA DEL 7 AL 14'!BK38</f>
        <v>0</v>
      </c>
      <c r="P38" s="289">
        <f>+'SEMANA DEL 7 AL 14'!BL38</f>
        <v>0</v>
      </c>
      <c r="Q38" s="289">
        <f>+'SEMANA DEL 7 AL 14'!BM38</f>
        <v>0</v>
      </c>
      <c r="R38" s="298"/>
      <c r="S38" s="298"/>
      <c r="T38" s="298"/>
      <c r="U38" s="298"/>
      <c r="V38" s="298"/>
      <c r="W38" s="298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98"/>
      <c r="AI38" s="298"/>
      <c r="AJ38" s="298"/>
      <c r="AK38" s="298"/>
      <c r="AL38" s="298"/>
      <c r="AM38" s="298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190">
        <f t="shared" si="1"/>
        <v>10</v>
      </c>
      <c r="AY38" s="190">
        <f t="shared" si="2"/>
        <v>18</v>
      </c>
      <c r="AZ38" s="190">
        <f t="shared" si="3"/>
        <v>70</v>
      </c>
      <c r="BA38" s="190">
        <f t="shared" si="4"/>
        <v>8</v>
      </c>
      <c r="BB38" s="190">
        <f t="shared" si="5"/>
        <v>0</v>
      </c>
      <c r="BC38" s="190">
        <f t="shared" si="6"/>
        <v>0</v>
      </c>
      <c r="BD38" s="190">
        <f t="shared" si="7"/>
        <v>0</v>
      </c>
      <c r="BE38" s="190">
        <f t="shared" si="8"/>
        <v>2</v>
      </c>
      <c r="BF38" s="190">
        <f t="shared" si="9"/>
        <v>0</v>
      </c>
      <c r="BG38" s="190">
        <f t="shared" si="10"/>
        <v>0</v>
      </c>
      <c r="BH38" s="190">
        <f t="shared" si="11"/>
        <v>0</v>
      </c>
      <c r="BI38" s="190">
        <f t="shared" si="12"/>
        <v>0</v>
      </c>
      <c r="BJ38" s="190">
        <f t="shared" si="13"/>
        <v>0</v>
      </c>
      <c r="BK38" s="190">
        <f t="shared" si="14"/>
        <v>0</v>
      </c>
      <c r="BL38" s="190">
        <f t="shared" si="15"/>
        <v>0</v>
      </c>
      <c r="BM38" s="190">
        <f t="shared" si="16"/>
        <v>0</v>
      </c>
      <c r="BN38" s="190"/>
      <c r="BO38" s="170">
        <f t="shared" si="17"/>
        <v>0</v>
      </c>
      <c r="BP38" s="71">
        <f t="shared" si="18"/>
        <v>0</v>
      </c>
      <c r="BQ38" s="112">
        <f t="shared" si="19"/>
        <v>0</v>
      </c>
      <c r="BR38" s="112">
        <f t="shared" si="20"/>
        <v>0</v>
      </c>
      <c r="BS38" s="112">
        <f t="shared" si="21"/>
        <v>0</v>
      </c>
      <c r="BT38" s="112">
        <f t="shared" si="22"/>
        <v>0</v>
      </c>
      <c r="BU38" s="112">
        <f t="shared" si="23"/>
        <v>0</v>
      </c>
      <c r="BV38" s="112">
        <f t="shared" si="24"/>
        <v>0</v>
      </c>
      <c r="BW38" s="112">
        <f t="shared" si="25"/>
        <v>0</v>
      </c>
      <c r="BX38" s="112">
        <f t="shared" si="26"/>
        <v>0</v>
      </c>
      <c r="BY38" s="71">
        <f t="shared" si="27"/>
        <v>0</v>
      </c>
      <c r="BZ38" s="112">
        <f t="shared" si="28"/>
        <v>0</v>
      </c>
      <c r="CA38" s="233"/>
      <c r="CB38" s="233"/>
      <c r="CC38" s="71">
        <f t="shared" si="29"/>
        <v>0</v>
      </c>
      <c r="CD38" s="71">
        <f t="shared" si="30"/>
        <v>0</v>
      </c>
      <c r="CE38" s="71">
        <f t="shared" si="31"/>
        <v>0</v>
      </c>
      <c r="CF38" s="71">
        <f t="shared" si="32"/>
        <v>0</v>
      </c>
      <c r="CG38" s="71">
        <f t="shared" si="33"/>
        <v>0</v>
      </c>
      <c r="CH38" s="170">
        <f t="shared" si="34"/>
        <v>0</v>
      </c>
      <c r="CI38" s="262">
        <f t="shared" si="35"/>
        <v>0</v>
      </c>
      <c r="CJ38" s="79"/>
      <c r="CK38" s="41"/>
      <c r="CL38" s="176"/>
      <c r="CM38" s="129"/>
      <c r="CN38" s="41"/>
      <c r="CO38" s="240"/>
      <c r="CP38" s="79"/>
      <c r="CQ38" s="79"/>
      <c r="CR38" s="79"/>
      <c r="CS38" s="55" t="str">
        <f t="shared" si="36"/>
        <v>SANDRA MILENA ANTOLINES</v>
      </c>
      <c r="CT38" s="185" t="str">
        <f>+'SEMANA DEL 2 AL 7-3-26'!CS39</f>
        <v>V-18.355.048</v>
      </c>
      <c r="CU38" s="292">
        <f t="shared" si="37"/>
        <v>0</v>
      </c>
      <c r="CV38" s="292">
        <f t="shared" si="38"/>
        <v>0</v>
      </c>
      <c r="CW38" s="292"/>
      <c r="CX38" s="292"/>
      <c r="CY38" s="292">
        <f t="shared" si="39"/>
        <v>0</v>
      </c>
      <c r="CZ38" s="301"/>
      <c r="DA38" s="301"/>
      <c r="DB38" s="302">
        <f t="shared" si="40"/>
        <v>0</v>
      </c>
      <c r="DC38" s="303"/>
      <c r="DD38" s="186">
        <f t="shared" si="41"/>
        <v>0</v>
      </c>
      <c r="DE38" s="317">
        <f t="shared" si="42"/>
        <v>0</v>
      </c>
      <c r="DF38" s="184"/>
      <c r="DG38" s="184"/>
    </row>
    <row r="39" spans="1:111" ht="18" x14ac:dyDescent="0.25">
      <c r="A39" s="297" t="str">
        <f>+'SEMANA DEL 7 AL 14'!A39</f>
        <v xml:space="preserve">SANDRA MORENO </v>
      </c>
      <c r="B39" s="289">
        <f>+'SEMANA DEL 7 AL 14'!AX39</f>
        <v>10.75</v>
      </c>
      <c r="C39" s="289">
        <f>+'SEMANA DEL 7 AL 14'!AY39</f>
        <v>18.450000000000003</v>
      </c>
      <c r="D39" s="289">
        <f>+'SEMANA DEL 7 AL 14'!AZ39</f>
        <v>71.75</v>
      </c>
      <c r="E39" s="289">
        <f>+'SEMANA DEL 7 AL 14'!BA39</f>
        <v>8</v>
      </c>
      <c r="F39" s="289">
        <f>+'SEMANA DEL 7 AL 14'!BB39</f>
        <v>0</v>
      </c>
      <c r="G39" s="289">
        <f>+'SEMANA DEL 7 AL 14'!BC39</f>
        <v>0</v>
      </c>
      <c r="H39" s="289">
        <f>+'SEMANA DEL 7 AL 14'!BD39</f>
        <v>0</v>
      </c>
      <c r="I39" s="289">
        <f>+'SEMANA DEL 7 AL 14'!BE39</f>
        <v>0</v>
      </c>
      <c r="J39" s="289">
        <f>+'SEMANA DEL 7 AL 14'!BF39</f>
        <v>0</v>
      </c>
      <c r="K39" s="289">
        <f>+'SEMANA DEL 7 AL 14'!BG39</f>
        <v>0</v>
      </c>
      <c r="L39" s="289">
        <f>+'SEMANA DEL 7 AL 14'!BH39</f>
        <v>0</v>
      </c>
      <c r="M39" s="289">
        <f>+'SEMANA DEL 7 AL 14'!BI39</f>
        <v>0</v>
      </c>
      <c r="N39" s="289">
        <f>+'SEMANA DEL 7 AL 14'!BJ39</f>
        <v>0</v>
      </c>
      <c r="O39" s="289">
        <f>+'SEMANA DEL 7 AL 14'!BK39</f>
        <v>0</v>
      </c>
      <c r="P39" s="289">
        <f>+'SEMANA DEL 7 AL 14'!BL39</f>
        <v>0</v>
      </c>
      <c r="Q39" s="289">
        <f>+'SEMANA DEL 7 AL 14'!BM39</f>
        <v>0</v>
      </c>
      <c r="R39" s="298"/>
      <c r="S39" s="298"/>
      <c r="T39" s="298"/>
      <c r="U39" s="298"/>
      <c r="V39" s="298"/>
      <c r="W39" s="298"/>
      <c r="X39" s="289"/>
      <c r="Y39" s="289"/>
      <c r="Z39" s="289"/>
      <c r="AA39" s="289"/>
      <c r="AB39" s="289"/>
      <c r="AC39" s="289"/>
      <c r="AD39" s="289"/>
      <c r="AE39" s="289"/>
      <c r="AF39" s="289"/>
      <c r="AG39" s="298"/>
      <c r="AH39" s="298"/>
      <c r="AI39" s="298"/>
      <c r="AJ39" s="298"/>
      <c r="AK39" s="298"/>
      <c r="AL39" s="298"/>
      <c r="AM39" s="298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190">
        <f t="shared" si="1"/>
        <v>10.75</v>
      </c>
      <c r="AY39" s="190">
        <f t="shared" si="2"/>
        <v>18.450000000000003</v>
      </c>
      <c r="AZ39" s="190">
        <f t="shared" si="3"/>
        <v>71.75</v>
      </c>
      <c r="BA39" s="190">
        <f t="shared" si="4"/>
        <v>8</v>
      </c>
      <c r="BB39" s="190">
        <f t="shared" si="5"/>
        <v>0</v>
      </c>
      <c r="BC39" s="190">
        <f t="shared" si="6"/>
        <v>0</v>
      </c>
      <c r="BD39" s="190">
        <f t="shared" si="7"/>
        <v>0</v>
      </c>
      <c r="BE39" s="190">
        <f t="shared" si="8"/>
        <v>0</v>
      </c>
      <c r="BF39" s="190">
        <f t="shared" si="9"/>
        <v>0</v>
      </c>
      <c r="BG39" s="190">
        <f t="shared" si="10"/>
        <v>0</v>
      </c>
      <c r="BH39" s="190">
        <f t="shared" si="11"/>
        <v>0</v>
      </c>
      <c r="BI39" s="190">
        <f t="shared" si="12"/>
        <v>0</v>
      </c>
      <c r="BJ39" s="190">
        <f t="shared" si="13"/>
        <v>0</v>
      </c>
      <c r="BK39" s="190">
        <f t="shared" si="14"/>
        <v>0</v>
      </c>
      <c r="BL39" s="190">
        <f t="shared" si="15"/>
        <v>0</v>
      </c>
      <c r="BM39" s="190">
        <f t="shared" si="16"/>
        <v>0</v>
      </c>
      <c r="BN39" s="190"/>
      <c r="BO39" s="170">
        <f t="shared" si="17"/>
        <v>0</v>
      </c>
      <c r="BP39" s="71">
        <f t="shared" si="18"/>
        <v>0</v>
      </c>
      <c r="BQ39" s="112">
        <f t="shared" si="19"/>
        <v>0</v>
      </c>
      <c r="BR39" s="112">
        <f t="shared" si="20"/>
        <v>0</v>
      </c>
      <c r="BS39" s="112">
        <f t="shared" si="21"/>
        <v>0</v>
      </c>
      <c r="BT39" s="112">
        <f t="shared" si="22"/>
        <v>0</v>
      </c>
      <c r="BU39" s="112">
        <f t="shared" si="23"/>
        <v>0</v>
      </c>
      <c r="BV39" s="112">
        <f t="shared" si="24"/>
        <v>0</v>
      </c>
      <c r="BW39" s="112">
        <f t="shared" si="25"/>
        <v>0</v>
      </c>
      <c r="BX39" s="112">
        <f t="shared" si="26"/>
        <v>0</v>
      </c>
      <c r="BY39" s="71">
        <f t="shared" si="27"/>
        <v>0</v>
      </c>
      <c r="BZ39" s="112">
        <f t="shared" si="28"/>
        <v>0</v>
      </c>
      <c r="CA39" s="233"/>
      <c r="CB39" s="233"/>
      <c r="CC39" s="71">
        <f t="shared" si="29"/>
        <v>0</v>
      </c>
      <c r="CD39" s="71">
        <f t="shared" si="30"/>
        <v>0</v>
      </c>
      <c r="CE39" s="71">
        <f t="shared" si="31"/>
        <v>0</v>
      </c>
      <c r="CF39" s="71">
        <f t="shared" si="32"/>
        <v>0</v>
      </c>
      <c r="CG39" s="71">
        <f t="shared" si="33"/>
        <v>0</v>
      </c>
      <c r="CH39" s="170">
        <f t="shared" si="34"/>
        <v>0</v>
      </c>
      <c r="CI39" s="262">
        <f t="shared" si="35"/>
        <v>0</v>
      </c>
      <c r="CJ39" s="79"/>
      <c r="CK39" s="41"/>
      <c r="CL39" s="176"/>
      <c r="CM39" s="129"/>
      <c r="CN39" s="41"/>
      <c r="CO39" s="240"/>
      <c r="CP39" s="79"/>
      <c r="CQ39" s="79"/>
      <c r="CR39" s="79"/>
      <c r="CS39" s="55" t="str">
        <f t="shared" si="36"/>
        <v xml:space="preserve">SANDRA MORENO </v>
      </c>
      <c r="CT39" s="185" t="str">
        <f>+'SEMANA DEL 2 AL 7-3-26'!CS40</f>
        <v>CC-1.092.340.667</v>
      </c>
      <c r="CU39" s="292">
        <f t="shared" si="37"/>
        <v>0</v>
      </c>
      <c r="CV39" s="292">
        <f t="shared" si="38"/>
        <v>0</v>
      </c>
      <c r="CW39" s="292"/>
      <c r="CX39" s="292"/>
      <c r="CY39" s="292">
        <f t="shared" si="39"/>
        <v>0</v>
      </c>
      <c r="CZ39" s="301"/>
      <c r="DA39" s="301"/>
      <c r="DB39" s="302">
        <f t="shared" si="40"/>
        <v>0</v>
      </c>
      <c r="DC39" s="303"/>
      <c r="DD39" s="186">
        <f t="shared" si="41"/>
        <v>0</v>
      </c>
      <c r="DE39" s="317">
        <f t="shared" si="42"/>
        <v>0</v>
      </c>
      <c r="DF39" s="184"/>
      <c r="DG39" s="184"/>
    </row>
    <row r="40" spans="1:111" ht="18" x14ac:dyDescent="0.25">
      <c r="A40" s="297" t="str">
        <f>+'SEMANA DEL 7 AL 14'!A40</f>
        <v xml:space="preserve">YENDER PADILLA </v>
      </c>
      <c r="B40" s="289">
        <f>+'SEMANA DEL 7 AL 14'!AX40</f>
        <v>5</v>
      </c>
      <c r="C40" s="289">
        <f>+'SEMANA DEL 7 AL 14'!AY40</f>
        <v>9</v>
      </c>
      <c r="D40" s="289">
        <f>+'SEMANA DEL 7 AL 14'!AZ40</f>
        <v>35</v>
      </c>
      <c r="E40" s="289">
        <f>+'SEMANA DEL 7 AL 14'!BA40</f>
        <v>4</v>
      </c>
      <c r="F40" s="289">
        <f>+'SEMANA DEL 7 AL 14'!BB40</f>
        <v>0</v>
      </c>
      <c r="G40" s="289">
        <f>+'SEMANA DEL 7 AL 14'!BC40</f>
        <v>0</v>
      </c>
      <c r="H40" s="289">
        <f>+'SEMANA DEL 7 AL 14'!BD40</f>
        <v>0</v>
      </c>
      <c r="I40" s="289">
        <f>+'SEMANA DEL 7 AL 14'!BE40</f>
        <v>0</v>
      </c>
      <c r="J40" s="289">
        <f>+'SEMANA DEL 7 AL 14'!BF40</f>
        <v>0</v>
      </c>
      <c r="K40" s="289">
        <f>+'SEMANA DEL 7 AL 14'!BG40</f>
        <v>0</v>
      </c>
      <c r="L40" s="289">
        <f>+'SEMANA DEL 7 AL 14'!BH40</f>
        <v>0</v>
      </c>
      <c r="M40" s="289">
        <f>+'SEMANA DEL 7 AL 14'!BI40</f>
        <v>0</v>
      </c>
      <c r="N40" s="289">
        <f>+'SEMANA DEL 7 AL 14'!BJ40</f>
        <v>0</v>
      </c>
      <c r="O40" s="289">
        <f>+'SEMANA DEL 7 AL 14'!BK40</f>
        <v>0</v>
      </c>
      <c r="P40" s="289">
        <f>+'SEMANA DEL 7 AL 14'!BL40</f>
        <v>0</v>
      </c>
      <c r="Q40" s="289">
        <f>+'SEMANA DEL 7 AL 14'!BM40</f>
        <v>0</v>
      </c>
      <c r="R40" s="289"/>
      <c r="S40" s="289"/>
      <c r="T40" s="289"/>
      <c r="U40" s="298"/>
      <c r="V40" s="298"/>
      <c r="W40" s="298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98"/>
      <c r="AL40" s="298"/>
      <c r="AM40" s="298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190">
        <f t="shared" si="1"/>
        <v>5</v>
      </c>
      <c r="AY40" s="190">
        <f t="shared" si="2"/>
        <v>9</v>
      </c>
      <c r="AZ40" s="190">
        <f t="shared" si="3"/>
        <v>35</v>
      </c>
      <c r="BA40" s="190">
        <f t="shared" si="4"/>
        <v>4</v>
      </c>
      <c r="BB40" s="190">
        <f t="shared" si="5"/>
        <v>0</v>
      </c>
      <c r="BC40" s="190">
        <f t="shared" si="6"/>
        <v>0</v>
      </c>
      <c r="BD40" s="190">
        <f t="shared" si="7"/>
        <v>0</v>
      </c>
      <c r="BE40" s="190">
        <f t="shared" si="8"/>
        <v>0</v>
      </c>
      <c r="BF40" s="190">
        <f t="shared" si="9"/>
        <v>0</v>
      </c>
      <c r="BG40" s="190">
        <f t="shared" si="10"/>
        <v>0</v>
      </c>
      <c r="BH40" s="190">
        <f t="shared" si="11"/>
        <v>0</v>
      </c>
      <c r="BI40" s="190">
        <f t="shared" si="12"/>
        <v>0</v>
      </c>
      <c r="BJ40" s="190">
        <f t="shared" si="13"/>
        <v>0</v>
      </c>
      <c r="BK40" s="190">
        <f t="shared" si="14"/>
        <v>0</v>
      </c>
      <c r="BL40" s="190">
        <f t="shared" si="15"/>
        <v>0</v>
      </c>
      <c r="BM40" s="190">
        <f t="shared" si="16"/>
        <v>0</v>
      </c>
      <c r="BN40" s="190"/>
      <c r="BO40" s="170">
        <f t="shared" si="17"/>
        <v>0</v>
      </c>
      <c r="BP40" s="71">
        <f t="shared" si="18"/>
        <v>0</v>
      </c>
      <c r="BQ40" s="112">
        <f t="shared" si="19"/>
        <v>0</v>
      </c>
      <c r="BR40" s="112">
        <f t="shared" si="20"/>
        <v>0</v>
      </c>
      <c r="BS40" s="112">
        <f t="shared" si="21"/>
        <v>0</v>
      </c>
      <c r="BT40" s="112">
        <f t="shared" si="22"/>
        <v>0</v>
      </c>
      <c r="BU40" s="112">
        <f t="shared" si="23"/>
        <v>0</v>
      </c>
      <c r="BV40" s="112">
        <f t="shared" si="24"/>
        <v>0</v>
      </c>
      <c r="BW40" s="112">
        <f t="shared" si="25"/>
        <v>0</v>
      </c>
      <c r="BX40" s="112">
        <f t="shared" si="26"/>
        <v>0</v>
      </c>
      <c r="BY40" s="71">
        <f t="shared" si="27"/>
        <v>0</v>
      </c>
      <c r="BZ40" s="112">
        <f t="shared" si="28"/>
        <v>0</v>
      </c>
      <c r="CA40" s="233"/>
      <c r="CB40" s="233"/>
      <c r="CC40" s="71">
        <f t="shared" si="29"/>
        <v>0</v>
      </c>
      <c r="CD40" s="71">
        <f t="shared" si="30"/>
        <v>0</v>
      </c>
      <c r="CE40" s="71">
        <f t="shared" si="31"/>
        <v>0</v>
      </c>
      <c r="CF40" s="71">
        <f t="shared" si="32"/>
        <v>0</v>
      </c>
      <c r="CG40" s="71">
        <f t="shared" si="33"/>
        <v>0</v>
      </c>
      <c r="CH40" s="170">
        <f t="shared" si="34"/>
        <v>0</v>
      </c>
      <c r="CI40" s="262">
        <f t="shared" si="35"/>
        <v>0</v>
      </c>
      <c r="CJ40" s="73"/>
      <c r="CK40" s="172" t="s">
        <v>35</v>
      </c>
      <c r="CL40" s="176">
        <f>+'SEMANA DEL 7 AL 14'!CP41</f>
        <v>0</v>
      </c>
      <c r="CM40" s="173" t="e">
        <f>+#REF!</f>
        <v>#REF!</v>
      </c>
      <c r="CN40" s="179" t="e">
        <f>+CL40+CM40</f>
        <v>#REF!</v>
      </c>
      <c r="CO40" s="195" t="e">
        <f>+#REF!</f>
        <v>#REF!</v>
      </c>
      <c r="CP40" s="242" t="e">
        <f>CN40-CO40</f>
        <v>#REF!</v>
      </c>
      <c r="CQ40" s="140"/>
      <c r="CR40" s="52"/>
      <c r="CS40" s="55" t="str">
        <f t="shared" si="36"/>
        <v xml:space="preserve">YENDER PADILLA </v>
      </c>
      <c r="CT40" s="185" t="str">
        <f>+'SEMANA DEL 2 AL 7-3-26'!CS42</f>
        <v>V-14,975,665</v>
      </c>
      <c r="CU40" s="292">
        <f t="shared" si="37"/>
        <v>0</v>
      </c>
      <c r="CV40" s="292">
        <f t="shared" si="38"/>
        <v>0</v>
      </c>
      <c r="CW40" s="292"/>
      <c r="CX40" s="292"/>
      <c r="CY40" s="292">
        <f t="shared" si="39"/>
        <v>0</v>
      </c>
      <c r="CZ40" s="301"/>
      <c r="DA40" s="301"/>
      <c r="DB40" s="302">
        <f t="shared" si="40"/>
        <v>0</v>
      </c>
      <c r="DC40" s="303"/>
      <c r="DD40" s="186">
        <f t="shared" si="41"/>
        <v>0</v>
      </c>
      <c r="DE40" s="317">
        <f t="shared" si="42"/>
        <v>0</v>
      </c>
      <c r="DF40" s="184"/>
      <c r="DG40" s="184"/>
    </row>
    <row r="41" spans="1:111" ht="18" x14ac:dyDescent="0.25">
      <c r="A41" s="297" t="str">
        <f>+'SEMANA DEL 7 AL 14'!A41</f>
        <v xml:space="preserve">YEFERSON CONTRERAS </v>
      </c>
      <c r="B41" s="289">
        <f>+'SEMANA DEL 7 AL 14'!AX41</f>
        <v>5</v>
      </c>
      <c r="C41" s="289">
        <f>+'SEMANA DEL 7 AL 14'!AY41</f>
        <v>9</v>
      </c>
      <c r="D41" s="289">
        <f>+'SEMANA DEL 7 AL 14'!AZ41</f>
        <v>35</v>
      </c>
      <c r="E41" s="289">
        <f>+'SEMANA DEL 7 AL 14'!BA41</f>
        <v>4</v>
      </c>
      <c r="F41" s="289">
        <f>+'SEMANA DEL 7 AL 14'!BB41</f>
        <v>0</v>
      </c>
      <c r="G41" s="289">
        <f>+'SEMANA DEL 7 AL 14'!BC41</f>
        <v>0</v>
      </c>
      <c r="H41" s="289">
        <f>+'SEMANA DEL 7 AL 14'!BD41</f>
        <v>0</v>
      </c>
      <c r="I41" s="289">
        <f>+'SEMANA DEL 7 AL 14'!BE41</f>
        <v>0</v>
      </c>
      <c r="J41" s="289">
        <f>+'SEMANA DEL 7 AL 14'!BF41</f>
        <v>0</v>
      </c>
      <c r="K41" s="289">
        <f>+'SEMANA DEL 7 AL 14'!BG41</f>
        <v>0</v>
      </c>
      <c r="L41" s="289">
        <f>+'SEMANA DEL 7 AL 14'!BH41</f>
        <v>0</v>
      </c>
      <c r="M41" s="289">
        <f>+'SEMANA DEL 7 AL 14'!BI41</f>
        <v>0</v>
      </c>
      <c r="N41" s="289">
        <f>+'SEMANA DEL 7 AL 14'!BJ41</f>
        <v>0</v>
      </c>
      <c r="O41" s="289">
        <f>+'SEMANA DEL 7 AL 14'!BK41</f>
        <v>0</v>
      </c>
      <c r="P41" s="289">
        <f>+'SEMANA DEL 7 AL 14'!BL41</f>
        <v>0</v>
      </c>
      <c r="Q41" s="289">
        <f>+'SEMANA DEL 7 AL 14'!BM41</f>
        <v>0</v>
      </c>
      <c r="R41" s="289"/>
      <c r="S41" s="289"/>
      <c r="T41" s="289"/>
      <c r="U41" s="298"/>
      <c r="V41" s="298"/>
      <c r="W41" s="298"/>
      <c r="X41" s="289"/>
      <c r="Y41" s="289"/>
      <c r="Z41" s="289"/>
      <c r="AA41" s="289"/>
      <c r="AB41" s="289"/>
      <c r="AC41" s="289"/>
      <c r="AD41" s="289"/>
      <c r="AE41" s="289"/>
      <c r="AF41" s="289"/>
      <c r="AG41" s="298"/>
      <c r="AH41" s="289"/>
      <c r="AI41" s="289"/>
      <c r="AJ41" s="289"/>
      <c r="AK41" s="298"/>
      <c r="AL41" s="298"/>
      <c r="AM41" s="298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190">
        <f t="shared" si="1"/>
        <v>5</v>
      </c>
      <c r="AY41" s="190">
        <f t="shared" si="2"/>
        <v>9</v>
      </c>
      <c r="AZ41" s="190">
        <f t="shared" si="3"/>
        <v>35</v>
      </c>
      <c r="BA41" s="190">
        <f t="shared" si="4"/>
        <v>4</v>
      </c>
      <c r="BB41" s="190">
        <f t="shared" si="5"/>
        <v>0</v>
      </c>
      <c r="BC41" s="190">
        <f t="shared" si="6"/>
        <v>0</v>
      </c>
      <c r="BD41" s="190">
        <f t="shared" si="7"/>
        <v>0</v>
      </c>
      <c r="BE41" s="190">
        <f t="shared" si="8"/>
        <v>0</v>
      </c>
      <c r="BF41" s="190">
        <f t="shared" si="9"/>
        <v>0</v>
      </c>
      <c r="BG41" s="190">
        <f t="shared" si="10"/>
        <v>0</v>
      </c>
      <c r="BH41" s="190">
        <f t="shared" si="11"/>
        <v>0</v>
      </c>
      <c r="BI41" s="190">
        <f t="shared" si="12"/>
        <v>0</v>
      </c>
      <c r="BJ41" s="190">
        <f t="shared" si="13"/>
        <v>0</v>
      </c>
      <c r="BK41" s="190">
        <f t="shared" si="14"/>
        <v>0</v>
      </c>
      <c r="BL41" s="190">
        <f t="shared" si="15"/>
        <v>0</v>
      </c>
      <c r="BM41" s="190">
        <f t="shared" si="16"/>
        <v>0</v>
      </c>
      <c r="BN41" s="190"/>
      <c r="BO41" s="170">
        <f t="shared" si="17"/>
        <v>0</v>
      </c>
      <c r="BP41" s="71">
        <f t="shared" si="18"/>
        <v>0</v>
      </c>
      <c r="BQ41" s="112">
        <f t="shared" si="19"/>
        <v>0</v>
      </c>
      <c r="BR41" s="112">
        <f t="shared" si="20"/>
        <v>0</v>
      </c>
      <c r="BS41" s="112">
        <f t="shared" si="21"/>
        <v>0</v>
      </c>
      <c r="BT41" s="112">
        <f t="shared" si="22"/>
        <v>0</v>
      </c>
      <c r="BU41" s="112">
        <f t="shared" si="23"/>
        <v>0</v>
      </c>
      <c r="BV41" s="112">
        <f t="shared" si="24"/>
        <v>0</v>
      </c>
      <c r="BW41" s="112">
        <f t="shared" si="25"/>
        <v>0</v>
      </c>
      <c r="BX41" s="112">
        <f t="shared" si="26"/>
        <v>0</v>
      </c>
      <c r="BY41" s="71">
        <f t="shared" si="27"/>
        <v>0</v>
      </c>
      <c r="BZ41" s="112">
        <f t="shared" si="28"/>
        <v>0</v>
      </c>
      <c r="CA41" s="233"/>
      <c r="CB41" s="233"/>
      <c r="CC41" s="71">
        <f t="shared" si="29"/>
        <v>0</v>
      </c>
      <c r="CD41" s="71">
        <f t="shared" si="30"/>
        <v>0</v>
      </c>
      <c r="CE41" s="71">
        <f t="shared" si="31"/>
        <v>0</v>
      </c>
      <c r="CF41" s="71">
        <f t="shared" si="32"/>
        <v>0</v>
      </c>
      <c r="CG41" s="71">
        <f t="shared" si="33"/>
        <v>0</v>
      </c>
      <c r="CH41" s="170">
        <f t="shared" si="34"/>
        <v>0</v>
      </c>
      <c r="CI41" s="262">
        <f t="shared" si="35"/>
        <v>0</v>
      </c>
      <c r="CJ41" s="73"/>
      <c r="CK41" s="172" t="s">
        <v>50</v>
      </c>
      <c r="CL41" s="176" t="e">
        <f>+'SEMANA DEL 7 AL 14'!#REF!</f>
        <v>#REF!</v>
      </c>
      <c r="CM41" s="173" t="e">
        <f>+#REF!</f>
        <v>#REF!</v>
      </c>
      <c r="CN41" s="179" t="e">
        <f>+CL41+CM41</f>
        <v>#REF!</v>
      </c>
      <c r="CO41" s="195" t="e">
        <f>+#REF!</f>
        <v>#REF!</v>
      </c>
      <c r="CP41" s="179" t="e">
        <f>CN41-CO41</f>
        <v>#REF!</v>
      </c>
      <c r="CQ41" s="140"/>
      <c r="CR41" s="52"/>
      <c r="CS41" s="55" t="str">
        <f t="shared" si="36"/>
        <v xml:space="preserve">YEFERSON CONTRERAS </v>
      </c>
      <c r="CT41" s="185" t="str">
        <f>+'SEMANA DEL 2 AL 7-3-26'!CS43</f>
        <v>V-11.017.442</v>
      </c>
      <c r="CU41" s="292">
        <f t="shared" si="37"/>
        <v>0</v>
      </c>
      <c r="CV41" s="292">
        <f t="shared" si="38"/>
        <v>0</v>
      </c>
      <c r="CW41" s="292"/>
      <c r="CX41" s="292"/>
      <c r="CY41" s="292">
        <f t="shared" si="39"/>
        <v>0</v>
      </c>
      <c r="CZ41" s="301"/>
      <c r="DA41" s="301"/>
      <c r="DB41" s="302">
        <f t="shared" si="40"/>
        <v>0</v>
      </c>
      <c r="DC41" s="303"/>
      <c r="DD41" s="186">
        <f t="shared" si="41"/>
        <v>0</v>
      </c>
      <c r="DE41" s="317">
        <f t="shared" si="42"/>
        <v>0</v>
      </c>
      <c r="DF41" s="184"/>
      <c r="DG41" s="184"/>
    </row>
    <row r="42" spans="1:111" ht="18" x14ac:dyDescent="0.25">
      <c r="A42" s="297" t="str">
        <f>+'SEMANA DEL 7 AL 14'!A42</f>
        <v>YARIRETH ROA</v>
      </c>
      <c r="B42" s="289">
        <f>+'SEMANA DEL 7 AL 14'!AX42</f>
        <v>0</v>
      </c>
      <c r="C42" s="289">
        <f>+'SEMANA DEL 7 AL 14'!AY42</f>
        <v>0</v>
      </c>
      <c r="D42" s="289">
        <f>+'SEMANA DEL 7 AL 14'!AZ42</f>
        <v>0</v>
      </c>
      <c r="E42" s="289">
        <f>+'SEMANA DEL 7 AL 14'!BA42</f>
        <v>0</v>
      </c>
      <c r="F42" s="289">
        <f>+'SEMANA DEL 7 AL 14'!BB42</f>
        <v>0</v>
      </c>
      <c r="G42" s="289">
        <f>+'SEMANA DEL 7 AL 14'!BC42</f>
        <v>0</v>
      </c>
      <c r="H42" s="289">
        <f>+'SEMANA DEL 7 AL 14'!BD42</f>
        <v>0</v>
      </c>
      <c r="I42" s="289">
        <f>+'SEMANA DEL 7 AL 14'!BE42</f>
        <v>0</v>
      </c>
      <c r="J42" s="289">
        <f>+'SEMANA DEL 7 AL 14'!BF42</f>
        <v>0</v>
      </c>
      <c r="K42" s="289">
        <f>+'SEMANA DEL 7 AL 14'!BG42</f>
        <v>0</v>
      </c>
      <c r="L42" s="289">
        <f>+'SEMANA DEL 7 AL 14'!BH42</f>
        <v>0</v>
      </c>
      <c r="M42" s="289">
        <f>+'SEMANA DEL 7 AL 14'!BI42</f>
        <v>0</v>
      </c>
      <c r="N42" s="289">
        <f>+'SEMANA DEL 7 AL 14'!BJ42</f>
        <v>0</v>
      </c>
      <c r="O42" s="289">
        <f>+'SEMANA DEL 7 AL 14'!BK42</f>
        <v>0</v>
      </c>
      <c r="P42" s="289">
        <f>+'SEMANA DEL 7 AL 14'!BL42</f>
        <v>0</v>
      </c>
      <c r="Q42" s="289">
        <f>+'SEMANA DEL 7 AL 14'!BM42</f>
        <v>0</v>
      </c>
      <c r="R42" s="289"/>
      <c r="S42" s="289"/>
      <c r="T42" s="289"/>
      <c r="U42" s="298"/>
      <c r="V42" s="298"/>
      <c r="W42" s="298"/>
      <c r="X42" s="289"/>
      <c r="Y42" s="289"/>
      <c r="Z42" s="289"/>
      <c r="AA42" s="289"/>
      <c r="AB42" s="289"/>
      <c r="AC42" s="289"/>
      <c r="AD42" s="289"/>
      <c r="AE42" s="289"/>
      <c r="AF42" s="289"/>
      <c r="AG42" s="298"/>
      <c r="AH42" s="289"/>
      <c r="AI42" s="289"/>
      <c r="AJ42" s="289"/>
      <c r="AK42" s="298"/>
      <c r="AL42" s="298"/>
      <c r="AM42" s="298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190"/>
      <c r="AY42" s="190"/>
      <c r="AZ42" s="190"/>
      <c r="BA42" s="190"/>
      <c r="BB42" s="190"/>
      <c r="BC42" s="190"/>
      <c r="BD42" s="190"/>
      <c r="BE42" s="190"/>
      <c r="BF42" s="190"/>
      <c r="BG42" s="190"/>
      <c r="BH42" s="190"/>
      <c r="BI42" s="190"/>
      <c r="BJ42" s="190"/>
      <c r="BK42" s="190"/>
      <c r="BL42" s="190"/>
      <c r="BM42" s="190"/>
      <c r="BN42" s="190"/>
      <c r="BO42" s="170"/>
      <c r="BP42" s="71"/>
      <c r="BQ42" s="112"/>
      <c r="BR42" s="112"/>
      <c r="BS42" s="112"/>
      <c r="BT42" s="112"/>
      <c r="BU42" s="112"/>
      <c r="BV42" s="112"/>
      <c r="BW42" s="112"/>
      <c r="BX42" s="112"/>
      <c r="BY42" s="71"/>
      <c r="BZ42" s="112"/>
      <c r="CA42" s="233"/>
      <c r="CB42" s="233"/>
      <c r="CC42" s="71"/>
      <c r="CD42" s="71"/>
      <c r="CE42" s="71"/>
      <c r="CF42" s="71"/>
      <c r="CG42" s="71"/>
      <c r="CH42" s="170"/>
      <c r="CI42" s="262"/>
      <c r="CJ42" s="73"/>
      <c r="CK42" s="172"/>
      <c r="CL42" s="176"/>
      <c r="CM42" s="173"/>
      <c r="CN42" s="179"/>
      <c r="CO42" s="195"/>
      <c r="CP42" s="179"/>
      <c r="CQ42" s="140"/>
      <c r="CR42" s="52"/>
      <c r="CS42" s="55"/>
      <c r="CT42" s="185"/>
      <c r="CU42" s="292"/>
      <c r="CV42" s="292"/>
      <c r="CW42" s="292"/>
      <c r="CX42" s="292"/>
      <c r="CY42" s="292"/>
      <c r="CZ42" s="301"/>
      <c r="DA42" s="301"/>
      <c r="DB42" s="302"/>
      <c r="DC42" s="303"/>
      <c r="DD42" s="186"/>
      <c r="DE42" s="317"/>
      <c r="DF42" s="184"/>
      <c r="DG42" s="184"/>
    </row>
    <row r="43" spans="1:111" ht="18" x14ac:dyDescent="0.25">
      <c r="A43" s="297" t="str">
        <f>+'SEMANA DEL 7 AL 14'!A43</f>
        <v xml:space="preserve">YOLI BECERRA </v>
      </c>
      <c r="B43" s="289">
        <f>+'SEMANA DEL 7 AL 14'!AX43</f>
        <v>0</v>
      </c>
      <c r="C43" s="289">
        <f>+'SEMANA DEL 7 AL 14'!AY43</f>
        <v>0</v>
      </c>
      <c r="D43" s="289">
        <f>+'SEMANA DEL 7 AL 14'!AZ43</f>
        <v>0</v>
      </c>
      <c r="E43" s="289">
        <f>+'SEMANA DEL 7 AL 14'!BA43</f>
        <v>0</v>
      </c>
      <c r="F43" s="289">
        <f>+'SEMANA DEL 7 AL 14'!BB43</f>
        <v>0</v>
      </c>
      <c r="G43" s="289">
        <f>+'SEMANA DEL 7 AL 14'!BC43</f>
        <v>0</v>
      </c>
      <c r="H43" s="289">
        <f>+'SEMANA DEL 7 AL 14'!BD43</f>
        <v>0</v>
      </c>
      <c r="I43" s="289">
        <f>+'SEMANA DEL 7 AL 14'!BE43</f>
        <v>0</v>
      </c>
      <c r="J43" s="289">
        <f>+'SEMANA DEL 7 AL 14'!BF43</f>
        <v>0</v>
      </c>
      <c r="K43" s="289">
        <f>+'SEMANA DEL 7 AL 14'!BG43</f>
        <v>0</v>
      </c>
      <c r="L43" s="289">
        <f>+'SEMANA DEL 7 AL 14'!BH43</f>
        <v>0</v>
      </c>
      <c r="M43" s="289">
        <f>+'SEMANA DEL 7 AL 14'!BI43</f>
        <v>0</v>
      </c>
      <c r="N43" s="289">
        <f>+'SEMANA DEL 7 AL 14'!BJ43</f>
        <v>0</v>
      </c>
      <c r="O43" s="289">
        <f>+'SEMANA DEL 7 AL 14'!BK43</f>
        <v>0</v>
      </c>
      <c r="P43" s="289">
        <f>+'SEMANA DEL 7 AL 14'!BL43</f>
        <v>0</v>
      </c>
      <c r="Q43" s="289">
        <f>+'SEMANA DEL 7 AL 14'!BM43</f>
        <v>0</v>
      </c>
      <c r="R43" s="289"/>
      <c r="S43" s="289"/>
      <c r="T43" s="289"/>
      <c r="U43" s="298"/>
      <c r="V43" s="298"/>
      <c r="W43" s="298"/>
      <c r="X43" s="289"/>
      <c r="Y43" s="289"/>
      <c r="Z43" s="289"/>
      <c r="AA43" s="289"/>
      <c r="AB43" s="289"/>
      <c r="AC43" s="289"/>
      <c r="AD43" s="289"/>
      <c r="AE43" s="289"/>
      <c r="AF43" s="289"/>
      <c r="AG43" s="298"/>
      <c r="AH43" s="289"/>
      <c r="AI43" s="289"/>
      <c r="AJ43" s="289"/>
      <c r="AK43" s="298"/>
      <c r="AL43" s="298"/>
      <c r="AM43" s="298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190"/>
      <c r="AY43" s="190"/>
      <c r="AZ43" s="190"/>
      <c r="BA43" s="190"/>
      <c r="BB43" s="190"/>
      <c r="BC43" s="190"/>
      <c r="BD43" s="190"/>
      <c r="BE43" s="190"/>
      <c r="BF43" s="190"/>
      <c r="BG43" s="190"/>
      <c r="BH43" s="190"/>
      <c r="BI43" s="190"/>
      <c r="BJ43" s="190"/>
      <c r="BK43" s="190"/>
      <c r="BL43" s="190"/>
      <c r="BM43" s="190"/>
      <c r="BN43" s="190"/>
      <c r="BO43" s="170"/>
      <c r="BP43" s="71"/>
      <c r="BQ43" s="112"/>
      <c r="BR43" s="112"/>
      <c r="BS43" s="112"/>
      <c r="BT43" s="112"/>
      <c r="BU43" s="112"/>
      <c r="BV43" s="112"/>
      <c r="BW43" s="112"/>
      <c r="BX43" s="112"/>
      <c r="BY43" s="71"/>
      <c r="BZ43" s="112"/>
      <c r="CA43" s="233"/>
      <c r="CB43" s="233"/>
      <c r="CC43" s="71"/>
      <c r="CD43" s="71"/>
      <c r="CE43" s="71"/>
      <c r="CF43" s="71"/>
      <c r="CG43" s="71"/>
      <c r="CH43" s="170"/>
      <c r="CI43" s="262"/>
      <c r="CJ43" s="73"/>
      <c r="CK43" s="172"/>
      <c r="CL43" s="176"/>
      <c r="CM43" s="173"/>
      <c r="CN43" s="179"/>
      <c r="CO43" s="195"/>
      <c r="CP43" s="179"/>
      <c r="CQ43" s="140"/>
      <c r="CR43" s="52"/>
      <c r="CS43" s="55"/>
      <c r="CT43" s="185"/>
      <c r="CU43" s="292"/>
      <c r="CV43" s="292"/>
      <c r="CW43" s="292"/>
      <c r="CX43" s="292"/>
      <c r="CY43" s="292"/>
      <c r="CZ43" s="301"/>
      <c r="DA43" s="301"/>
      <c r="DB43" s="302"/>
      <c r="DC43" s="303"/>
      <c r="DD43" s="186"/>
      <c r="DE43" s="317"/>
      <c r="DF43" s="184"/>
      <c r="DG43" s="184"/>
    </row>
    <row r="44" spans="1:111" ht="18" x14ac:dyDescent="0.25">
      <c r="A44" s="297" t="str">
        <f>+'SEMANA DEL 7 AL 14'!A44</f>
        <v xml:space="preserve">MUESTRAS SRA MARIA </v>
      </c>
      <c r="B44" s="289">
        <f>+'SEMANA DEL 7 AL 14'!AX44</f>
        <v>0</v>
      </c>
      <c r="C44" s="289">
        <f>+'SEMANA DEL 7 AL 14'!AY44</f>
        <v>0</v>
      </c>
      <c r="D44" s="289">
        <f>+'SEMANA DEL 7 AL 14'!AZ44</f>
        <v>0</v>
      </c>
      <c r="E44" s="289">
        <f>+'SEMANA DEL 7 AL 14'!BA44</f>
        <v>0</v>
      </c>
      <c r="F44" s="289">
        <f>+'SEMANA DEL 7 AL 14'!BB44</f>
        <v>0</v>
      </c>
      <c r="G44" s="289">
        <f>+'SEMANA DEL 7 AL 14'!BC44</f>
        <v>0</v>
      </c>
      <c r="H44" s="289">
        <f>+'SEMANA DEL 7 AL 14'!BD44</f>
        <v>0</v>
      </c>
      <c r="I44" s="289">
        <f>+'SEMANA DEL 7 AL 14'!BE44</f>
        <v>0</v>
      </c>
      <c r="J44" s="289">
        <f>+'SEMANA DEL 7 AL 14'!BF44</f>
        <v>0</v>
      </c>
      <c r="K44" s="289">
        <f>+'SEMANA DEL 7 AL 14'!BG44</f>
        <v>0</v>
      </c>
      <c r="L44" s="289">
        <f>+'SEMANA DEL 7 AL 14'!BH44</f>
        <v>0</v>
      </c>
      <c r="M44" s="289">
        <f>+'SEMANA DEL 7 AL 14'!BI44</f>
        <v>0</v>
      </c>
      <c r="N44" s="289">
        <f>+'SEMANA DEL 7 AL 14'!BJ44</f>
        <v>0</v>
      </c>
      <c r="O44" s="289">
        <f>+'SEMANA DEL 7 AL 14'!BK44</f>
        <v>0</v>
      </c>
      <c r="P44" s="289">
        <f>+'SEMANA DEL 7 AL 14'!BL44</f>
        <v>0</v>
      </c>
      <c r="Q44" s="289">
        <f>+'SEMANA DEL 7 AL 14'!BM44</f>
        <v>0</v>
      </c>
      <c r="R44" s="289"/>
      <c r="S44" s="289"/>
      <c r="T44" s="289"/>
      <c r="U44" s="298"/>
      <c r="V44" s="298"/>
      <c r="W44" s="298"/>
      <c r="X44" s="289"/>
      <c r="Y44" s="289"/>
      <c r="Z44" s="289"/>
      <c r="AA44" s="289"/>
      <c r="AB44" s="289"/>
      <c r="AC44" s="289"/>
      <c r="AD44" s="289"/>
      <c r="AE44" s="289"/>
      <c r="AF44" s="289"/>
      <c r="AG44" s="298"/>
      <c r="AH44" s="289"/>
      <c r="AI44" s="289"/>
      <c r="AJ44" s="289"/>
      <c r="AK44" s="298"/>
      <c r="AL44" s="298"/>
      <c r="AM44" s="298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190">
        <f t="shared" si="1"/>
        <v>0</v>
      </c>
      <c r="AY44" s="190">
        <f t="shared" si="2"/>
        <v>0</v>
      </c>
      <c r="AZ44" s="190">
        <f t="shared" si="3"/>
        <v>0</v>
      </c>
      <c r="BA44" s="190">
        <f t="shared" si="4"/>
        <v>0</v>
      </c>
      <c r="BB44" s="190">
        <f t="shared" ref="BB44" si="43">+F44+V44-AL44</f>
        <v>0</v>
      </c>
      <c r="BC44" s="190">
        <f t="shared" ref="BC44" si="44">+G44+W44-AM44</f>
        <v>0</v>
      </c>
      <c r="BD44" s="190">
        <f t="shared" ref="BD44" si="45">+H44+X44-AN44</f>
        <v>0</v>
      </c>
      <c r="BE44" s="190">
        <f t="shared" ref="BE44" si="46">+I44+Y44-AO44</f>
        <v>0</v>
      </c>
      <c r="BF44" s="190">
        <f t="shared" ref="BF44" si="47">+J44+Z44-AP44</f>
        <v>0</v>
      </c>
      <c r="BG44" s="190">
        <f t="shared" ref="BG44" si="48">+K44+AA44-AQ44</f>
        <v>0</v>
      </c>
      <c r="BH44" s="190">
        <f t="shared" ref="BH44" si="49">+L44+AB44-AR44</f>
        <v>0</v>
      </c>
      <c r="BI44" s="190">
        <f t="shared" ref="BI44" si="50">+M44+AC44-AS44</f>
        <v>0</v>
      </c>
      <c r="BJ44" s="190">
        <f t="shared" ref="BJ44" si="51">+N44+AD44-AT44</f>
        <v>0</v>
      </c>
      <c r="BK44" s="190">
        <f t="shared" ref="BK44" si="52">+O44+AE44-AU44</f>
        <v>0</v>
      </c>
      <c r="BL44" s="190">
        <f t="shared" ref="BL44" si="53">+P44+AF44-AV44</f>
        <v>0</v>
      </c>
      <c r="BM44" s="190">
        <f t="shared" ref="BM44" si="54">+Q44+AG44-AW44</f>
        <v>0</v>
      </c>
      <c r="BN44" s="190"/>
      <c r="BO44" s="170">
        <f t="shared" ref="BO44" si="55">+AL44*2500</f>
        <v>0</v>
      </c>
      <c r="BP44" s="71">
        <f t="shared" ref="BP44" si="56">+AM44*60000</f>
        <v>0</v>
      </c>
      <c r="BQ44" s="112">
        <f t="shared" ref="BQ44" si="57">+AN44*3000</f>
        <v>0</v>
      </c>
      <c r="BR44" s="112">
        <f t="shared" ref="BR44" si="58">+AO44*6000</f>
        <v>0</v>
      </c>
      <c r="BS44" s="112">
        <f t="shared" ref="BS44" si="59">+AP44*8000</f>
        <v>0</v>
      </c>
      <c r="BT44" s="112">
        <f t="shared" ref="BT44" si="60">+AQ44*12000</f>
        <v>0</v>
      </c>
      <c r="BU44" s="112">
        <f t="shared" ref="BU44" si="61">+AR44*150000</f>
        <v>0</v>
      </c>
      <c r="BV44" s="112">
        <f t="shared" ref="BV44" si="62">+AS44*3000</f>
        <v>0</v>
      </c>
      <c r="BW44" s="112">
        <f t="shared" ref="BW44" si="63">+AT44*8000</f>
        <v>0</v>
      </c>
      <c r="BX44" s="112">
        <f t="shared" ref="BX44" si="64">+AU44*150000</f>
        <v>0</v>
      </c>
      <c r="BY44" s="71">
        <f t="shared" ref="BY44" si="65">+AV44*20000</f>
        <v>0</v>
      </c>
      <c r="BZ44" s="112">
        <f t="shared" ref="BZ44" si="66">+AW44*1.5</f>
        <v>0</v>
      </c>
      <c r="CA44" s="233"/>
      <c r="CB44" s="233"/>
      <c r="CC44" s="71">
        <f t="shared" si="29"/>
        <v>0</v>
      </c>
      <c r="CD44" s="71">
        <f t="shared" si="30"/>
        <v>0</v>
      </c>
      <c r="CE44" s="71">
        <f t="shared" si="31"/>
        <v>0</v>
      </c>
      <c r="CF44" s="71">
        <f t="shared" si="32"/>
        <v>0</v>
      </c>
      <c r="CG44" s="71">
        <f t="shared" si="33"/>
        <v>0</v>
      </c>
      <c r="CH44" s="170">
        <f t="shared" si="34"/>
        <v>0</v>
      </c>
      <c r="CI44" s="262">
        <f t="shared" si="35"/>
        <v>0</v>
      </c>
      <c r="CJ44" s="73"/>
      <c r="CK44" s="172"/>
      <c r="CL44" s="176"/>
      <c r="CM44" s="173"/>
      <c r="CN44" s="179"/>
      <c r="CO44" s="195"/>
      <c r="CP44" s="179"/>
      <c r="CQ44" s="140"/>
      <c r="CR44" s="52"/>
      <c r="CS44" s="55" t="str">
        <f t="shared" si="36"/>
        <v xml:space="preserve">MUESTRAS SRA MARIA </v>
      </c>
      <c r="CT44" s="185">
        <f>+'SEMANA DEL 2 AL 7-3-26'!CS44</f>
        <v>0</v>
      </c>
      <c r="CU44" s="292">
        <f t="shared" ref="CU44" si="67">+BN44</f>
        <v>0</v>
      </c>
      <c r="CV44" s="292">
        <f t="shared" ref="CV44" si="68">+AW44</f>
        <v>0</v>
      </c>
      <c r="CW44" s="292"/>
      <c r="CX44" s="292"/>
      <c r="CY44" s="292">
        <f t="shared" si="39"/>
        <v>0</v>
      </c>
      <c r="CZ44" s="301"/>
      <c r="DA44" s="301"/>
      <c r="DB44" s="302">
        <f t="shared" ref="DB44" si="69">+CZ44*6500+DA44*3500</f>
        <v>0</v>
      </c>
      <c r="DC44" s="303"/>
      <c r="DD44" s="186">
        <f t="shared" ref="DD44" si="70">+CI44</f>
        <v>0</v>
      </c>
      <c r="DE44" s="317">
        <f t="shared" ref="DE44" si="71">+DB44+DD44+CY44</f>
        <v>0</v>
      </c>
      <c r="DF44" s="184"/>
      <c r="DG44" s="184"/>
    </row>
    <row r="45" spans="1:111" ht="18" x14ac:dyDescent="0.25">
      <c r="A45" s="297">
        <f>+'SEMANA DEL 7 AL 14'!A45</f>
        <v>0</v>
      </c>
      <c r="B45" s="289">
        <f>+'SEMANA DEL 7 AL 14'!AX45</f>
        <v>95.795999999999992</v>
      </c>
      <c r="C45" s="289">
        <f>+'SEMANA DEL 7 AL 14'!AY45</f>
        <v>171.39800000000002</v>
      </c>
      <c r="D45" s="289">
        <f>+'SEMANA DEL 7 AL 14'!AZ45</f>
        <v>695.49800000000005</v>
      </c>
      <c r="E45" s="289">
        <f>+'SEMANA DEL 7 AL 14'!BA45</f>
        <v>75</v>
      </c>
      <c r="F45" s="289">
        <f>+'SEMANA DEL 7 AL 14'!BB45</f>
        <v>0</v>
      </c>
      <c r="G45" s="289">
        <f>+'SEMANA DEL 7 AL 14'!BC45</f>
        <v>0.25</v>
      </c>
      <c r="H45" s="289">
        <f>+'SEMANA DEL 7 AL 14'!BD45</f>
        <v>0</v>
      </c>
      <c r="I45" s="289">
        <f>+'SEMANA DEL 7 AL 14'!BE45</f>
        <v>8</v>
      </c>
      <c r="J45" s="289">
        <f>+'SEMANA DEL 7 AL 14'!BF45</f>
        <v>0</v>
      </c>
      <c r="K45" s="289">
        <f>+'SEMANA DEL 7 AL 14'!BG45</f>
        <v>0</v>
      </c>
      <c r="L45" s="289">
        <f>+'SEMANA DEL 7 AL 14'!BH45</f>
        <v>0</v>
      </c>
      <c r="M45" s="289">
        <f>+'SEMANA DEL 7 AL 14'!BI45</f>
        <v>0</v>
      </c>
      <c r="N45" s="289">
        <f>+'SEMANA DEL 7 AL 14'!BJ45</f>
        <v>0</v>
      </c>
      <c r="O45" s="289">
        <f>+'SEMANA DEL 7 AL 14'!BK45</f>
        <v>0</v>
      </c>
      <c r="P45" s="289">
        <f>+'SEMANA DEL 7 AL 14'!BL45</f>
        <v>0</v>
      </c>
      <c r="Q45" s="289">
        <f>+'SEMANA DEL 7 AL 14'!BM45</f>
        <v>0</v>
      </c>
      <c r="R45" s="298"/>
      <c r="S45" s="298"/>
      <c r="T45" s="298"/>
      <c r="U45" s="298"/>
      <c r="V45" s="298"/>
      <c r="W45" s="298"/>
      <c r="X45" s="289"/>
      <c r="Y45" s="289"/>
      <c r="Z45" s="289"/>
      <c r="AA45" s="289"/>
      <c r="AB45" s="289"/>
      <c r="AC45" s="289"/>
      <c r="AD45" s="289"/>
      <c r="AE45" s="289"/>
      <c r="AF45" s="289"/>
      <c r="AG45" s="298"/>
      <c r="AH45" s="289"/>
      <c r="AI45" s="289"/>
      <c r="AJ45" s="289"/>
      <c r="AK45" s="298"/>
      <c r="AL45" s="298"/>
      <c r="AM45" s="298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190">
        <f t="shared" si="1"/>
        <v>95.795999999999992</v>
      </c>
      <c r="AY45" s="190">
        <f t="shared" si="2"/>
        <v>171.39800000000002</v>
      </c>
      <c r="AZ45" s="190">
        <f t="shared" si="3"/>
        <v>695.49800000000005</v>
      </c>
      <c r="BA45" s="190">
        <f t="shared" si="4"/>
        <v>75</v>
      </c>
      <c r="BB45" s="190">
        <f t="shared" si="5"/>
        <v>0</v>
      </c>
      <c r="BC45" s="190">
        <f t="shared" si="6"/>
        <v>0.25</v>
      </c>
      <c r="BD45" s="190">
        <f t="shared" si="7"/>
        <v>0</v>
      </c>
      <c r="BE45" s="190">
        <f t="shared" si="8"/>
        <v>8</v>
      </c>
      <c r="BF45" s="190">
        <f t="shared" si="9"/>
        <v>0</v>
      </c>
      <c r="BG45" s="190">
        <f t="shared" si="10"/>
        <v>0</v>
      </c>
      <c r="BH45" s="190">
        <f t="shared" si="11"/>
        <v>0</v>
      </c>
      <c r="BI45" s="190">
        <f t="shared" si="12"/>
        <v>0</v>
      </c>
      <c r="BJ45" s="190">
        <f t="shared" si="13"/>
        <v>0</v>
      </c>
      <c r="BK45" s="190">
        <f t="shared" si="14"/>
        <v>0</v>
      </c>
      <c r="BL45" s="190">
        <f t="shared" si="15"/>
        <v>0</v>
      </c>
      <c r="BM45" s="190">
        <f t="shared" si="16"/>
        <v>0</v>
      </c>
      <c r="BN45" s="190"/>
      <c r="BO45" s="170">
        <f t="shared" si="17"/>
        <v>0</v>
      </c>
      <c r="BP45" s="71">
        <f t="shared" si="18"/>
        <v>0</v>
      </c>
      <c r="BQ45" s="112">
        <f t="shared" si="19"/>
        <v>0</v>
      </c>
      <c r="BR45" s="112">
        <f t="shared" si="20"/>
        <v>0</v>
      </c>
      <c r="BS45" s="112">
        <f t="shared" si="21"/>
        <v>0</v>
      </c>
      <c r="BT45" s="112">
        <f t="shared" si="22"/>
        <v>0</v>
      </c>
      <c r="BU45" s="112">
        <f t="shared" si="23"/>
        <v>0</v>
      </c>
      <c r="BV45" s="112">
        <f t="shared" si="24"/>
        <v>0</v>
      </c>
      <c r="BW45" s="112">
        <f t="shared" si="25"/>
        <v>0</v>
      </c>
      <c r="BX45" s="112">
        <f t="shared" si="26"/>
        <v>0</v>
      </c>
      <c r="BY45" s="71">
        <f t="shared" si="27"/>
        <v>0</v>
      </c>
      <c r="BZ45" s="112">
        <f t="shared" si="28"/>
        <v>0</v>
      </c>
      <c r="CA45" s="233"/>
      <c r="CB45" s="233"/>
      <c r="CC45" s="71">
        <f t="shared" si="29"/>
        <v>0</v>
      </c>
      <c r="CD45" s="71">
        <f t="shared" si="30"/>
        <v>0</v>
      </c>
      <c r="CE45" s="71">
        <f t="shared" si="31"/>
        <v>0</v>
      </c>
      <c r="CF45" s="71">
        <f t="shared" si="32"/>
        <v>0</v>
      </c>
      <c r="CG45" s="71">
        <f t="shared" si="33"/>
        <v>0</v>
      </c>
      <c r="CH45" s="170">
        <f t="shared" si="34"/>
        <v>0</v>
      </c>
      <c r="CI45" s="262">
        <f t="shared" si="35"/>
        <v>0</v>
      </c>
      <c r="CJ45" s="73"/>
      <c r="CK45" s="380"/>
      <c r="CL45" s="391" t="e">
        <f>+'SEMANA DEL 7 AL 14'!#REF!</f>
        <v>#REF!</v>
      </c>
      <c r="CM45" s="382"/>
      <c r="CN45" s="241"/>
      <c r="CO45" s="384"/>
      <c r="CP45" s="241"/>
      <c r="CQ45" s="140"/>
      <c r="CR45" s="52"/>
      <c r="CS45" s="392">
        <f t="shared" ref="CS45" si="72">+A45</f>
        <v>0</v>
      </c>
      <c r="CT45" s="393" t="e">
        <f>+'SEMANA DEL 2 AL 7-3-26'!#REF!</f>
        <v>#REF!</v>
      </c>
      <c r="CU45" s="394">
        <f t="shared" si="37"/>
        <v>0</v>
      </c>
      <c r="CV45" s="394">
        <f t="shared" si="38"/>
        <v>0</v>
      </c>
      <c r="CW45" s="394"/>
      <c r="CX45" s="394"/>
      <c r="CY45" s="394">
        <f t="shared" si="39"/>
        <v>0</v>
      </c>
      <c r="CZ45" s="395"/>
      <c r="DA45" s="395"/>
      <c r="DB45" s="396">
        <f t="shared" si="40"/>
        <v>0</v>
      </c>
      <c r="DC45" s="397"/>
      <c r="DD45" s="398">
        <f t="shared" si="41"/>
        <v>0</v>
      </c>
      <c r="DE45" s="399">
        <f t="shared" si="42"/>
        <v>0</v>
      </c>
      <c r="DF45" s="184"/>
      <c r="DG45" s="184"/>
    </row>
    <row r="46" spans="1:111" x14ac:dyDescent="0.2">
      <c r="A46" s="359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BM46" s="44" t="s">
        <v>78</v>
      </c>
      <c r="BN46" s="47" t="e">
        <f>+#REF!+#REF!</f>
        <v>#REF!</v>
      </c>
      <c r="CU46" s="44"/>
      <c r="CV46" s="68"/>
    </row>
    <row r="47" spans="1:111" x14ac:dyDescent="0.2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CT47" t="s">
        <v>2</v>
      </c>
      <c r="CU47" t="s">
        <v>78</v>
      </c>
      <c r="CV47" s="68" t="e">
        <f>+#REF!+#REF!+#REF!</f>
        <v>#REF!</v>
      </c>
    </row>
    <row r="48" spans="1:111" x14ac:dyDescent="0.2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</row>
    <row r="54" spans="4:110" x14ac:dyDescent="0.2">
      <c r="W54" s="44"/>
    </row>
    <row r="55" spans="4:110" x14ac:dyDescent="0.2">
      <c r="D55" t="s">
        <v>2</v>
      </c>
    </row>
    <row r="56" spans="4:110" x14ac:dyDescent="0.2">
      <c r="DF56" t="s">
        <v>2</v>
      </c>
    </row>
  </sheetData>
  <autoFilter ref="A4:CI4"/>
  <mergeCells count="2">
    <mergeCell ref="AX3:BL3"/>
    <mergeCell ref="CL3:CO3"/>
  </mergeCells>
  <phoneticPr fontId="5" type="noConversion"/>
  <pageMargins left="0.82677165354330717" right="0.59055118110236227" top="0.55118110236220474" bottom="0.55118110236220474" header="0.31496062992125984" footer="0.31496062992125984"/>
  <pageSetup scale="51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indexed="27"/>
    <pageSetUpPr fitToPage="1"/>
  </sheetPr>
  <dimension ref="A1:DD162"/>
  <sheetViews>
    <sheetView zoomScaleNormal="100" workbookViewId="0">
      <pane ySplit="3" topLeftCell="A39" activePane="bottomLeft" state="frozen"/>
      <selection pane="bottomLeft" activeCell="A5" sqref="A5:A44"/>
    </sheetView>
  </sheetViews>
  <sheetFormatPr baseColWidth="10" defaultColWidth="11.42578125" defaultRowHeight="12.75" x14ac:dyDescent="0.2"/>
  <cols>
    <col min="1" max="1" width="52.5703125" customWidth="1"/>
    <col min="2" max="4" width="10.7109375" customWidth="1"/>
    <col min="5" max="15" width="10.7109375" style="26" customWidth="1"/>
    <col min="16" max="17" width="10.7109375" customWidth="1"/>
    <col min="18" max="18" width="11.28515625" customWidth="1"/>
    <col min="19" max="19" width="10.5703125" customWidth="1"/>
    <col min="20" max="20" width="12.140625" customWidth="1"/>
    <col min="21" max="21" width="10.28515625" customWidth="1"/>
    <col min="22" max="23" width="8.7109375" customWidth="1"/>
    <col min="24" max="24" width="7.85546875" customWidth="1"/>
    <col min="25" max="25" width="10.42578125" customWidth="1"/>
    <col min="26" max="26" width="9.140625" customWidth="1"/>
    <col min="27" max="27" width="8" customWidth="1"/>
    <col min="28" max="28" width="7.85546875" customWidth="1"/>
    <col min="29" max="29" width="7.5703125" customWidth="1"/>
    <col min="30" max="30" width="8.28515625" customWidth="1"/>
    <col min="31" max="31" width="9" customWidth="1"/>
    <col min="32" max="32" width="8.42578125" customWidth="1"/>
    <col min="33" max="33" width="13.140625" customWidth="1"/>
    <col min="34" max="34" width="12.85546875" customWidth="1"/>
    <col min="35" max="35" width="12.140625" style="28" customWidth="1"/>
    <col min="36" max="36" width="12.7109375" style="28" customWidth="1"/>
    <col min="37" max="45" width="12.28515625" style="28" customWidth="1"/>
    <col min="46" max="49" width="12.28515625" customWidth="1"/>
    <col min="50" max="50" width="12.140625" customWidth="1"/>
    <col min="51" max="52" width="13.5703125" customWidth="1"/>
    <col min="53" max="53" width="11.42578125" customWidth="1"/>
    <col min="54" max="54" width="9.7109375" customWidth="1"/>
    <col min="55" max="55" width="11.42578125" customWidth="1"/>
    <col min="56" max="56" width="9.85546875" customWidth="1"/>
    <col min="57" max="57" width="11.42578125" customWidth="1"/>
    <col min="58" max="62" width="8.28515625" customWidth="1"/>
    <col min="63" max="65" width="14.140625" customWidth="1"/>
    <col min="66" max="66" width="18.42578125" customWidth="1"/>
    <col min="67" max="67" width="14.7109375" customWidth="1"/>
    <col min="68" max="68" width="16.28515625" customWidth="1"/>
    <col min="69" max="70" width="17.85546875" customWidth="1"/>
    <col min="71" max="71" width="17.5703125" customWidth="1"/>
    <col min="72" max="72" width="8.140625" customWidth="1"/>
    <col min="73" max="73" width="13.42578125" customWidth="1"/>
    <col min="74" max="74" width="20.7109375" customWidth="1"/>
    <col min="75" max="75" width="15.5703125" customWidth="1"/>
    <col min="76" max="76" width="13" customWidth="1"/>
    <col min="77" max="77" width="17.28515625" customWidth="1"/>
    <col min="78" max="78" width="20.7109375" customWidth="1"/>
    <col min="79" max="79" width="21.85546875" customWidth="1"/>
    <col min="80" max="80" width="25.85546875" customWidth="1"/>
    <col min="81" max="81" width="19" customWidth="1"/>
    <col min="82" max="82" width="21.5703125" customWidth="1"/>
    <col min="83" max="83" width="24.42578125" customWidth="1"/>
    <col min="84" max="84" width="20.42578125" customWidth="1"/>
    <col min="85" max="85" width="21" customWidth="1"/>
    <col min="86" max="86" width="19" customWidth="1"/>
    <col min="87" max="87" width="22.7109375" customWidth="1"/>
    <col min="88" max="88" width="12.7109375" customWidth="1"/>
    <col min="89" max="89" width="11.42578125" customWidth="1"/>
    <col min="90" max="90" width="25.5703125" customWidth="1"/>
    <col min="91" max="91" width="17.140625" customWidth="1"/>
    <col min="92" max="92" width="16.5703125" customWidth="1"/>
    <col min="93" max="93" width="11.5703125" customWidth="1"/>
    <col min="94" max="94" width="12.7109375" customWidth="1"/>
    <col min="95" max="96" width="13.28515625" customWidth="1"/>
    <col min="97" max="97" width="11.42578125" customWidth="1"/>
    <col min="98" max="98" width="34.5703125" customWidth="1"/>
    <col min="99" max="99" width="17.140625" customWidth="1"/>
    <col min="100" max="100" width="13.42578125" customWidth="1"/>
    <col min="101" max="101" width="13" customWidth="1"/>
    <col min="102" max="102" width="13.85546875" customWidth="1"/>
    <col min="103" max="103" width="17.5703125" customWidth="1"/>
    <col min="104" max="104" width="10.7109375" customWidth="1"/>
    <col min="105" max="105" width="9.140625" customWidth="1"/>
    <col min="106" max="106" width="18.42578125" customWidth="1"/>
    <col min="107" max="107" width="17" customWidth="1"/>
    <col min="108" max="108" width="22.140625" style="348" customWidth="1"/>
  </cols>
  <sheetData>
    <row r="1" spans="1:108" ht="18.75" customHeight="1" x14ac:dyDescent="0.25">
      <c r="A1" s="208" t="s">
        <v>244</v>
      </c>
      <c r="B1" s="210"/>
      <c r="C1" s="209"/>
      <c r="D1" s="210"/>
      <c r="E1" s="211"/>
      <c r="F1" s="211"/>
      <c r="G1" s="211"/>
      <c r="H1" s="212"/>
      <c r="I1" s="212"/>
      <c r="J1" s="212"/>
      <c r="K1" s="212"/>
      <c r="L1" s="212"/>
      <c r="M1" s="212"/>
      <c r="N1" s="212"/>
      <c r="O1" s="212"/>
      <c r="P1" s="115"/>
      <c r="Q1" s="115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79" t="str">
        <f>+A1</f>
        <v>SEMANA 12 DEL 21 AL 28 DE MARZO DEL 2026</v>
      </c>
      <c r="CR1" s="52"/>
      <c r="CS1" s="52"/>
      <c r="CT1" s="324"/>
      <c r="CU1" s="324" t="str">
        <f>+CL1</f>
        <v>SEMANA 12 DEL 21 AL 28 DE MARZO DEL 2026</v>
      </c>
      <c r="CV1" s="325"/>
      <c r="CW1" s="325"/>
      <c r="CX1" s="325"/>
      <c r="CY1" s="325"/>
      <c r="CZ1" s="325"/>
      <c r="DA1" s="325"/>
      <c r="DB1" s="326"/>
      <c r="DC1" s="326"/>
      <c r="DD1" s="345"/>
    </row>
    <row r="2" spans="1:108" ht="18.75" customHeight="1" thickBot="1" x14ac:dyDescent="0.3">
      <c r="A2" s="208" t="s">
        <v>242</v>
      </c>
      <c r="B2" s="210"/>
      <c r="C2" s="209"/>
      <c r="D2" s="210"/>
      <c r="E2" s="211"/>
      <c r="F2" s="211"/>
      <c r="G2" s="211"/>
      <c r="H2" s="212"/>
      <c r="I2" s="212"/>
      <c r="J2" s="212"/>
      <c r="K2" s="212"/>
      <c r="L2" s="212"/>
      <c r="M2" s="212"/>
      <c r="N2" s="212"/>
      <c r="O2" s="212"/>
      <c r="P2" s="115"/>
      <c r="Q2" s="115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273" t="str">
        <f>+A2</f>
        <v>FABRIQUINES SEMANA # 12</v>
      </c>
      <c r="CR2" s="52"/>
      <c r="CS2" s="52"/>
      <c r="CT2" s="324"/>
      <c r="CU2" s="327" t="str">
        <f>+CL2</f>
        <v>FABRIQUINES SEMANA # 12</v>
      </c>
      <c r="CV2" s="325"/>
      <c r="CW2" s="325"/>
      <c r="CX2" s="325"/>
      <c r="CY2" s="325"/>
      <c r="CZ2" s="325"/>
      <c r="DA2" s="325"/>
      <c r="DB2" s="326"/>
      <c r="DC2" s="326"/>
      <c r="DD2" s="345"/>
    </row>
    <row r="3" spans="1:108" ht="18.75" customHeight="1" thickBot="1" x14ac:dyDescent="0.3">
      <c r="A3" s="272" t="s">
        <v>243</v>
      </c>
      <c r="B3" s="208" t="s">
        <v>0</v>
      </c>
      <c r="C3" s="209"/>
      <c r="D3" s="210"/>
      <c r="E3" s="211"/>
      <c r="F3" s="211"/>
      <c r="G3" s="211"/>
      <c r="H3" s="212"/>
      <c r="I3" s="212"/>
      <c r="J3" s="212"/>
      <c r="K3" s="212"/>
      <c r="L3" s="212"/>
      <c r="M3" s="212"/>
      <c r="N3" s="212"/>
      <c r="O3" s="212"/>
      <c r="P3" s="115"/>
      <c r="Q3" s="115"/>
      <c r="R3" s="80" t="s">
        <v>1</v>
      </c>
      <c r="S3" s="81"/>
      <c r="T3" s="81"/>
      <c r="U3" s="81"/>
      <c r="V3" s="81"/>
      <c r="W3" s="81"/>
      <c r="X3" s="81"/>
      <c r="Y3" s="81"/>
      <c r="Z3" s="81"/>
      <c r="AA3" s="81"/>
      <c r="AB3" s="81"/>
      <c r="AC3" s="81" t="s">
        <v>2</v>
      </c>
      <c r="AD3" s="81"/>
      <c r="AE3" s="81"/>
      <c r="AF3" s="82"/>
      <c r="AG3" s="81"/>
      <c r="AH3" s="83" t="s">
        <v>3</v>
      </c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416" t="s">
        <v>4</v>
      </c>
      <c r="AY3" s="416"/>
      <c r="AZ3" s="416"/>
      <c r="BA3" s="416"/>
      <c r="BB3" s="416"/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163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273" t="str">
        <f>+A3</f>
        <v>PRODUCCION # 9</v>
      </c>
      <c r="CM3" s="79"/>
      <c r="CR3" s="52"/>
      <c r="CS3" s="52"/>
      <c r="CT3" s="324"/>
      <c r="CU3" s="327" t="str">
        <f>+CL3</f>
        <v>PRODUCCION # 9</v>
      </c>
      <c r="CV3" s="325"/>
      <c r="CW3" s="325"/>
      <c r="CX3" s="325"/>
      <c r="CY3" s="325"/>
      <c r="CZ3" s="325"/>
      <c r="DA3" s="325"/>
      <c r="DB3" s="326"/>
      <c r="DC3" s="326"/>
      <c r="DD3" s="345"/>
    </row>
    <row r="4" spans="1:108" ht="18.95" customHeight="1" x14ac:dyDescent="0.25">
      <c r="A4" s="205" t="s">
        <v>53</v>
      </c>
      <c r="B4" s="206" t="s">
        <v>6</v>
      </c>
      <c r="C4" s="206" t="s">
        <v>7</v>
      </c>
      <c r="D4" s="206" t="s">
        <v>115</v>
      </c>
      <c r="E4" s="206" t="s">
        <v>48</v>
      </c>
      <c r="F4" s="206" t="s">
        <v>71</v>
      </c>
      <c r="G4" s="206" t="s">
        <v>66</v>
      </c>
      <c r="H4" s="206" t="s">
        <v>9</v>
      </c>
      <c r="I4" s="206" t="s">
        <v>10</v>
      </c>
      <c r="J4" s="206" t="s">
        <v>11</v>
      </c>
      <c r="K4" s="206" t="s">
        <v>12</v>
      </c>
      <c r="L4" s="206" t="s">
        <v>13</v>
      </c>
      <c r="M4" s="206" t="s">
        <v>14</v>
      </c>
      <c r="N4" s="206" t="s">
        <v>124</v>
      </c>
      <c r="O4" s="206" t="s">
        <v>16</v>
      </c>
      <c r="P4" s="206" t="s">
        <v>17</v>
      </c>
      <c r="Q4" s="206" t="s">
        <v>103</v>
      </c>
      <c r="R4" s="98" t="s">
        <v>18</v>
      </c>
      <c r="S4" s="98" t="s">
        <v>19</v>
      </c>
      <c r="T4" s="98" t="s">
        <v>20</v>
      </c>
      <c r="U4" s="217" t="s">
        <v>48</v>
      </c>
      <c r="V4" s="217" t="s">
        <v>71</v>
      </c>
      <c r="W4" s="217" t="s">
        <v>66</v>
      </c>
      <c r="X4" s="217" t="s">
        <v>9</v>
      </c>
      <c r="Y4" s="217" t="s">
        <v>10</v>
      </c>
      <c r="Z4" s="217" t="s">
        <v>11</v>
      </c>
      <c r="AA4" s="217" t="s">
        <v>12</v>
      </c>
      <c r="AB4" s="217" t="s">
        <v>124</v>
      </c>
      <c r="AC4" s="217" t="s">
        <v>14</v>
      </c>
      <c r="AD4" s="217" t="s">
        <v>156</v>
      </c>
      <c r="AE4" s="217" t="s">
        <v>16</v>
      </c>
      <c r="AF4" s="217" t="s">
        <v>158</v>
      </c>
      <c r="AG4" s="217" t="s">
        <v>103</v>
      </c>
      <c r="AH4" s="99" t="s">
        <v>18</v>
      </c>
      <c r="AI4" s="99" t="s">
        <v>19</v>
      </c>
      <c r="AJ4" s="99" t="s">
        <v>20</v>
      </c>
      <c r="AK4" s="215" t="s">
        <v>48</v>
      </c>
      <c r="AL4" s="215" t="s">
        <v>71</v>
      </c>
      <c r="AM4" s="215" t="s">
        <v>66</v>
      </c>
      <c r="AN4" s="215" t="s">
        <v>9</v>
      </c>
      <c r="AO4" s="215" t="s">
        <v>10</v>
      </c>
      <c r="AP4" s="215" t="s">
        <v>11</v>
      </c>
      <c r="AQ4" s="215" t="s">
        <v>12</v>
      </c>
      <c r="AR4" s="215" t="s">
        <v>124</v>
      </c>
      <c r="AS4" s="215" t="s">
        <v>14</v>
      </c>
      <c r="AT4" s="215" t="s">
        <v>157</v>
      </c>
      <c r="AU4" s="215" t="s">
        <v>16</v>
      </c>
      <c r="AV4" s="215" t="s">
        <v>158</v>
      </c>
      <c r="AW4" s="215" t="s">
        <v>103</v>
      </c>
      <c r="AX4" s="100" t="s">
        <v>21</v>
      </c>
      <c r="AY4" s="101" t="s">
        <v>22</v>
      </c>
      <c r="AZ4" s="101" t="s">
        <v>20</v>
      </c>
      <c r="BA4" s="225" t="s">
        <v>48</v>
      </c>
      <c r="BB4" s="225" t="s">
        <v>71</v>
      </c>
      <c r="BC4" s="225" t="s">
        <v>66</v>
      </c>
      <c r="BD4" s="225" t="s">
        <v>9</v>
      </c>
      <c r="BE4" s="225" t="s">
        <v>10</v>
      </c>
      <c r="BF4" s="225" t="s">
        <v>11</v>
      </c>
      <c r="BG4" s="225" t="s">
        <v>12</v>
      </c>
      <c r="BH4" s="225" t="s">
        <v>124</v>
      </c>
      <c r="BI4" s="225" t="s">
        <v>14</v>
      </c>
      <c r="BJ4" s="225" t="s">
        <v>157</v>
      </c>
      <c r="BK4" s="225" t="s">
        <v>16</v>
      </c>
      <c r="BL4" s="225" t="s">
        <v>158</v>
      </c>
      <c r="BM4" s="225" t="s">
        <v>103</v>
      </c>
      <c r="BN4" s="129" t="s">
        <v>23</v>
      </c>
      <c r="BO4" s="97" t="s">
        <v>71</v>
      </c>
      <c r="BP4" s="97" t="s">
        <v>66</v>
      </c>
      <c r="BQ4" s="97" t="s">
        <v>9</v>
      </c>
      <c r="BR4" s="97" t="s">
        <v>10</v>
      </c>
      <c r="BS4" s="97" t="s">
        <v>11</v>
      </c>
      <c r="BT4" s="97" t="s">
        <v>12</v>
      </c>
      <c r="BU4" s="97" t="s">
        <v>124</v>
      </c>
      <c r="BV4" s="97" t="s">
        <v>14</v>
      </c>
      <c r="BW4" s="97" t="s">
        <v>157</v>
      </c>
      <c r="BX4" s="97" t="s">
        <v>16</v>
      </c>
      <c r="BY4" s="97" t="s">
        <v>151</v>
      </c>
      <c r="BZ4" s="97" t="s">
        <v>103</v>
      </c>
      <c r="CA4" s="103"/>
      <c r="CB4" s="104"/>
      <c r="CC4" s="106" t="s">
        <v>38</v>
      </c>
      <c r="CD4" s="107" t="s">
        <v>39</v>
      </c>
      <c r="CE4" s="107" t="s">
        <v>40</v>
      </c>
      <c r="CF4" s="107" t="s">
        <v>60</v>
      </c>
      <c r="CG4" s="108" t="s">
        <v>41</v>
      </c>
      <c r="CH4" s="152" t="s">
        <v>62</v>
      </c>
      <c r="CI4" s="108" t="s">
        <v>105</v>
      </c>
      <c r="CJ4" s="128"/>
      <c r="CK4" s="128"/>
      <c r="CL4" s="79" t="s">
        <v>28</v>
      </c>
      <c r="CM4" s="79"/>
      <c r="CN4" s="202" t="e">
        <f>+#REF!+#REF!+#REF!</f>
        <v>#REF!</v>
      </c>
      <c r="CO4" s="52"/>
      <c r="CP4" s="52"/>
      <c r="CQ4" s="52"/>
      <c r="CR4" s="96"/>
      <c r="CS4" s="52"/>
      <c r="CT4" s="308" t="s">
        <v>53</v>
      </c>
      <c r="CU4" s="308" t="s">
        <v>86</v>
      </c>
      <c r="CV4" s="309" t="s">
        <v>63</v>
      </c>
      <c r="CW4" s="309" t="s">
        <v>102</v>
      </c>
      <c r="CX4" s="309" t="s">
        <v>112</v>
      </c>
      <c r="CY4" s="309" t="s">
        <v>118</v>
      </c>
      <c r="CZ4" s="309" t="s">
        <v>27</v>
      </c>
      <c r="DA4" s="309" t="s">
        <v>26</v>
      </c>
      <c r="DB4" s="309" t="s">
        <v>85</v>
      </c>
      <c r="DC4" s="309" t="s">
        <v>87</v>
      </c>
      <c r="DD4" s="346" t="s">
        <v>42</v>
      </c>
    </row>
    <row r="5" spans="1:108" ht="18.95" customHeight="1" x14ac:dyDescent="0.25">
      <c r="A5" s="207" t="str">
        <f>+'SEMANA DEL 14 AL 21 '!A5</f>
        <v xml:space="preserve">ALCIDES CORREA </v>
      </c>
      <c r="B5" s="284">
        <f>+'SEMANA DEL 14 AL 21 '!AX5</f>
        <v>10</v>
      </c>
      <c r="C5" s="284">
        <f>+'SEMANA DEL 14 AL 21 '!AY5</f>
        <v>18</v>
      </c>
      <c r="D5" s="284">
        <f>+'SEMANA DEL 14 AL 21 '!AZ5</f>
        <v>70</v>
      </c>
      <c r="E5" s="284">
        <f>+'SEMANA DEL 14 AL 21 '!BA5</f>
        <v>8</v>
      </c>
      <c r="F5" s="284">
        <f>+'SEMANA DEL 14 AL 21 '!BB5</f>
        <v>0</v>
      </c>
      <c r="G5" s="284">
        <f>+'SEMANA DEL 14 AL 21 '!BC5</f>
        <v>0.25</v>
      </c>
      <c r="H5" s="284">
        <f>+'SEMANA DEL 14 AL 21 '!BD5</f>
        <v>0</v>
      </c>
      <c r="I5" s="284">
        <f>+'SEMANA DEL 14 AL 21 '!BE5</f>
        <v>0</v>
      </c>
      <c r="J5" s="284">
        <f>+'SEMANA DEL 14 AL 21 '!BF5</f>
        <v>0</v>
      </c>
      <c r="K5" s="284">
        <f>+'SEMANA DEL 14 AL 21 '!BG5</f>
        <v>0</v>
      </c>
      <c r="L5" s="284">
        <f>+'SEMANA DEL 14 AL 21 '!BH5</f>
        <v>0</v>
      </c>
      <c r="M5" s="284">
        <f>+'SEMANA DEL 14 AL 21 '!BI5</f>
        <v>0</v>
      </c>
      <c r="N5" s="284">
        <f>+'SEMANA DEL 14 AL 21 '!BJ5</f>
        <v>0</v>
      </c>
      <c r="O5" s="284">
        <f>+'SEMANA DEL 14 AL 21 '!BK5</f>
        <v>0</v>
      </c>
      <c r="P5" s="284">
        <f>+'SEMANA DEL 14 AL 21 '!BL5</f>
        <v>0</v>
      </c>
      <c r="Q5" s="284">
        <f>+'SEMANA DEL 14 AL 21 '!BM5</f>
        <v>0</v>
      </c>
      <c r="R5" s="289"/>
      <c r="S5" s="289"/>
      <c r="T5" s="289"/>
      <c r="U5" s="289"/>
      <c r="V5" s="289"/>
      <c r="W5" s="289"/>
      <c r="X5" s="190"/>
      <c r="Y5" s="190"/>
      <c r="Z5" s="190"/>
      <c r="AA5" s="190"/>
      <c r="AB5" s="190"/>
      <c r="AC5" s="264"/>
      <c r="AD5" s="264"/>
      <c r="AE5" s="264"/>
      <c r="AF5" s="264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264"/>
      <c r="AT5" s="264"/>
      <c r="AU5" s="264"/>
      <c r="AV5" s="264"/>
      <c r="AW5" s="190"/>
      <c r="AX5" s="190">
        <f t="shared" ref="AX5:BM5" si="0">+B5+R5-AH5</f>
        <v>10</v>
      </c>
      <c r="AY5" s="190">
        <f t="shared" si="0"/>
        <v>18</v>
      </c>
      <c r="AZ5" s="190">
        <f t="shared" si="0"/>
        <v>70</v>
      </c>
      <c r="BA5" s="190">
        <f t="shared" si="0"/>
        <v>8</v>
      </c>
      <c r="BB5" s="190">
        <f t="shared" si="0"/>
        <v>0</v>
      </c>
      <c r="BC5" s="190">
        <f t="shared" si="0"/>
        <v>0.25</v>
      </c>
      <c r="BD5" s="190">
        <f t="shared" si="0"/>
        <v>0</v>
      </c>
      <c r="BE5" s="190">
        <f t="shared" si="0"/>
        <v>0</v>
      </c>
      <c r="BF5" s="190">
        <f t="shared" si="0"/>
        <v>0</v>
      </c>
      <c r="BG5" s="190">
        <f t="shared" si="0"/>
        <v>0</v>
      </c>
      <c r="BH5" s="190">
        <f t="shared" si="0"/>
        <v>0</v>
      </c>
      <c r="BI5" s="190">
        <f t="shared" si="0"/>
        <v>0</v>
      </c>
      <c r="BJ5" s="190">
        <f t="shared" si="0"/>
        <v>0</v>
      </c>
      <c r="BK5" s="190">
        <f t="shared" si="0"/>
        <v>0</v>
      </c>
      <c r="BL5" s="190">
        <f t="shared" si="0"/>
        <v>0</v>
      </c>
      <c r="BM5" s="190">
        <f t="shared" si="0"/>
        <v>0</v>
      </c>
      <c r="BN5" s="190"/>
      <c r="BO5" s="170">
        <f>+AL5*2500</f>
        <v>0</v>
      </c>
      <c r="BP5" s="71">
        <f>+AM5*60000</f>
        <v>0</v>
      </c>
      <c r="BQ5" s="112">
        <f>+AN5*5500</f>
        <v>0</v>
      </c>
      <c r="BR5" s="112">
        <f>+AO5*6000</f>
        <v>0</v>
      </c>
      <c r="BS5" s="112">
        <f>+AP5*8000</f>
        <v>0</v>
      </c>
      <c r="BT5" s="112">
        <f>+AQ5*12000</f>
        <v>0</v>
      </c>
      <c r="BU5" s="112">
        <f>+AR5*8000</f>
        <v>0</v>
      </c>
      <c r="BV5" s="112">
        <f>+AS5*3000</f>
        <v>0</v>
      </c>
      <c r="BW5" s="112">
        <f>+AT5*8000</f>
        <v>0</v>
      </c>
      <c r="BX5" s="112">
        <f>+AU5*200000</f>
        <v>0</v>
      </c>
      <c r="BY5" s="71">
        <f>+AV5*100000</f>
        <v>0</v>
      </c>
      <c r="BZ5" s="113">
        <f>+AW5*1.5</f>
        <v>0</v>
      </c>
      <c r="CA5" s="71"/>
      <c r="CB5" s="71"/>
      <c r="CC5" s="71">
        <f>+AH5*16</f>
        <v>0</v>
      </c>
      <c r="CD5" s="71">
        <f>+AI5*12</f>
        <v>0</v>
      </c>
      <c r="CE5" s="71">
        <f>+AJ5*3</f>
        <v>0</v>
      </c>
      <c r="CF5" s="71">
        <f>+CC5+CD5+CE5</f>
        <v>0</v>
      </c>
      <c r="CG5" s="71">
        <f>+BN5*75061/1000</f>
        <v>0</v>
      </c>
      <c r="CH5" s="166">
        <f>+BO5+BP5+BQ5+BR5+BS5+BT5+BU5+BV5+BW5+BX5+BY5+CA5+CB5</f>
        <v>0</v>
      </c>
      <c r="CI5" s="263">
        <f>+CG5-CF5-CH5</f>
        <v>0</v>
      </c>
      <c r="CJ5" s="79"/>
      <c r="CK5" s="79"/>
      <c r="CL5" s="41" t="str">
        <f>+'SEMANA DEL 14 AL 21 '!CL5</f>
        <v>SALDO INI</v>
      </c>
      <c r="CM5" s="41" t="str">
        <f>+'SEMANA DEL 14 AL 21 '!CM5</f>
        <v>LLEVAN</v>
      </c>
      <c r="CN5" s="41" t="str">
        <f>+'SEMANA DEL 14 AL 21 '!CN5</f>
        <v>TOTAL</v>
      </c>
      <c r="CO5" s="41" t="str">
        <f>+'SEMANA DEL 14 AL 21 '!CO5</f>
        <v>PAGA</v>
      </c>
      <c r="CP5" s="41" t="str">
        <f>+'SEMANA DEL 14 AL 21 '!CP5</f>
        <v>SALDO</v>
      </c>
      <c r="CQ5" s="240">
        <f>+'SEMANA DEL 14 AL 21 '!CQ5</f>
        <v>0</v>
      </c>
      <c r="CR5" s="79"/>
      <c r="CS5" s="79"/>
      <c r="CT5" s="309" t="str">
        <f t="shared" ref="CT5:CT45" si="1">+A5</f>
        <v xml:space="preserve">ALCIDES CORREA </v>
      </c>
      <c r="CU5" s="293" t="str">
        <f>+'SEMANA DEL 2 AL 7-3-26'!CS5</f>
        <v>CC-88.193.514</v>
      </c>
      <c r="CV5" s="293">
        <f>+BN5</f>
        <v>0</v>
      </c>
      <c r="CW5" s="293">
        <f>+AW5</f>
        <v>0</v>
      </c>
      <c r="CX5" s="293"/>
      <c r="CY5" s="293">
        <f>+CX5*230</f>
        <v>0</v>
      </c>
      <c r="CZ5" s="307"/>
      <c r="DA5" s="307"/>
      <c r="DB5" s="304">
        <f>+CZ5*6500+DA5*3500</f>
        <v>0</v>
      </c>
      <c r="DC5" s="169">
        <f>+CI5</f>
        <v>0</v>
      </c>
      <c r="DD5" s="347">
        <f>+DB5+DC5+CY5</f>
        <v>0</v>
      </c>
    </row>
    <row r="6" spans="1:108" ht="18.95" customHeight="1" x14ac:dyDescent="0.25">
      <c r="A6" s="207" t="str">
        <f>+'SEMANA DEL 14 AL 21 '!A6</f>
        <v xml:space="preserve">ALBA SANABRIA </v>
      </c>
      <c r="B6" s="284">
        <f>+'SEMANA DEL 14 AL 21 '!AX6</f>
        <v>0.25</v>
      </c>
      <c r="C6" s="284">
        <f>+'SEMANA DEL 14 AL 21 '!AY6</f>
        <v>0.45000000000000107</v>
      </c>
      <c r="D6" s="284">
        <f>+'SEMANA DEL 14 AL 21 '!AZ6</f>
        <v>12.249999999999993</v>
      </c>
      <c r="E6" s="284">
        <f>+'SEMANA DEL 14 AL 21 '!BA6</f>
        <v>0</v>
      </c>
      <c r="F6" s="284">
        <f>+'SEMANA DEL 14 AL 21 '!BB6</f>
        <v>0</v>
      </c>
      <c r="G6" s="284">
        <f>+'SEMANA DEL 14 AL 21 '!BC6</f>
        <v>0</v>
      </c>
      <c r="H6" s="284">
        <f>+'SEMANA DEL 14 AL 21 '!BD6</f>
        <v>0</v>
      </c>
      <c r="I6" s="284">
        <f>+'SEMANA DEL 14 AL 21 '!BE6</f>
        <v>0</v>
      </c>
      <c r="J6" s="284">
        <f>+'SEMANA DEL 14 AL 21 '!BF6</f>
        <v>0</v>
      </c>
      <c r="K6" s="284">
        <f>+'SEMANA DEL 14 AL 21 '!BG6</f>
        <v>0</v>
      </c>
      <c r="L6" s="284">
        <f>+'SEMANA DEL 14 AL 21 '!BH6</f>
        <v>0</v>
      </c>
      <c r="M6" s="284">
        <f>+'SEMANA DEL 14 AL 21 '!BI6</f>
        <v>0</v>
      </c>
      <c r="N6" s="284">
        <f>+'SEMANA DEL 14 AL 21 '!BJ6</f>
        <v>0</v>
      </c>
      <c r="O6" s="284">
        <f>+'SEMANA DEL 14 AL 21 '!BK6</f>
        <v>0</v>
      </c>
      <c r="P6" s="284">
        <f>+'SEMANA DEL 14 AL 21 '!BL6</f>
        <v>0</v>
      </c>
      <c r="Q6" s="284">
        <f>+'SEMANA DEL 14 AL 21 '!BM6</f>
        <v>0</v>
      </c>
      <c r="R6" s="289"/>
      <c r="S6" s="289"/>
      <c r="T6" s="289"/>
      <c r="U6" s="289"/>
      <c r="V6" s="289"/>
      <c r="W6" s="289"/>
      <c r="X6" s="190"/>
      <c r="Y6" s="190"/>
      <c r="Z6" s="264"/>
      <c r="AA6" s="264"/>
      <c r="AB6" s="264"/>
      <c r="AC6" s="264"/>
      <c r="AD6" s="264"/>
      <c r="AE6" s="264"/>
      <c r="AF6" s="264"/>
      <c r="AG6" s="190"/>
      <c r="AH6" s="190"/>
      <c r="AI6" s="190"/>
      <c r="AJ6" s="190"/>
      <c r="AK6" s="190"/>
      <c r="AL6" s="190"/>
      <c r="AM6" s="190"/>
      <c r="AN6" s="190"/>
      <c r="AO6" s="190"/>
      <c r="AP6" s="264"/>
      <c r="AQ6" s="264"/>
      <c r="AR6" s="264"/>
      <c r="AS6" s="264"/>
      <c r="AT6" s="264"/>
      <c r="AU6" s="264"/>
      <c r="AV6" s="264"/>
      <c r="AW6" s="190"/>
      <c r="AX6" s="190">
        <f t="shared" ref="AX6:AX45" si="2">+B6+R6-AH6</f>
        <v>0.25</v>
      </c>
      <c r="AY6" s="190">
        <f t="shared" ref="AY6:AY45" si="3">+C6+S6-AI6</f>
        <v>0.45000000000000107</v>
      </c>
      <c r="AZ6" s="190">
        <f t="shared" ref="AZ6:AZ45" si="4">+D6+T6-AJ6</f>
        <v>12.249999999999993</v>
      </c>
      <c r="BA6" s="190">
        <f t="shared" ref="BA6:BA45" si="5">+E6+U6-AK6</f>
        <v>0</v>
      </c>
      <c r="BB6" s="190">
        <f t="shared" ref="BB6:BB45" si="6">+F6+V6-AL6</f>
        <v>0</v>
      </c>
      <c r="BC6" s="190">
        <f t="shared" ref="BC6:BC45" si="7">+G6+W6-AM6</f>
        <v>0</v>
      </c>
      <c r="BD6" s="190">
        <f t="shared" ref="BD6:BD45" si="8">+H6+X6-AN6</f>
        <v>0</v>
      </c>
      <c r="BE6" s="190">
        <f t="shared" ref="BE6:BE45" si="9">+I6+Y6-AO6</f>
        <v>0</v>
      </c>
      <c r="BF6" s="190">
        <f t="shared" ref="BF6:BF45" si="10">+J6+Z6-AP6</f>
        <v>0</v>
      </c>
      <c r="BG6" s="190">
        <f t="shared" ref="BG6:BG45" si="11">+K6+AA6-AQ6</f>
        <v>0</v>
      </c>
      <c r="BH6" s="190">
        <f t="shared" ref="BH6:BH45" si="12">+L6+AB6-AR6</f>
        <v>0</v>
      </c>
      <c r="BI6" s="190">
        <f t="shared" ref="BI6:BI45" si="13">+M6+AC6-AS6</f>
        <v>0</v>
      </c>
      <c r="BJ6" s="190">
        <f t="shared" ref="BJ6:BJ45" si="14">+N6+AD6-AT6</f>
        <v>0</v>
      </c>
      <c r="BK6" s="190">
        <f t="shared" ref="BK6:BK45" si="15">+O6+AE6-AU6</f>
        <v>0</v>
      </c>
      <c r="BL6" s="190">
        <f t="shared" ref="BL6:BL45" si="16">+P6+AF6-AV6</f>
        <v>0</v>
      </c>
      <c r="BM6" s="190">
        <f t="shared" ref="BM6:BM45" si="17">+Q6+AG6-AW6</f>
        <v>0</v>
      </c>
      <c r="BN6" s="190"/>
      <c r="BO6" s="170">
        <f t="shared" ref="BO6:BO45" si="18">+AL6*2500</f>
        <v>0</v>
      </c>
      <c r="BP6" s="71">
        <f t="shared" ref="BP6:BP45" si="19">+AM6*60000</f>
        <v>0</v>
      </c>
      <c r="BQ6" s="112">
        <f t="shared" ref="BQ6:BQ45" si="20">+AN6*5500</f>
        <v>0</v>
      </c>
      <c r="BR6" s="112">
        <f t="shared" ref="BR6:BR45" si="21">+AO6*6000</f>
        <v>0</v>
      </c>
      <c r="BS6" s="112">
        <f t="shared" ref="BS6:BS45" si="22">+AP6*8000</f>
        <v>0</v>
      </c>
      <c r="BT6" s="112">
        <f t="shared" ref="BT6:BT45" si="23">+AQ6*12000</f>
        <v>0</v>
      </c>
      <c r="BU6" s="112">
        <f t="shared" ref="BU6:BU45" si="24">+AR6*8000</f>
        <v>0</v>
      </c>
      <c r="BV6" s="112">
        <f t="shared" ref="BV6:BV45" si="25">+AS6*3000</f>
        <v>0</v>
      </c>
      <c r="BW6" s="112">
        <f t="shared" ref="BW6:BW45" si="26">+AT6*8000</f>
        <v>0</v>
      </c>
      <c r="BX6" s="112">
        <f t="shared" ref="BX6:BX45" si="27">+AU6*200000</f>
        <v>0</v>
      </c>
      <c r="BY6" s="71">
        <f t="shared" ref="BY6:BY45" si="28">+AV6*100000</f>
        <v>0</v>
      </c>
      <c r="BZ6" s="113">
        <f t="shared" ref="BZ6:BZ45" si="29">+AW6*1.5</f>
        <v>0</v>
      </c>
      <c r="CA6" s="71"/>
      <c r="CB6" s="71"/>
      <c r="CC6" s="71">
        <f t="shared" ref="CC6:CC45" si="30">+AH6*16</f>
        <v>0</v>
      </c>
      <c r="CD6" s="71">
        <f t="shared" ref="CD6:CD45" si="31">+AI6*12</f>
        <v>0</v>
      </c>
      <c r="CE6" s="71">
        <f t="shared" ref="CE6:CE45" si="32">+AJ6*3</f>
        <v>0</v>
      </c>
      <c r="CF6" s="71">
        <f t="shared" ref="CF6:CF45" si="33">+CC6+CD6+CE6</f>
        <v>0</v>
      </c>
      <c r="CG6" s="71">
        <f t="shared" ref="CG6:CG45" si="34">+BN6*75061/1000</f>
        <v>0</v>
      </c>
      <c r="CH6" s="166">
        <f t="shared" ref="CH6:CH45" si="35">+BO6+BP6+BQ6+BR6+BS6+BT6+BU6+BV6+BW6+BX6+BY6+CA6+CB6</f>
        <v>0</v>
      </c>
      <c r="CI6" s="263">
        <f t="shared" ref="CI6:CI45" si="36">+CG6-CF6-CH6</f>
        <v>0</v>
      </c>
      <c r="CJ6" s="79"/>
      <c r="CK6" s="79"/>
      <c r="CL6" s="41"/>
      <c r="CM6" s="129"/>
      <c r="CN6" s="129"/>
      <c r="CO6" s="129"/>
      <c r="CP6" s="41"/>
      <c r="CQ6" s="283"/>
      <c r="CR6" s="79"/>
      <c r="CS6" s="79"/>
      <c r="CT6" s="309" t="str">
        <f t="shared" si="1"/>
        <v xml:space="preserve">ALBA SANABRIA </v>
      </c>
      <c r="CU6" s="293" t="str">
        <f>+'SEMANA DEL 2 AL 7-3-26'!CS6</f>
        <v>V-20.427.079</v>
      </c>
      <c r="CV6" s="293">
        <f>+BN6</f>
        <v>0</v>
      </c>
      <c r="CW6" s="293">
        <f>+AW6</f>
        <v>0</v>
      </c>
      <c r="CX6" s="293"/>
      <c r="CY6" s="293">
        <f>+CX6*230</f>
        <v>0</v>
      </c>
      <c r="CZ6" s="307"/>
      <c r="DA6" s="307"/>
      <c r="DB6" s="304">
        <f>+CZ6*6500+DA6*3500</f>
        <v>0</v>
      </c>
      <c r="DC6" s="169">
        <f>+CI6</f>
        <v>0</v>
      </c>
      <c r="DD6" s="347">
        <f>+DB6+DC6+CY6</f>
        <v>0</v>
      </c>
    </row>
    <row r="7" spans="1:108" ht="18.95" customHeight="1" x14ac:dyDescent="0.25">
      <c r="A7" s="207" t="str">
        <f>+'SEMANA DEL 14 AL 21 '!A7</f>
        <v xml:space="preserve">BLANCA ALVARADO </v>
      </c>
      <c r="B7" s="284">
        <f>+'SEMANA DEL 14 AL 21 '!AX7</f>
        <v>0</v>
      </c>
      <c r="C7" s="284">
        <f>+'SEMANA DEL 14 AL 21 '!AY7</f>
        <v>0</v>
      </c>
      <c r="D7" s="284">
        <f>+'SEMANA DEL 14 AL 21 '!AZ7</f>
        <v>0</v>
      </c>
      <c r="E7" s="284">
        <f>+'SEMANA DEL 14 AL 21 '!BA7</f>
        <v>0</v>
      </c>
      <c r="F7" s="284">
        <f>+'SEMANA DEL 14 AL 21 '!BB7</f>
        <v>0</v>
      </c>
      <c r="G7" s="284">
        <f>+'SEMANA DEL 14 AL 21 '!BC7</f>
        <v>0</v>
      </c>
      <c r="H7" s="284">
        <f>+'SEMANA DEL 14 AL 21 '!BD7</f>
        <v>0</v>
      </c>
      <c r="I7" s="284">
        <f>+'SEMANA DEL 14 AL 21 '!BE7</f>
        <v>0</v>
      </c>
      <c r="J7" s="284">
        <f>+'SEMANA DEL 14 AL 21 '!BF7</f>
        <v>0</v>
      </c>
      <c r="K7" s="284">
        <f>+'SEMANA DEL 14 AL 21 '!BG7</f>
        <v>0</v>
      </c>
      <c r="L7" s="284">
        <f>+'SEMANA DEL 14 AL 21 '!BH7</f>
        <v>0</v>
      </c>
      <c r="M7" s="284">
        <f>+'SEMANA DEL 14 AL 21 '!BI7</f>
        <v>0</v>
      </c>
      <c r="N7" s="284">
        <f>+'SEMANA DEL 14 AL 21 '!BJ7</f>
        <v>0</v>
      </c>
      <c r="O7" s="284">
        <f>+'SEMANA DEL 14 AL 21 '!BK7</f>
        <v>0</v>
      </c>
      <c r="P7" s="284">
        <f>+'SEMANA DEL 14 AL 21 '!BL7</f>
        <v>0</v>
      </c>
      <c r="Q7" s="284">
        <f>+'SEMANA DEL 14 AL 21 '!BM7</f>
        <v>0</v>
      </c>
      <c r="R7" s="289"/>
      <c r="S7" s="289"/>
      <c r="T7" s="289"/>
      <c r="U7" s="289"/>
      <c r="V7" s="289"/>
      <c r="W7" s="289"/>
      <c r="X7" s="190"/>
      <c r="Y7" s="264"/>
      <c r="Z7" s="264"/>
      <c r="AA7" s="264"/>
      <c r="AB7" s="264"/>
      <c r="AC7" s="264"/>
      <c r="AD7" s="264"/>
      <c r="AE7" s="264"/>
      <c r="AF7" s="264"/>
      <c r="AG7" s="190"/>
      <c r="AH7" s="190"/>
      <c r="AI7" s="190"/>
      <c r="AJ7" s="190"/>
      <c r="AK7" s="190"/>
      <c r="AL7" s="264"/>
      <c r="AM7" s="190"/>
      <c r="AN7" s="264"/>
      <c r="AO7" s="264"/>
      <c r="AP7" s="264"/>
      <c r="AQ7" s="264"/>
      <c r="AR7" s="264"/>
      <c r="AS7" s="264"/>
      <c r="AT7" s="264"/>
      <c r="AU7" s="264"/>
      <c r="AV7" s="264"/>
      <c r="AW7" s="190"/>
      <c r="AX7" s="190">
        <f t="shared" si="2"/>
        <v>0</v>
      </c>
      <c r="AY7" s="190">
        <f t="shared" si="3"/>
        <v>0</v>
      </c>
      <c r="AZ7" s="190">
        <f t="shared" si="4"/>
        <v>0</v>
      </c>
      <c r="BA7" s="190">
        <f t="shared" si="5"/>
        <v>0</v>
      </c>
      <c r="BB7" s="190">
        <f t="shared" si="6"/>
        <v>0</v>
      </c>
      <c r="BC7" s="190">
        <f t="shared" si="7"/>
        <v>0</v>
      </c>
      <c r="BD7" s="190">
        <f t="shared" si="8"/>
        <v>0</v>
      </c>
      <c r="BE7" s="190">
        <f t="shared" si="9"/>
        <v>0</v>
      </c>
      <c r="BF7" s="190">
        <f t="shared" si="10"/>
        <v>0</v>
      </c>
      <c r="BG7" s="190">
        <f t="shared" si="11"/>
        <v>0</v>
      </c>
      <c r="BH7" s="190">
        <f t="shared" si="12"/>
        <v>0</v>
      </c>
      <c r="BI7" s="190">
        <f t="shared" si="13"/>
        <v>0</v>
      </c>
      <c r="BJ7" s="190">
        <f t="shared" si="14"/>
        <v>0</v>
      </c>
      <c r="BK7" s="190">
        <f t="shared" si="15"/>
        <v>0</v>
      </c>
      <c r="BL7" s="190">
        <f t="shared" si="16"/>
        <v>0</v>
      </c>
      <c r="BM7" s="190">
        <f t="shared" si="17"/>
        <v>0</v>
      </c>
      <c r="BN7" s="190"/>
      <c r="BO7" s="170">
        <f t="shared" si="18"/>
        <v>0</v>
      </c>
      <c r="BP7" s="71">
        <f t="shared" si="19"/>
        <v>0</v>
      </c>
      <c r="BQ7" s="112">
        <f t="shared" si="20"/>
        <v>0</v>
      </c>
      <c r="BR7" s="112">
        <f t="shared" si="21"/>
        <v>0</v>
      </c>
      <c r="BS7" s="112">
        <f t="shared" si="22"/>
        <v>0</v>
      </c>
      <c r="BT7" s="112">
        <f t="shared" si="23"/>
        <v>0</v>
      </c>
      <c r="BU7" s="112">
        <f t="shared" si="24"/>
        <v>0</v>
      </c>
      <c r="BV7" s="112">
        <f t="shared" si="25"/>
        <v>0</v>
      </c>
      <c r="BW7" s="112">
        <f t="shared" si="26"/>
        <v>0</v>
      </c>
      <c r="BX7" s="112">
        <f t="shared" si="27"/>
        <v>0</v>
      </c>
      <c r="BY7" s="71">
        <f t="shared" si="28"/>
        <v>0</v>
      </c>
      <c r="BZ7" s="113">
        <f t="shared" si="29"/>
        <v>0</v>
      </c>
      <c r="CA7" s="71"/>
      <c r="CB7" s="71"/>
      <c r="CC7" s="71">
        <f t="shared" si="30"/>
        <v>0</v>
      </c>
      <c r="CD7" s="71">
        <f t="shared" si="31"/>
        <v>0</v>
      </c>
      <c r="CE7" s="71">
        <f t="shared" si="32"/>
        <v>0</v>
      </c>
      <c r="CF7" s="71">
        <f t="shared" si="33"/>
        <v>0</v>
      </c>
      <c r="CG7" s="71">
        <f t="shared" si="34"/>
        <v>0</v>
      </c>
      <c r="CH7" s="166">
        <f t="shared" si="35"/>
        <v>0</v>
      </c>
      <c r="CI7" s="263">
        <f t="shared" si="36"/>
        <v>0</v>
      </c>
      <c r="CJ7" s="79"/>
      <c r="CK7" s="79"/>
      <c r="CL7" s="41"/>
      <c r="CM7" s="129"/>
      <c r="CN7" s="129"/>
      <c r="CO7" s="129"/>
      <c r="CP7" s="41"/>
      <c r="CQ7" s="283"/>
      <c r="CR7" s="79"/>
      <c r="CS7" s="79"/>
      <c r="CT7" s="309" t="str">
        <f t="shared" si="1"/>
        <v xml:space="preserve">BLANCA ALVARADO </v>
      </c>
      <c r="CU7" s="293" t="str">
        <f>+'SEMANA DEL 2 AL 7-3-26'!CS7</f>
        <v>CC.60.402,510</v>
      </c>
      <c r="CV7" s="293">
        <f>+BN7</f>
        <v>0</v>
      </c>
      <c r="CW7" s="293">
        <f>+AW7</f>
        <v>0</v>
      </c>
      <c r="CX7" s="293"/>
      <c r="CY7" s="293">
        <f>+CX7*230</f>
        <v>0</v>
      </c>
      <c r="CZ7" s="307"/>
      <c r="DA7" s="307"/>
      <c r="DB7" s="304">
        <f>+CZ7*6500+DA7*3500</f>
        <v>0</v>
      </c>
      <c r="DC7" s="169">
        <f>+CI7</f>
        <v>0</v>
      </c>
      <c r="DD7" s="347">
        <f>+DB7+DC7+CY7</f>
        <v>0</v>
      </c>
    </row>
    <row r="8" spans="1:108" ht="18.95" customHeight="1" x14ac:dyDescent="0.25">
      <c r="A8" s="207" t="str">
        <f>+'SEMANA DEL 14 AL 21 '!A8</f>
        <v>ESPERANZA REY</v>
      </c>
      <c r="B8" s="284">
        <f>+'SEMANA DEL 14 AL 21 '!AX8</f>
        <v>3</v>
      </c>
      <c r="C8" s="284">
        <f>+'SEMANA DEL 14 AL 21 '!AY8</f>
        <v>5.4</v>
      </c>
      <c r="D8" s="284">
        <f>+'SEMANA DEL 14 AL 21 '!AZ8</f>
        <v>21</v>
      </c>
      <c r="E8" s="284">
        <f>+'SEMANA DEL 14 AL 21 '!BA8</f>
        <v>3</v>
      </c>
      <c r="F8" s="284">
        <f>+'SEMANA DEL 14 AL 21 '!BB8</f>
        <v>0</v>
      </c>
      <c r="G8" s="284">
        <f>+'SEMANA DEL 14 AL 21 '!BC8</f>
        <v>0</v>
      </c>
      <c r="H8" s="284">
        <f>+'SEMANA DEL 14 AL 21 '!BD8</f>
        <v>0</v>
      </c>
      <c r="I8" s="284">
        <f>+'SEMANA DEL 14 AL 21 '!BE8</f>
        <v>0</v>
      </c>
      <c r="J8" s="284">
        <f>+'SEMANA DEL 14 AL 21 '!BF8</f>
        <v>0</v>
      </c>
      <c r="K8" s="284">
        <f>+'SEMANA DEL 14 AL 21 '!BG8</f>
        <v>0</v>
      </c>
      <c r="L8" s="284">
        <f>+'SEMANA DEL 14 AL 21 '!BH8</f>
        <v>0</v>
      </c>
      <c r="M8" s="284">
        <f>+'SEMANA DEL 14 AL 21 '!BI8</f>
        <v>0</v>
      </c>
      <c r="N8" s="284">
        <f>+'SEMANA DEL 14 AL 21 '!BJ8</f>
        <v>0</v>
      </c>
      <c r="O8" s="284">
        <f>+'SEMANA DEL 14 AL 21 '!BK8</f>
        <v>0</v>
      </c>
      <c r="P8" s="284">
        <f>+'SEMANA DEL 14 AL 21 '!BL8</f>
        <v>0</v>
      </c>
      <c r="Q8" s="284">
        <f>+'SEMANA DEL 14 AL 21 '!BM8</f>
        <v>0</v>
      </c>
      <c r="R8" s="289"/>
      <c r="S8" s="289"/>
      <c r="T8" s="289"/>
      <c r="U8" s="289"/>
      <c r="V8" s="289"/>
      <c r="W8" s="289"/>
      <c r="X8" s="190"/>
      <c r="Y8" s="190"/>
      <c r="Z8" s="264"/>
      <c r="AA8" s="264"/>
      <c r="AB8" s="264"/>
      <c r="AC8" s="264"/>
      <c r="AD8" s="264"/>
      <c r="AE8" s="264"/>
      <c r="AF8" s="264"/>
      <c r="AG8" s="190"/>
      <c r="AH8" s="190"/>
      <c r="AI8" s="190"/>
      <c r="AJ8" s="190"/>
      <c r="AK8" s="190"/>
      <c r="AL8" s="264"/>
      <c r="AM8" s="190"/>
      <c r="AN8" s="264"/>
      <c r="AO8" s="190"/>
      <c r="AP8" s="264"/>
      <c r="AQ8" s="264"/>
      <c r="AR8" s="264"/>
      <c r="AS8" s="264"/>
      <c r="AT8" s="264"/>
      <c r="AU8" s="264"/>
      <c r="AV8" s="264"/>
      <c r="AW8" s="190"/>
      <c r="AX8" s="190">
        <f t="shared" si="2"/>
        <v>3</v>
      </c>
      <c r="AY8" s="190">
        <f t="shared" si="3"/>
        <v>5.4</v>
      </c>
      <c r="AZ8" s="190">
        <f t="shared" si="4"/>
        <v>21</v>
      </c>
      <c r="BA8" s="190">
        <f t="shared" si="5"/>
        <v>3</v>
      </c>
      <c r="BB8" s="190">
        <f t="shared" si="6"/>
        <v>0</v>
      </c>
      <c r="BC8" s="190">
        <f t="shared" si="7"/>
        <v>0</v>
      </c>
      <c r="BD8" s="190">
        <f t="shared" si="8"/>
        <v>0</v>
      </c>
      <c r="BE8" s="190">
        <f t="shared" si="9"/>
        <v>0</v>
      </c>
      <c r="BF8" s="190">
        <f t="shared" si="10"/>
        <v>0</v>
      </c>
      <c r="BG8" s="190">
        <f t="shared" si="11"/>
        <v>0</v>
      </c>
      <c r="BH8" s="190">
        <f t="shared" si="12"/>
        <v>0</v>
      </c>
      <c r="BI8" s="190">
        <f t="shared" si="13"/>
        <v>0</v>
      </c>
      <c r="BJ8" s="190">
        <f t="shared" si="14"/>
        <v>0</v>
      </c>
      <c r="BK8" s="190">
        <f t="shared" si="15"/>
        <v>0</v>
      </c>
      <c r="BL8" s="190">
        <f t="shared" si="16"/>
        <v>0</v>
      </c>
      <c r="BM8" s="190">
        <f t="shared" si="17"/>
        <v>0</v>
      </c>
      <c r="BN8" s="190"/>
      <c r="BO8" s="170">
        <f t="shared" si="18"/>
        <v>0</v>
      </c>
      <c r="BP8" s="71">
        <f t="shared" si="19"/>
        <v>0</v>
      </c>
      <c r="BQ8" s="112">
        <f t="shared" si="20"/>
        <v>0</v>
      </c>
      <c r="BR8" s="112">
        <f t="shared" si="21"/>
        <v>0</v>
      </c>
      <c r="BS8" s="112">
        <f t="shared" si="22"/>
        <v>0</v>
      </c>
      <c r="BT8" s="112">
        <f t="shared" si="23"/>
        <v>0</v>
      </c>
      <c r="BU8" s="112">
        <f t="shared" si="24"/>
        <v>0</v>
      </c>
      <c r="BV8" s="112">
        <f t="shared" si="25"/>
        <v>0</v>
      </c>
      <c r="BW8" s="112">
        <f t="shared" si="26"/>
        <v>0</v>
      </c>
      <c r="BX8" s="112">
        <f t="shared" si="27"/>
        <v>0</v>
      </c>
      <c r="BY8" s="71">
        <f t="shared" si="28"/>
        <v>0</v>
      </c>
      <c r="BZ8" s="113">
        <f t="shared" si="29"/>
        <v>0</v>
      </c>
      <c r="CA8" s="71"/>
      <c r="CB8" s="71"/>
      <c r="CC8" s="71">
        <f t="shared" si="30"/>
        <v>0</v>
      </c>
      <c r="CD8" s="71">
        <f t="shared" si="31"/>
        <v>0</v>
      </c>
      <c r="CE8" s="71">
        <f t="shared" si="32"/>
        <v>0</v>
      </c>
      <c r="CF8" s="71">
        <f t="shared" si="33"/>
        <v>0</v>
      </c>
      <c r="CG8" s="71">
        <f t="shared" si="34"/>
        <v>0</v>
      </c>
      <c r="CH8" s="166">
        <f t="shared" si="35"/>
        <v>0</v>
      </c>
      <c r="CI8" s="263">
        <f t="shared" si="36"/>
        <v>0</v>
      </c>
      <c r="CJ8" s="79"/>
      <c r="CK8" s="79"/>
      <c r="CL8" s="41"/>
      <c r="CM8" s="129"/>
      <c r="CN8" s="129"/>
      <c r="CO8" s="129"/>
      <c r="CP8" s="41"/>
      <c r="CQ8" s="283"/>
      <c r="CR8" s="79"/>
      <c r="CS8" s="79"/>
      <c r="CT8" s="309" t="str">
        <f t="shared" si="1"/>
        <v>ESPERANZA REY</v>
      </c>
      <c r="CU8" s="293" t="str">
        <f>+'SEMANA DEL 2 AL 7-3-26'!CS8</f>
        <v>V-22.633.248</v>
      </c>
      <c r="CV8" s="293">
        <f>+BN8</f>
        <v>0</v>
      </c>
      <c r="CW8" s="293">
        <f>+AW8</f>
        <v>0</v>
      </c>
      <c r="CX8" s="293"/>
      <c r="CY8" s="293">
        <f>+CX8*230</f>
        <v>0</v>
      </c>
      <c r="CZ8" s="307"/>
      <c r="DA8" s="307"/>
      <c r="DB8" s="304">
        <f>+CZ8*6500+DA8*3500</f>
        <v>0</v>
      </c>
      <c r="DC8" s="169">
        <f>+CI8</f>
        <v>0</v>
      </c>
      <c r="DD8" s="347">
        <f>+DB8+DC8+CY8</f>
        <v>0</v>
      </c>
    </row>
    <row r="9" spans="1:108" ht="18.95" customHeight="1" x14ac:dyDescent="0.25">
      <c r="A9" s="207" t="str">
        <f>+'SEMANA DEL 14 AL 21 '!A9</f>
        <v xml:space="preserve">ELIZABETH REYES SERRANO </v>
      </c>
      <c r="B9" s="284">
        <f>+'SEMANA DEL 14 AL 21 '!AX9</f>
        <v>0</v>
      </c>
      <c r="C9" s="284">
        <f>+'SEMANA DEL 14 AL 21 '!AY9</f>
        <v>0</v>
      </c>
      <c r="D9" s="284">
        <f>+'SEMANA DEL 14 AL 21 '!AZ9</f>
        <v>0</v>
      </c>
      <c r="E9" s="284">
        <f>+'SEMANA DEL 14 AL 21 '!BA9</f>
        <v>0</v>
      </c>
      <c r="F9" s="284">
        <f>+'SEMANA DEL 14 AL 21 '!BB9</f>
        <v>0</v>
      </c>
      <c r="G9" s="284">
        <f>+'SEMANA DEL 14 AL 21 '!BC9</f>
        <v>0</v>
      </c>
      <c r="H9" s="284">
        <f>+'SEMANA DEL 14 AL 21 '!BD9</f>
        <v>0</v>
      </c>
      <c r="I9" s="284">
        <f>+'SEMANA DEL 14 AL 21 '!BE9</f>
        <v>0</v>
      </c>
      <c r="J9" s="284">
        <f>+'SEMANA DEL 14 AL 21 '!BF9</f>
        <v>0</v>
      </c>
      <c r="K9" s="284">
        <f>+'SEMANA DEL 14 AL 21 '!BG9</f>
        <v>0</v>
      </c>
      <c r="L9" s="284">
        <f>+'SEMANA DEL 14 AL 21 '!BH9</f>
        <v>0</v>
      </c>
      <c r="M9" s="284">
        <f>+'SEMANA DEL 14 AL 21 '!BI9</f>
        <v>0</v>
      </c>
      <c r="N9" s="284">
        <f>+'SEMANA DEL 14 AL 21 '!BJ9</f>
        <v>0</v>
      </c>
      <c r="O9" s="284">
        <f>+'SEMANA DEL 14 AL 21 '!BK9</f>
        <v>0</v>
      </c>
      <c r="P9" s="284">
        <f>+'SEMANA DEL 14 AL 21 '!BL9</f>
        <v>0</v>
      </c>
      <c r="Q9" s="284">
        <f>+'SEMANA DEL 14 AL 21 '!BM9</f>
        <v>0</v>
      </c>
      <c r="R9" s="289"/>
      <c r="S9" s="289"/>
      <c r="T9" s="289"/>
      <c r="U9" s="289"/>
      <c r="V9" s="289"/>
      <c r="W9" s="289"/>
      <c r="X9" s="190"/>
      <c r="Y9" s="190"/>
      <c r="Z9" s="264"/>
      <c r="AA9" s="264"/>
      <c r="AB9" s="264"/>
      <c r="AC9" s="264"/>
      <c r="AD9" s="264"/>
      <c r="AE9" s="190"/>
      <c r="AF9" s="190"/>
      <c r="AG9" s="190"/>
      <c r="AH9" s="289"/>
      <c r="AI9" s="289"/>
      <c r="AJ9" s="289"/>
      <c r="AK9" s="289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>
        <f t="shared" si="2"/>
        <v>0</v>
      </c>
      <c r="AY9" s="190">
        <f t="shared" si="3"/>
        <v>0</v>
      </c>
      <c r="AZ9" s="190">
        <f t="shared" si="4"/>
        <v>0</v>
      </c>
      <c r="BA9" s="190">
        <f t="shared" si="5"/>
        <v>0</v>
      </c>
      <c r="BB9" s="190">
        <f t="shared" si="6"/>
        <v>0</v>
      </c>
      <c r="BC9" s="190">
        <f t="shared" si="7"/>
        <v>0</v>
      </c>
      <c r="BD9" s="190">
        <f t="shared" si="8"/>
        <v>0</v>
      </c>
      <c r="BE9" s="190">
        <f t="shared" si="9"/>
        <v>0</v>
      </c>
      <c r="BF9" s="190">
        <f t="shared" si="10"/>
        <v>0</v>
      </c>
      <c r="BG9" s="190">
        <f t="shared" si="11"/>
        <v>0</v>
      </c>
      <c r="BH9" s="190">
        <f t="shared" si="12"/>
        <v>0</v>
      </c>
      <c r="BI9" s="190">
        <f t="shared" si="13"/>
        <v>0</v>
      </c>
      <c r="BJ9" s="190">
        <f t="shared" si="14"/>
        <v>0</v>
      </c>
      <c r="BK9" s="190">
        <f t="shared" si="15"/>
        <v>0</v>
      </c>
      <c r="BL9" s="190">
        <f t="shared" si="16"/>
        <v>0</v>
      </c>
      <c r="BM9" s="190">
        <f t="shared" si="17"/>
        <v>0</v>
      </c>
      <c r="BN9" s="190"/>
      <c r="BO9" s="170">
        <f t="shared" si="18"/>
        <v>0</v>
      </c>
      <c r="BP9" s="71">
        <f t="shared" si="19"/>
        <v>0</v>
      </c>
      <c r="BQ9" s="112">
        <f t="shared" si="20"/>
        <v>0</v>
      </c>
      <c r="BR9" s="112">
        <f t="shared" si="21"/>
        <v>0</v>
      </c>
      <c r="BS9" s="112">
        <f t="shared" si="22"/>
        <v>0</v>
      </c>
      <c r="BT9" s="112">
        <f t="shared" si="23"/>
        <v>0</v>
      </c>
      <c r="BU9" s="112">
        <f t="shared" si="24"/>
        <v>0</v>
      </c>
      <c r="BV9" s="112">
        <f t="shared" si="25"/>
        <v>0</v>
      </c>
      <c r="BW9" s="112">
        <f t="shared" si="26"/>
        <v>0</v>
      </c>
      <c r="BX9" s="112">
        <f t="shared" si="27"/>
        <v>0</v>
      </c>
      <c r="BY9" s="71">
        <f t="shared" si="28"/>
        <v>0</v>
      </c>
      <c r="BZ9" s="113">
        <f t="shared" si="29"/>
        <v>0</v>
      </c>
      <c r="CA9" s="71"/>
      <c r="CB9" s="71"/>
      <c r="CC9" s="71">
        <f t="shared" si="30"/>
        <v>0</v>
      </c>
      <c r="CD9" s="71">
        <f t="shared" si="31"/>
        <v>0</v>
      </c>
      <c r="CE9" s="71">
        <f t="shared" si="32"/>
        <v>0</v>
      </c>
      <c r="CF9" s="71">
        <f t="shared" si="33"/>
        <v>0</v>
      </c>
      <c r="CG9" s="71">
        <f t="shared" si="34"/>
        <v>0</v>
      </c>
      <c r="CH9" s="166">
        <f t="shared" si="35"/>
        <v>0</v>
      </c>
      <c r="CI9" s="263">
        <f t="shared" si="36"/>
        <v>0</v>
      </c>
      <c r="CJ9" s="79"/>
      <c r="CK9" s="79"/>
      <c r="CL9" s="41"/>
      <c r="CM9" s="129"/>
      <c r="CN9" s="129"/>
      <c r="CO9" s="129"/>
      <c r="CP9" s="41"/>
      <c r="CQ9" s="239"/>
      <c r="CR9" s="140"/>
      <c r="CS9" s="52"/>
      <c r="CT9" s="309" t="str">
        <f t="shared" si="1"/>
        <v xml:space="preserve">ELIZABETH REYES SERRANO </v>
      </c>
      <c r="CU9" s="293" t="str">
        <f>+'SEMANA DEL 2 AL 7-3-26'!CS9</f>
        <v>V-15.956.387</v>
      </c>
      <c r="CV9" s="293">
        <f t="shared" ref="CV9:CV45" si="37">+BN9</f>
        <v>0</v>
      </c>
      <c r="CW9" s="293">
        <f t="shared" ref="CW9:CW45" si="38">+AW9</f>
        <v>0</v>
      </c>
      <c r="CX9" s="293"/>
      <c r="CY9" s="293">
        <f t="shared" ref="CY9:CY45" si="39">+CX9*230</f>
        <v>0</v>
      </c>
      <c r="CZ9" s="307"/>
      <c r="DA9" s="307"/>
      <c r="DB9" s="304">
        <f t="shared" ref="DB9:DB45" si="40">+CZ9*6500+DA9*3500</f>
        <v>0</v>
      </c>
      <c r="DC9" s="169">
        <f t="shared" ref="DC9:DC45" si="41">+CI9</f>
        <v>0</v>
      </c>
      <c r="DD9" s="347">
        <f t="shared" ref="DD9:DD45" si="42">+DB9+DC9+CY9</f>
        <v>0</v>
      </c>
    </row>
    <row r="10" spans="1:108" ht="18.95" customHeight="1" x14ac:dyDescent="0.25">
      <c r="A10" s="207" t="str">
        <f>+'SEMANA DEL 14 AL 21 '!A10</f>
        <v>ELVIRA LOPEZ</v>
      </c>
      <c r="B10" s="284">
        <f>+'SEMANA DEL 14 AL 21 '!AX10</f>
        <v>0</v>
      </c>
      <c r="C10" s="284">
        <f>+'SEMANA DEL 14 AL 21 '!AY10</f>
        <v>0</v>
      </c>
      <c r="D10" s="284">
        <f>+'SEMANA DEL 14 AL 21 '!AZ10</f>
        <v>0</v>
      </c>
      <c r="E10" s="284">
        <f>+'SEMANA DEL 14 AL 21 '!BA10</f>
        <v>0</v>
      </c>
      <c r="F10" s="284">
        <f>+'SEMANA DEL 14 AL 21 '!BB10</f>
        <v>0</v>
      </c>
      <c r="G10" s="284">
        <f>+'SEMANA DEL 14 AL 21 '!BC10</f>
        <v>0</v>
      </c>
      <c r="H10" s="284">
        <f>+'SEMANA DEL 14 AL 21 '!BD10</f>
        <v>0</v>
      </c>
      <c r="I10" s="284">
        <f>+'SEMANA DEL 14 AL 21 '!BE10</f>
        <v>0</v>
      </c>
      <c r="J10" s="284">
        <f>+'SEMANA DEL 14 AL 21 '!BF10</f>
        <v>0</v>
      </c>
      <c r="K10" s="284">
        <f>+'SEMANA DEL 14 AL 21 '!BG10</f>
        <v>0</v>
      </c>
      <c r="L10" s="284">
        <f>+'SEMANA DEL 14 AL 21 '!BH10</f>
        <v>0</v>
      </c>
      <c r="M10" s="284">
        <f>+'SEMANA DEL 14 AL 21 '!BI10</f>
        <v>0</v>
      </c>
      <c r="N10" s="284">
        <f>+'SEMANA DEL 14 AL 21 '!BJ10</f>
        <v>0</v>
      </c>
      <c r="O10" s="284">
        <f>+'SEMANA DEL 14 AL 21 '!BK10</f>
        <v>0</v>
      </c>
      <c r="P10" s="284">
        <f>+'SEMANA DEL 14 AL 21 '!BL10</f>
        <v>0</v>
      </c>
      <c r="Q10" s="284">
        <f>+'SEMANA DEL 14 AL 21 '!BM10</f>
        <v>0</v>
      </c>
      <c r="R10" s="289"/>
      <c r="S10" s="289"/>
      <c r="T10" s="289"/>
      <c r="U10" s="289"/>
      <c r="V10" s="289"/>
      <c r="W10" s="289"/>
      <c r="X10" s="190"/>
      <c r="Y10" s="190"/>
      <c r="Z10" s="264"/>
      <c r="AA10" s="264"/>
      <c r="AB10" s="264"/>
      <c r="AC10" s="264"/>
      <c r="AD10" s="264"/>
      <c r="AE10" s="190"/>
      <c r="AF10" s="190"/>
      <c r="AG10" s="190"/>
      <c r="AH10" s="289"/>
      <c r="AI10" s="289"/>
      <c r="AJ10" s="289"/>
      <c r="AK10" s="289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>
        <f t="shared" si="2"/>
        <v>0</v>
      </c>
      <c r="AY10" s="190">
        <f t="shared" si="3"/>
        <v>0</v>
      </c>
      <c r="AZ10" s="190">
        <f t="shared" si="4"/>
        <v>0</v>
      </c>
      <c r="BA10" s="190">
        <f t="shared" si="5"/>
        <v>0</v>
      </c>
      <c r="BB10" s="190">
        <f t="shared" si="6"/>
        <v>0</v>
      </c>
      <c r="BC10" s="190">
        <f t="shared" si="7"/>
        <v>0</v>
      </c>
      <c r="BD10" s="190">
        <f t="shared" si="8"/>
        <v>0</v>
      </c>
      <c r="BE10" s="190">
        <f t="shared" si="9"/>
        <v>0</v>
      </c>
      <c r="BF10" s="190">
        <f t="shared" si="10"/>
        <v>0</v>
      </c>
      <c r="BG10" s="190">
        <f t="shared" si="11"/>
        <v>0</v>
      </c>
      <c r="BH10" s="190">
        <f t="shared" si="12"/>
        <v>0</v>
      </c>
      <c r="BI10" s="190">
        <f t="shared" si="13"/>
        <v>0</v>
      </c>
      <c r="BJ10" s="190">
        <f t="shared" si="14"/>
        <v>0</v>
      </c>
      <c r="BK10" s="190">
        <f t="shared" si="15"/>
        <v>0</v>
      </c>
      <c r="BL10" s="190">
        <f t="shared" si="16"/>
        <v>0</v>
      </c>
      <c r="BM10" s="190">
        <f t="shared" si="17"/>
        <v>0</v>
      </c>
      <c r="BN10" s="190"/>
      <c r="BO10" s="170">
        <f t="shared" si="18"/>
        <v>0</v>
      </c>
      <c r="BP10" s="71">
        <f t="shared" si="19"/>
        <v>0</v>
      </c>
      <c r="BQ10" s="112">
        <f t="shared" si="20"/>
        <v>0</v>
      </c>
      <c r="BR10" s="112">
        <f t="shared" si="21"/>
        <v>0</v>
      </c>
      <c r="BS10" s="112">
        <f t="shared" si="22"/>
        <v>0</v>
      </c>
      <c r="BT10" s="112">
        <f t="shared" si="23"/>
        <v>0</v>
      </c>
      <c r="BU10" s="112">
        <f t="shared" si="24"/>
        <v>0</v>
      </c>
      <c r="BV10" s="112">
        <f t="shared" si="25"/>
        <v>0</v>
      </c>
      <c r="BW10" s="112">
        <f t="shared" si="26"/>
        <v>0</v>
      </c>
      <c r="BX10" s="112">
        <f t="shared" si="27"/>
        <v>0</v>
      </c>
      <c r="BY10" s="71">
        <f t="shared" si="28"/>
        <v>0</v>
      </c>
      <c r="BZ10" s="113">
        <f t="shared" si="29"/>
        <v>0</v>
      </c>
      <c r="CA10" s="71"/>
      <c r="CB10" s="71"/>
      <c r="CC10" s="71">
        <f t="shared" si="30"/>
        <v>0</v>
      </c>
      <c r="CD10" s="71">
        <f t="shared" si="31"/>
        <v>0</v>
      </c>
      <c r="CE10" s="71">
        <f t="shared" si="32"/>
        <v>0</v>
      </c>
      <c r="CF10" s="71">
        <f t="shared" si="33"/>
        <v>0</v>
      </c>
      <c r="CG10" s="71">
        <f t="shared" si="34"/>
        <v>0</v>
      </c>
      <c r="CH10" s="166">
        <f t="shared" si="35"/>
        <v>0</v>
      </c>
      <c r="CI10" s="263">
        <f t="shared" si="36"/>
        <v>0</v>
      </c>
      <c r="CJ10" s="79"/>
      <c r="CK10" s="79"/>
      <c r="CL10" s="41"/>
      <c r="CM10" s="129"/>
      <c r="CN10" s="129"/>
      <c r="CO10" s="129"/>
      <c r="CP10" s="41"/>
      <c r="CQ10" s="239"/>
      <c r="CR10" s="140"/>
      <c r="CS10" s="52"/>
      <c r="CT10" s="309" t="str">
        <f t="shared" si="1"/>
        <v>ELVIRA LOPEZ</v>
      </c>
      <c r="CU10" s="293" t="str">
        <f>+'SEMANA DEL 2 AL 7-3-26'!CS10</f>
        <v>V-29,664.726</v>
      </c>
      <c r="CV10" s="293">
        <f t="shared" si="37"/>
        <v>0</v>
      </c>
      <c r="CW10" s="293">
        <f t="shared" si="38"/>
        <v>0</v>
      </c>
      <c r="CX10" s="293"/>
      <c r="CY10" s="293">
        <f t="shared" si="39"/>
        <v>0</v>
      </c>
      <c r="CZ10" s="307"/>
      <c r="DA10" s="307"/>
      <c r="DB10" s="304">
        <f t="shared" si="40"/>
        <v>0</v>
      </c>
      <c r="DC10" s="169">
        <f t="shared" si="41"/>
        <v>0</v>
      </c>
      <c r="DD10" s="347">
        <f t="shared" si="42"/>
        <v>0</v>
      </c>
    </row>
    <row r="11" spans="1:108" ht="18.95" customHeight="1" x14ac:dyDescent="0.25">
      <c r="A11" s="207" t="str">
        <f>+'SEMANA DEL 14 AL 21 '!A11</f>
        <v>ERNESTO REYES</v>
      </c>
      <c r="B11" s="284">
        <f>+'SEMANA DEL 14 AL 21 '!AX11</f>
        <v>3.2</v>
      </c>
      <c r="C11" s="284">
        <f>+'SEMANA DEL 14 AL 21 '!AY11</f>
        <v>5.7600000000000016</v>
      </c>
      <c r="D11" s="284">
        <f>+'SEMANA DEL 14 AL 21 '!AZ11</f>
        <v>22.4</v>
      </c>
      <c r="E11" s="284">
        <f>+'SEMANA DEL 14 AL 21 '!BA11</f>
        <v>3</v>
      </c>
      <c r="F11" s="284">
        <f>+'SEMANA DEL 14 AL 21 '!BB11</f>
        <v>0</v>
      </c>
      <c r="G11" s="284">
        <f>+'SEMANA DEL 14 AL 21 '!BC11</f>
        <v>0</v>
      </c>
      <c r="H11" s="284">
        <f>+'SEMANA DEL 14 AL 21 '!BD11</f>
        <v>0</v>
      </c>
      <c r="I11" s="284">
        <f>+'SEMANA DEL 14 AL 21 '!BE11</f>
        <v>0</v>
      </c>
      <c r="J11" s="284">
        <f>+'SEMANA DEL 14 AL 21 '!BF11</f>
        <v>0</v>
      </c>
      <c r="K11" s="284">
        <f>+'SEMANA DEL 14 AL 21 '!BG11</f>
        <v>0</v>
      </c>
      <c r="L11" s="284">
        <f>+'SEMANA DEL 14 AL 21 '!BH11</f>
        <v>0</v>
      </c>
      <c r="M11" s="284">
        <f>+'SEMANA DEL 14 AL 21 '!BI11</f>
        <v>0</v>
      </c>
      <c r="N11" s="284">
        <f>+'SEMANA DEL 14 AL 21 '!BJ11</f>
        <v>0</v>
      </c>
      <c r="O11" s="284">
        <f>+'SEMANA DEL 14 AL 21 '!BK11</f>
        <v>0</v>
      </c>
      <c r="P11" s="284">
        <f>+'SEMANA DEL 14 AL 21 '!BL11</f>
        <v>0</v>
      </c>
      <c r="Q11" s="284">
        <f>+'SEMANA DEL 14 AL 21 '!BM11</f>
        <v>0</v>
      </c>
      <c r="R11" s="289"/>
      <c r="S11" s="289"/>
      <c r="T11" s="289"/>
      <c r="U11" s="289"/>
      <c r="V11" s="289"/>
      <c r="W11" s="289"/>
      <c r="X11" s="190"/>
      <c r="Y11" s="190"/>
      <c r="Z11" s="190"/>
      <c r="AA11" s="264"/>
      <c r="AB11" s="264"/>
      <c r="AC11" s="264"/>
      <c r="AD11" s="264"/>
      <c r="AE11" s="190"/>
      <c r="AF11" s="190"/>
      <c r="AG11" s="190"/>
      <c r="AH11" s="289"/>
      <c r="AI11" s="289"/>
      <c r="AJ11" s="289"/>
      <c r="AK11" s="289"/>
      <c r="AL11" s="289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>
        <f t="shared" si="2"/>
        <v>3.2</v>
      </c>
      <c r="AY11" s="190">
        <f t="shared" si="3"/>
        <v>5.7600000000000016</v>
      </c>
      <c r="AZ11" s="190">
        <f t="shared" si="4"/>
        <v>22.4</v>
      </c>
      <c r="BA11" s="190">
        <f t="shared" si="5"/>
        <v>3</v>
      </c>
      <c r="BB11" s="190">
        <f t="shared" si="6"/>
        <v>0</v>
      </c>
      <c r="BC11" s="190">
        <f t="shared" si="7"/>
        <v>0</v>
      </c>
      <c r="BD11" s="190">
        <f t="shared" si="8"/>
        <v>0</v>
      </c>
      <c r="BE11" s="190">
        <f t="shared" si="9"/>
        <v>0</v>
      </c>
      <c r="BF11" s="190">
        <f t="shared" si="10"/>
        <v>0</v>
      </c>
      <c r="BG11" s="190">
        <f t="shared" si="11"/>
        <v>0</v>
      </c>
      <c r="BH11" s="190">
        <f t="shared" si="12"/>
        <v>0</v>
      </c>
      <c r="BI11" s="190">
        <f t="shared" si="13"/>
        <v>0</v>
      </c>
      <c r="BJ11" s="190">
        <f t="shared" si="14"/>
        <v>0</v>
      </c>
      <c r="BK11" s="190">
        <f t="shared" si="15"/>
        <v>0</v>
      </c>
      <c r="BL11" s="190">
        <f t="shared" si="16"/>
        <v>0</v>
      </c>
      <c r="BM11" s="190">
        <f t="shared" si="17"/>
        <v>0</v>
      </c>
      <c r="BN11" s="190"/>
      <c r="BO11" s="170">
        <f t="shared" si="18"/>
        <v>0</v>
      </c>
      <c r="BP11" s="71">
        <f t="shared" si="19"/>
        <v>0</v>
      </c>
      <c r="BQ11" s="112">
        <f t="shared" si="20"/>
        <v>0</v>
      </c>
      <c r="BR11" s="112">
        <f t="shared" si="21"/>
        <v>0</v>
      </c>
      <c r="BS11" s="112">
        <f t="shared" si="22"/>
        <v>0</v>
      </c>
      <c r="BT11" s="112">
        <f t="shared" si="23"/>
        <v>0</v>
      </c>
      <c r="BU11" s="112">
        <f t="shared" si="24"/>
        <v>0</v>
      </c>
      <c r="BV11" s="112">
        <f t="shared" si="25"/>
        <v>0</v>
      </c>
      <c r="BW11" s="112">
        <f t="shared" si="26"/>
        <v>0</v>
      </c>
      <c r="BX11" s="112">
        <f t="shared" si="27"/>
        <v>0</v>
      </c>
      <c r="BY11" s="71">
        <f t="shared" si="28"/>
        <v>0</v>
      </c>
      <c r="BZ11" s="113">
        <f t="shared" si="29"/>
        <v>0</v>
      </c>
      <c r="CA11" s="71"/>
      <c r="CB11" s="71"/>
      <c r="CC11" s="71">
        <f t="shared" si="30"/>
        <v>0</v>
      </c>
      <c r="CD11" s="71">
        <f t="shared" si="31"/>
        <v>0</v>
      </c>
      <c r="CE11" s="71">
        <f t="shared" si="32"/>
        <v>0</v>
      </c>
      <c r="CF11" s="71">
        <f t="shared" si="33"/>
        <v>0</v>
      </c>
      <c r="CG11" s="71">
        <f t="shared" si="34"/>
        <v>0</v>
      </c>
      <c r="CH11" s="166">
        <f t="shared" si="35"/>
        <v>0</v>
      </c>
      <c r="CI11" s="263">
        <f t="shared" si="36"/>
        <v>0</v>
      </c>
      <c r="CJ11" s="79"/>
      <c r="CK11" s="79"/>
      <c r="CL11" s="41"/>
      <c r="CM11" s="129"/>
      <c r="CN11" s="129"/>
      <c r="CO11" s="129"/>
      <c r="CP11" s="41"/>
      <c r="CQ11" s="239"/>
      <c r="CR11" s="140"/>
      <c r="CS11" s="52"/>
      <c r="CT11" s="309" t="str">
        <f t="shared" si="1"/>
        <v>ERNESTO REYES</v>
      </c>
      <c r="CU11" s="293" t="str">
        <f>+'SEMANA DEL 2 AL 7-3-26'!CS11</f>
        <v>CC-5.535.335</v>
      </c>
      <c r="CV11" s="293">
        <f t="shared" si="37"/>
        <v>0</v>
      </c>
      <c r="CW11" s="293">
        <f t="shared" si="38"/>
        <v>0</v>
      </c>
      <c r="CX11" s="293"/>
      <c r="CY11" s="293">
        <f t="shared" si="39"/>
        <v>0</v>
      </c>
      <c r="CZ11" s="307"/>
      <c r="DA11" s="307"/>
      <c r="DB11" s="304">
        <f t="shared" si="40"/>
        <v>0</v>
      </c>
      <c r="DC11" s="169">
        <f t="shared" si="41"/>
        <v>0</v>
      </c>
      <c r="DD11" s="347">
        <f t="shared" si="42"/>
        <v>0</v>
      </c>
    </row>
    <row r="12" spans="1:108" ht="18.95" customHeight="1" x14ac:dyDescent="0.25">
      <c r="A12" s="207" t="str">
        <f>+'SEMANA DEL 14 AL 21 '!A12</f>
        <v xml:space="preserve">GUILLERMO ZAMBRANO </v>
      </c>
      <c r="B12" s="284">
        <f>+'SEMANA DEL 14 AL 21 '!AX12</f>
        <v>0.34999999999999964</v>
      </c>
      <c r="C12" s="284">
        <f>+'SEMANA DEL 14 AL 21 '!AY12</f>
        <v>1.6300000000000008</v>
      </c>
      <c r="D12" s="284">
        <f>+'SEMANA DEL 14 AL 21 '!AZ12</f>
        <v>4.4500000000000028</v>
      </c>
      <c r="E12" s="284">
        <f>+'SEMANA DEL 14 AL 21 '!BA12</f>
        <v>0</v>
      </c>
      <c r="F12" s="284">
        <f>+'SEMANA DEL 14 AL 21 '!BB12</f>
        <v>0</v>
      </c>
      <c r="G12" s="284">
        <f>+'SEMANA DEL 14 AL 21 '!BC12</f>
        <v>0</v>
      </c>
      <c r="H12" s="284">
        <f>+'SEMANA DEL 14 AL 21 '!BD12</f>
        <v>0</v>
      </c>
      <c r="I12" s="284">
        <f>+'SEMANA DEL 14 AL 21 '!BE12</f>
        <v>0</v>
      </c>
      <c r="J12" s="284">
        <f>+'SEMANA DEL 14 AL 21 '!BF12</f>
        <v>0</v>
      </c>
      <c r="K12" s="284">
        <f>+'SEMANA DEL 14 AL 21 '!BG12</f>
        <v>0</v>
      </c>
      <c r="L12" s="284">
        <f>+'SEMANA DEL 14 AL 21 '!BH12</f>
        <v>0</v>
      </c>
      <c r="M12" s="284">
        <f>+'SEMANA DEL 14 AL 21 '!BI12</f>
        <v>0</v>
      </c>
      <c r="N12" s="284">
        <f>+'SEMANA DEL 14 AL 21 '!BJ12</f>
        <v>0</v>
      </c>
      <c r="O12" s="284">
        <f>+'SEMANA DEL 14 AL 21 '!BK12</f>
        <v>0</v>
      </c>
      <c r="P12" s="284">
        <f>+'SEMANA DEL 14 AL 21 '!BL12</f>
        <v>0</v>
      </c>
      <c r="Q12" s="284">
        <f>+'SEMANA DEL 14 AL 21 '!BM12</f>
        <v>0</v>
      </c>
      <c r="R12" s="289"/>
      <c r="S12" s="289"/>
      <c r="T12" s="289"/>
      <c r="U12" s="289"/>
      <c r="V12" s="289"/>
      <c r="W12" s="289"/>
      <c r="X12" s="190"/>
      <c r="Y12" s="190"/>
      <c r="Z12" s="264"/>
      <c r="AA12" s="264"/>
      <c r="AB12" s="264"/>
      <c r="AC12" s="264"/>
      <c r="AD12" s="264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>
        <f t="shared" si="2"/>
        <v>0.34999999999999964</v>
      </c>
      <c r="AY12" s="190">
        <f t="shared" si="3"/>
        <v>1.6300000000000008</v>
      </c>
      <c r="AZ12" s="190">
        <f t="shared" si="4"/>
        <v>4.4500000000000028</v>
      </c>
      <c r="BA12" s="190">
        <f t="shared" si="5"/>
        <v>0</v>
      </c>
      <c r="BB12" s="190">
        <f t="shared" si="6"/>
        <v>0</v>
      </c>
      <c r="BC12" s="190">
        <f t="shared" si="7"/>
        <v>0</v>
      </c>
      <c r="BD12" s="190">
        <f t="shared" si="8"/>
        <v>0</v>
      </c>
      <c r="BE12" s="190">
        <f t="shared" si="9"/>
        <v>0</v>
      </c>
      <c r="BF12" s="190">
        <f t="shared" si="10"/>
        <v>0</v>
      </c>
      <c r="BG12" s="190">
        <f t="shared" si="11"/>
        <v>0</v>
      </c>
      <c r="BH12" s="190">
        <f t="shared" si="12"/>
        <v>0</v>
      </c>
      <c r="BI12" s="190">
        <f t="shared" si="13"/>
        <v>0</v>
      </c>
      <c r="BJ12" s="190">
        <f t="shared" si="14"/>
        <v>0</v>
      </c>
      <c r="BK12" s="190">
        <f t="shared" si="15"/>
        <v>0</v>
      </c>
      <c r="BL12" s="190">
        <f t="shared" si="16"/>
        <v>0</v>
      </c>
      <c r="BM12" s="190">
        <f t="shared" si="17"/>
        <v>0</v>
      </c>
      <c r="BN12" s="190"/>
      <c r="BO12" s="170">
        <f t="shared" si="18"/>
        <v>0</v>
      </c>
      <c r="BP12" s="71">
        <f t="shared" si="19"/>
        <v>0</v>
      </c>
      <c r="BQ12" s="112">
        <f t="shared" si="20"/>
        <v>0</v>
      </c>
      <c r="BR12" s="112">
        <f t="shared" si="21"/>
        <v>0</v>
      </c>
      <c r="BS12" s="112">
        <f t="shared" si="22"/>
        <v>0</v>
      </c>
      <c r="BT12" s="112">
        <f t="shared" si="23"/>
        <v>0</v>
      </c>
      <c r="BU12" s="112">
        <f t="shared" si="24"/>
        <v>0</v>
      </c>
      <c r="BV12" s="112">
        <f t="shared" si="25"/>
        <v>0</v>
      </c>
      <c r="BW12" s="112">
        <f t="shared" si="26"/>
        <v>0</v>
      </c>
      <c r="BX12" s="112">
        <f t="shared" si="27"/>
        <v>0</v>
      </c>
      <c r="BY12" s="71">
        <f t="shared" si="28"/>
        <v>0</v>
      </c>
      <c r="BZ12" s="113">
        <f t="shared" si="29"/>
        <v>0</v>
      </c>
      <c r="CA12" s="71"/>
      <c r="CB12" s="71"/>
      <c r="CC12" s="71">
        <f t="shared" si="30"/>
        <v>0</v>
      </c>
      <c r="CD12" s="71">
        <f t="shared" si="31"/>
        <v>0</v>
      </c>
      <c r="CE12" s="71">
        <f t="shared" si="32"/>
        <v>0</v>
      </c>
      <c r="CF12" s="71">
        <f t="shared" si="33"/>
        <v>0</v>
      </c>
      <c r="CG12" s="71">
        <f t="shared" si="34"/>
        <v>0</v>
      </c>
      <c r="CH12" s="166">
        <f t="shared" si="35"/>
        <v>0</v>
      </c>
      <c r="CI12" s="263">
        <f t="shared" si="36"/>
        <v>0</v>
      </c>
      <c r="CJ12" s="79"/>
      <c r="CK12" s="79"/>
      <c r="CL12" s="78" t="s">
        <v>18</v>
      </c>
      <c r="CM12" s="74" t="e">
        <f>+'SEMANA DEL 14 AL 21 '!#REF!</f>
        <v>#REF!</v>
      </c>
      <c r="CN12" s="147" t="e">
        <f>+#REF!</f>
        <v>#REF!</v>
      </c>
      <c r="CO12" s="75" t="e">
        <f>+CM12+CN12</f>
        <v>#REF!</v>
      </c>
      <c r="CP12" s="175" t="e">
        <f>+#REF!</f>
        <v>#REF!</v>
      </c>
      <c r="CQ12" s="76" t="e">
        <f>CO12-CP12</f>
        <v>#REF!</v>
      </c>
      <c r="CR12" s="140"/>
      <c r="CS12" s="52"/>
      <c r="CT12" s="309" t="str">
        <f t="shared" si="1"/>
        <v xml:space="preserve">GUILLERMO ZAMBRANO </v>
      </c>
      <c r="CU12" s="293" t="str">
        <f>+'SEMANA DEL 2 AL 7-3-26'!CS12</f>
        <v>V-5.642.663</v>
      </c>
      <c r="CV12" s="293">
        <f t="shared" si="37"/>
        <v>0</v>
      </c>
      <c r="CW12" s="293">
        <f t="shared" si="38"/>
        <v>0</v>
      </c>
      <c r="CX12" s="293"/>
      <c r="CY12" s="293">
        <f t="shared" si="39"/>
        <v>0</v>
      </c>
      <c r="CZ12" s="307"/>
      <c r="DA12" s="307"/>
      <c r="DB12" s="304">
        <f t="shared" si="40"/>
        <v>0</v>
      </c>
      <c r="DC12" s="169">
        <f t="shared" si="41"/>
        <v>0</v>
      </c>
      <c r="DD12" s="347">
        <f t="shared" si="42"/>
        <v>0</v>
      </c>
    </row>
    <row r="13" spans="1:108" ht="18.95" customHeight="1" x14ac:dyDescent="0.25">
      <c r="A13" s="207" t="str">
        <f>+'SEMANA DEL 14 AL 21 '!A13</f>
        <v>HUGO ALMEIDA</v>
      </c>
      <c r="B13" s="284">
        <f>+'SEMANA DEL 14 AL 21 '!AX13</f>
        <v>0</v>
      </c>
      <c r="C13" s="284">
        <f>+'SEMANA DEL 14 AL 21 '!AY13</f>
        <v>0</v>
      </c>
      <c r="D13" s="284">
        <f>+'SEMANA DEL 14 AL 21 '!AZ13</f>
        <v>0</v>
      </c>
      <c r="E13" s="284">
        <f>+'SEMANA DEL 14 AL 21 '!BA13</f>
        <v>0</v>
      </c>
      <c r="F13" s="284">
        <f>+'SEMANA DEL 14 AL 21 '!BB13</f>
        <v>0</v>
      </c>
      <c r="G13" s="284">
        <f>+'SEMANA DEL 14 AL 21 '!BC13</f>
        <v>0</v>
      </c>
      <c r="H13" s="284">
        <f>+'SEMANA DEL 14 AL 21 '!BD13</f>
        <v>0</v>
      </c>
      <c r="I13" s="284">
        <f>+'SEMANA DEL 14 AL 21 '!BE13</f>
        <v>0</v>
      </c>
      <c r="J13" s="284">
        <f>+'SEMANA DEL 14 AL 21 '!BF13</f>
        <v>0</v>
      </c>
      <c r="K13" s="284">
        <f>+'SEMANA DEL 14 AL 21 '!BG13</f>
        <v>0</v>
      </c>
      <c r="L13" s="284">
        <f>+'SEMANA DEL 14 AL 21 '!BH13</f>
        <v>0</v>
      </c>
      <c r="M13" s="284">
        <f>+'SEMANA DEL 14 AL 21 '!BI13</f>
        <v>0</v>
      </c>
      <c r="N13" s="284">
        <f>+'SEMANA DEL 14 AL 21 '!BJ13</f>
        <v>0</v>
      </c>
      <c r="O13" s="284">
        <f>+'SEMANA DEL 14 AL 21 '!BK13</f>
        <v>0</v>
      </c>
      <c r="P13" s="284">
        <f>+'SEMANA DEL 14 AL 21 '!BL13</f>
        <v>0</v>
      </c>
      <c r="Q13" s="284">
        <f>+'SEMANA DEL 14 AL 21 '!BM13</f>
        <v>0</v>
      </c>
      <c r="R13" s="289"/>
      <c r="S13" s="289"/>
      <c r="T13" s="289"/>
      <c r="U13" s="289"/>
      <c r="V13" s="289"/>
      <c r="W13" s="289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>
        <f t="shared" si="2"/>
        <v>0</v>
      </c>
      <c r="AY13" s="190">
        <f t="shared" si="3"/>
        <v>0</v>
      </c>
      <c r="AZ13" s="190">
        <f t="shared" si="4"/>
        <v>0</v>
      </c>
      <c r="BA13" s="190">
        <f t="shared" si="5"/>
        <v>0</v>
      </c>
      <c r="BB13" s="190">
        <f t="shared" si="6"/>
        <v>0</v>
      </c>
      <c r="BC13" s="190">
        <f t="shared" si="7"/>
        <v>0</v>
      </c>
      <c r="BD13" s="190">
        <f t="shared" si="8"/>
        <v>0</v>
      </c>
      <c r="BE13" s="190">
        <f t="shared" si="9"/>
        <v>0</v>
      </c>
      <c r="BF13" s="190">
        <f t="shared" si="10"/>
        <v>0</v>
      </c>
      <c r="BG13" s="190">
        <f t="shared" si="11"/>
        <v>0</v>
      </c>
      <c r="BH13" s="190">
        <f t="shared" si="12"/>
        <v>0</v>
      </c>
      <c r="BI13" s="190">
        <f t="shared" si="13"/>
        <v>0</v>
      </c>
      <c r="BJ13" s="190">
        <f t="shared" si="14"/>
        <v>0</v>
      </c>
      <c r="BK13" s="190">
        <f t="shared" si="15"/>
        <v>0</v>
      </c>
      <c r="BL13" s="190">
        <f t="shared" si="16"/>
        <v>0</v>
      </c>
      <c r="BM13" s="190">
        <f t="shared" si="17"/>
        <v>0</v>
      </c>
      <c r="BN13" s="190"/>
      <c r="BO13" s="170">
        <f t="shared" si="18"/>
        <v>0</v>
      </c>
      <c r="BP13" s="71">
        <f t="shared" si="19"/>
        <v>0</v>
      </c>
      <c r="BQ13" s="112">
        <f t="shared" si="20"/>
        <v>0</v>
      </c>
      <c r="BR13" s="112">
        <f t="shared" si="21"/>
        <v>0</v>
      </c>
      <c r="BS13" s="112">
        <f t="shared" si="22"/>
        <v>0</v>
      </c>
      <c r="BT13" s="112">
        <f t="shared" si="23"/>
        <v>0</v>
      </c>
      <c r="BU13" s="112">
        <f t="shared" si="24"/>
        <v>0</v>
      </c>
      <c r="BV13" s="112">
        <f t="shared" si="25"/>
        <v>0</v>
      </c>
      <c r="BW13" s="112">
        <f t="shared" si="26"/>
        <v>0</v>
      </c>
      <c r="BX13" s="112">
        <f t="shared" si="27"/>
        <v>0</v>
      </c>
      <c r="BY13" s="71">
        <f t="shared" si="28"/>
        <v>0</v>
      </c>
      <c r="BZ13" s="113">
        <f t="shared" si="29"/>
        <v>0</v>
      </c>
      <c r="CA13" s="71"/>
      <c r="CB13" s="71"/>
      <c r="CC13" s="71">
        <f t="shared" si="30"/>
        <v>0</v>
      </c>
      <c r="CD13" s="71">
        <f t="shared" si="31"/>
        <v>0</v>
      </c>
      <c r="CE13" s="71">
        <f t="shared" si="32"/>
        <v>0</v>
      </c>
      <c r="CF13" s="71">
        <f t="shared" si="33"/>
        <v>0</v>
      </c>
      <c r="CG13" s="71">
        <f t="shared" si="34"/>
        <v>0</v>
      </c>
      <c r="CH13" s="166">
        <f t="shared" si="35"/>
        <v>0</v>
      </c>
      <c r="CI13" s="263">
        <f t="shared" si="36"/>
        <v>0</v>
      </c>
      <c r="CJ13" s="77"/>
      <c r="CK13" s="73"/>
      <c r="CL13" s="78"/>
      <c r="CM13" s="74"/>
      <c r="CN13" s="147"/>
      <c r="CO13" s="75"/>
      <c r="CP13" s="175"/>
      <c r="CQ13" s="76"/>
      <c r="CR13" s="140"/>
      <c r="CS13" s="52"/>
      <c r="CT13" s="309" t="str">
        <f t="shared" si="1"/>
        <v>HUGO ALMEIDA</v>
      </c>
      <c r="CU13" s="293" t="str">
        <f>+'SEMANA DEL 2 AL 7-3-26'!CS13</f>
        <v>V-8,988,550</v>
      </c>
      <c r="CV13" s="293">
        <f t="shared" si="37"/>
        <v>0</v>
      </c>
      <c r="CW13" s="293">
        <f t="shared" si="38"/>
        <v>0</v>
      </c>
      <c r="CX13" s="293"/>
      <c r="CY13" s="293">
        <f t="shared" si="39"/>
        <v>0</v>
      </c>
      <c r="CZ13" s="307"/>
      <c r="DA13" s="307"/>
      <c r="DB13" s="304">
        <f t="shared" si="40"/>
        <v>0</v>
      </c>
      <c r="DC13" s="169">
        <f t="shared" si="41"/>
        <v>0</v>
      </c>
      <c r="DD13" s="347">
        <f t="shared" si="42"/>
        <v>0</v>
      </c>
    </row>
    <row r="14" spans="1:108" ht="18.95" customHeight="1" x14ac:dyDescent="0.25">
      <c r="A14" s="207" t="str">
        <f>+'SEMANA DEL 14 AL 21 '!A14</f>
        <v>HILDA SERRANO</v>
      </c>
      <c r="B14" s="284">
        <f>+'SEMANA DEL 14 AL 21 '!AX14</f>
        <v>1</v>
      </c>
      <c r="C14" s="284">
        <f>+'SEMANA DEL 14 AL 21 '!AY14</f>
        <v>1.8000000000000007</v>
      </c>
      <c r="D14" s="284">
        <f>+'SEMANA DEL 14 AL 21 '!AZ14</f>
        <v>7</v>
      </c>
      <c r="E14" s="284">
        <f>+'SEMANA DEL 14 AL 21 '!BA14</f>
        <v>1</v>
      </c>
      <c r="F14" s="284">
        <f>+'SEMANA DEL 14 AL 21 '!BB14</f>
        <v>0</v>
      </c>
      <c r="G14" s="284">
        <f>+'SEMANA DEL 14 AL 21 '!BC14</f>
        <v>0</v>
      </c>
      <c r="H14" s="284">
        <f>+'SEMANA DEL 14 AL 21 '!BD14</f>
        <v>0</v>
      </c>
      <c r="I14" s="284">
        <f>+'SEMANA DEL 14 AL 21 '!BE14</f>
        <v>0</v>
      </c>
      <c r="J14" s="284">
        <f>+'SEMANA DEL 14 AL 21 '!BF14</f>
        <v>0</v>
      </c>
      <c r="K14" s="284">
        <f>+'SEMANA DEL 14 AL 21 '!BG14</f>
        <v>0</v>
      </c>
      <c r="L14" s="284">
        <f>+'SEMANA DEL 14 AL 21 '!BH14</f>
        <v>0</v>
      </c>
      <c r="M14" s="284">
        <f>+'SEMANA DEL 14 AL 21 '!BI14</f>
        <v>0</v>
      </c>
      <c r="N14" s="284">
        <f>+'SEMANA DEL 14 AL 21 '!BJ14</f>
        <v>0</v>
      </c>
      <c r="O14" s="284">
        <f>+'SEMANA DEL 14 AL 21 '!BK14</f>
        <v>0</v>
      </c>
      <c r="P14" s="284">
        <f>+'SEMANA DEL 14 AL 21 '!BL14</f>
        <v>0</v>
      </c>
      <c r="Q14" s="284">
        <f>+'SEMANA DEL 14 AL 21 '!BM14</f>
        <v>0</v>
      </c>
      <c r="R14" s="289"/>
      <c r="S14" s="289"/>
      <c r="T14" s="289"/>
      <c r="U14" s="289"/>
      <c r="V14" s="289"/>
      <c r="W14" s="289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289"/>
      <c r="AI14" s="289"/>
      <c r="AJ14" s="289"/>
      <c r="AK14" s="289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>
        <f t="shared" si="2"/>
        <v>1</v>
      </c>
      <c r="AY14" s="190">
        <f t="shared" si="3"/>
        <v>1.8000000000000007</v>
      </c>
      <c r="AZ14" s="190">
        <f t="shared" si="4"/>
        <v>7</v>
      </c>
      <c r="BA14" s="190">
        <f t="shared" si="5"/>
        <v>1</v>
      </c>
      <c r="BB14" s="190">
        <f t="shared" si="6"/>
        <v>0</v>
      </c>
      <c r="BC14" s="190">
        <f t="shared" si="7"/>
        <v>0</v>
      </c>
      <c r="BD14" s="190">
        <f t="shared" si="8"/>
        <v>0</v>
      </c>
      <c r="BE14" s="190">
        <f t="shared" si="9"/>
        <v>0</v>
      </c>
      <c r="BF14" s="190">
        <f t="shared" si="10"/>
        <v>0</v>
      </c>
      <c r="BG14" s="190">
        <f t="shared" si="11"/>
        <v>0</v>
      </c>
      <c r="BH14" s="190">
        <f t="shared" si="12"/>
        <v>0</v>
      </c>
      <c r="BI14" s="190">
        <f t="shared" si="13"/>
        <v>0</v>
      </c>
      <c r="BJ14" s="190">
        <f t="shared" si="14"/>
        <v>0</v>
      </c>
      <c r="BK14" s="190">
        <f t="shared" si="15"/>
        <v>0</v>
      </c>
      <c r="BL14" s="190">
        <f t="shared" si="16"/>
        <v>0</v>
      </c>
      <c r="BM14" s="190">
        <f t="shared" si="17"/>
        <v>0</v>
      </c>
      <c r="BN14" s="190"/>
      <c r="BO14" s="170">
        <f t="shared" si="18"/>
        <v>0</v>
      </c>
      <c r="BP14" s="71">
        <f t="shared" si="19"/>
        <v>0</v>
      </c>
      <c r="BQ14" s="112">
        <f t="shared" si="20"/>
        <v>0</v>
      </c>
      <c r="BR14" s="112">
        <f t="shared" si="21"/>
        <v>0</v>
      </c>
      <c r="BS14" s="112">
        <f t="shared" si="22"/>
        <v>0</v>
      </c>
      <c r="BT14" s="112">
        <f t="shared" si="23"/>
        <v>0</v>
      </c>
      <c r="BU14" s="112">
        <f t="shared" si="24"/>
        <v>0</v>
      </c>
      <c r="BV14" s="112">
        <f t="shared" si="25"/>
        <v>0</v>
      </c>
      <c r="BW14" s="112">
        <f t="shared" si="26"/>
        <v>0</v>
      </c>
      <c r="BX14" s="112">
        <f t="shared" si="27"/>
        <v>0</v>
      </c>
      <c r="BY14" s="71">
        <f t="shared" si="28"/>
        <v>0</v>
      </c>
      <c r="BZ14" s="113">
        <f t="shared" si="29"/>
        <v>0</v>
      </c>
      <c r="CA14" s="71"/>
      <c r="CB14" s="71"/>
      <c r="CC14" s="71">
        <f t="shared" si="30"/>
        <v>0</v>
      </c>
      <c r="CD14" s="71">
        <f t="shared" si="31"/>
        <v>0</v>
      </c>
      <c r="CE14" s="71">
        <f t="shared" si="32"/>
        <v>0</v>
      </c>
      <c r="CF14" s="71">
        <f t="shared" si="33"/>
        <v>0</v>
      </c>
      <c r="CG14" s="71">
        <f t="shared" si="34"/>
        <v>0</v>
      </c>
      <c r="CH14" s="166">
        <f t="shared" si="35"/>
        <v>0</v>
      </c>
      <c r="CI14" s="263">
        <f t="shared" si="36"/>
        <v>0</v>
      </c>
      <c r="CJ14" s="77"/>
      <c r="CK14" s="73"/>
      <c r="CL14" s="78"/>
      <c r="CM14" s="74"/>
      <c r="CN14" s="147"/>
      <c r="CO14" s="75"/>
      <c r="CP14" s="175"/>
      <c r="CQ14" s="76"/>
      <c r="CR14" s="140"/>
      <c r="CS14" s="52"/>
      <c r="CT14" s="309" t="str">
        <f t="shared" si="1"/>
        <v>HILDA SERRANO</v>
      </c>
      <c r="CU14" s="293" t="str">
        <f>+'SEMANA DEL 2 AL 7-3-26'!CS14</f>
        <v>CC-60.413.802</v>
      </c>
      <c r="CV14" s="293">
        <f t="shared" si="37"/>
        <v>0</v>
      </c>
      <c r="CW14" s="293">
        <f t="shared" si="38"/>
        <v>0</v>
      </c>
      <c r="CX14" s="293"/>
      <c r="CY14" s="293">
        <f t="shared" si="39"/>
        <v>0</v>
      </c>
      <c r="CZ14" s="307"/>
      <c r="DA14" s="307"/>
      <c r="DB14" s="304">
        <f t="shared" si="40"/>
        <v>0</v>
      </c>
      <c r="DC14" s="169">
        <f t="shared" si="41"/>
        <v>0</v>
      </c>
      <c r="DD14" s="347">
        <f t="shared" si="42"/>
        <v>0</v>
      </c>
    </row>
    <row r="15" spans="1:108" ht="18.95" customHeight="1" x14ac:dyDescent="0.25">
      <c r="A15" s="207" t="str">
        <f>+'SEMANA DEL 14 AL 21 '!A15</f>
        <v xml:space="preserve">HUMBERTO LUNA </v>
      </c>
      <c r="B15" s="284">
        <f>+'SEMANA DEL 14 AL 21 '!AX15</f>
        <v>0</v>
      </c>
      <c r="C15" s="284">
        <f>+'SEMANA DEL 14 AL 21 '!AY15</f>
        <v>0</v>
      </c>
      <c r="D15" s="284">
        <f>+'SEMANA DEL 14 AL 21 '!AZ15</f>
        <v>0</v>
      </c>
      <c r="E15" s="284">
        <f>+'SEMANA DEL 14 AL 21 '!BA15</f>
        <v>0</v>
      </c>
      <c r="F15" s="284">
        <f>+'SEMANA DEL 14 AL 21 '!BB15</f>
        <v>0</v>
      </c>
      <c r="G15" s="284">
        <f>+'SEMANA DEL 14 AL 21 '!BC15</f>
        <v>0</v>
      </c>
      <c r="H15" s="284">
        <f>+'SEMANA DEL 14 AL 21 '!BD15</f>
        <v>0</v>
      </c>
      <c r="I15" s="284">
        <f>+'SEMANA DEL 14 AL 21 '!BE15</f>
        <v>0</v>
      </c>
      <c r="J15" s="284">
        <f>+'SEMANA DEL 14 AL 21 '!BF15</f>
        <v>0</v>
      </c>
      <c r="K15" s="284">
        <f>+'SEMANA DEL 14 AL 21 '!BG15</f>
        <v>0</v>
      </c>
      <c r="L15" s="284">
        <f>+'SEMANA DEL 14 AL 21 '!BH15</f>
        <v>0</v>
      </c>
      <c r="M15" s="284">
        <f>+'SEMANA DEL 14 AL 21 '!BI15</f>
        <v>0</v>
      </c>
      <c r="N15" s="284">
        <f>+'SEMANA DEL 14 AL 21 '!BJ15</f>
        <v>0</v>
      </c>
      <c r="O15" s="284">
        <f>+'SEMANA DEL 14 AL 21 '!BK15</f>
        <v>0</v>
      </c>
      <c r="P15" s="284">
        <f>+'SEMANA DEL 14 AL 21 '!BL15</f>
        <v>0</v>
      </c>
      <c r="Q15" s="284">
        <f>+'SEMANA DEL 14 AL 21 '!BM15</f>
        <v>0</v>
      </c>
      <c r="R15" s="289"/>
      <c r="S15" s="289"/>
      <c r="T15" s="289"/>
      <c r="U15" s="289"/>
      <c r="V15" s="289"/>
      <c r="W15" s="289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>
        <f t="shared" si="2"/>
        <v>0</v>
      </c>
      <c r="AY15" s="190">
        <f t="shared" si="3"/>
        <v>0</v>
      </c>
      <c r="AZ15" s="190">
        <f t="shared" si="4"/>
        <v>0</v>
      </c>
      <c r="BA15" s="190">
        <f t="shared" si="5"/>
        <v>0</v>
      </c>
      <c r="BB15" s="190">
        <f t="shared" si="6"/>
        <v>0</v>
      </c>
      <c r="BC15" s="190">
        <f t="shared" si="7"/>
        <v>0</v>
      </c>
      <c r="BD15" s="190">
        <f t="shared" si="8"/>
        <v>0</v>
      </c>
      <c r="BE15" s="190">
        <f t="shared" si="9"/>
        <v>0</v>
      </c>
      <c r="BF15" s="190">
        <f t="shared" si="10"/>
        <v>0</v>
      </c>
      <c r="BG15" s="190">
        <f t="shared" si="11"/>
        <v>0</v>
      </c>
      <c r="BH15" s="190">
        <f t="shared" si="12"/>
        <v>0</v>
      </c>
      <c r="BI15" s="190">
        <f t="shared" si="13"/>
        <v>0</v>
      </c>
      <c r="BJ15" s="190">
        <f t="shared" si="14"/>
        <v>0</v>
      </c>
      <c r="BK15" s="190">
        <f t="shared" si="15"/>
        <v>0</v>
      </c>
      <c r="BL15" s="190">
        <f t="shared" si="16"/>
        <v>0</v>
      </c>
      <c r="BM15" s="190">
        <f t="shared" si="17"/>
        <v>0</v>
      </c>
      <c r="BN15" s="190"/>
      <c r="BO15" s="170">
        <f t="shared" si="18"/>
        <v>0</v>
      </c>
      <c r="BP15" s="71">
        <f t="shared" si="19"/>
        <v>0</v>
      </c>
      <c r="BQ15" s="112">
        <f t="shared" si="20"/>
        <v>0</v>
      </c>
      <c r="BR15" s="112">
        <f t="shared" si="21"/>
        <v>0</v>
      </c>
      <c r="BS15" s="112">
        <f t="shared" si="22"/>
        <v>0</v>
      </c>
      <c r="BT15" s="112">
        <f t="shared" si="23"/>
        <v>0</v>
      </c>
      <c r="BU15" s="112">
        <f t="shared" si="24"/>
        <v>0</v>
      </c>
      <c r="BV15" s="112">
        <f t="shared" si="25"/>
        <v>0</v>
      </c>
      <c r="BW15" s="112">
        <f t="shared" si="26"/>
        <v>0</v>
      </c>
      <c r="BX15" s="112">
        <f t="shared" si="27"/>
        <v>0</v>
      </c>
      <c r="BY15" s="71">
        <f t="shared" si="28"/>
        <v>0</v>
      </c>
      <c r="BZ15" s="113">
        <f t="shared" si="29"/>
        <v>0</v>
      </c>
      <c r="CA15" s="71"/>
      <c r="CB15" s="71"/>
      <c r="CC15" s="71">
        <f t="shared" si="30"/>
        <v>0</v>
      </c>
      <c r="CD15" s="71">
        <f t="shared" si="31"/>
        <v>0</v>
      </c>
      <c r="CE15" s="71">
        <f t="shared" si="32"/>
        <v>0</v>
      </c>
      <c r="CF15" s="71">
        <f t="shared" si="33"/>
        <v>0</v>
      </c>
      <c r="CG15" s="71">
        <f t="shared" si="34"/>
        <v>0</v>
      </c>
      <c r="CH15" s="166">
        <f t="shared" si="35"/>
        <v>0</v>
      </c>
      <c r="CI15" s="263">
        <f t="shared" si="36"/>
        <v>0</v>
      </c>
      <c r="CJ15" s="77"/>
      <c r="CK15" s="73"/>
      <c r="CL15" s="78"/>
      <c r="CM15" s="74"/>
      <c r="CN15" s="147"/>
      <c r="CO15" s="75"/>
      <c r="CP15" s="175"/>
      <c r="CQ15" s="76"/>
      <c r="CR15" s="140"/>
      <c r="CS15" s="52"/>
      <c r="CT15" s="309" t="str">
        <f t="shared" si="1"/>
        <v xml:space="preserve">HUMBERTO LUNA </v>
      </c>
      <c r="CU15" s="293" t="str">
        <f>+'SEMANA DEL 2 AL 7-3-26'!CS15</f>
        <v>V-25.344.223</v>
      </c>
      <c r="CV15" s="293">
        <f t="shared" si="37"/>
        <v>0</v>
      </c>
      <c r="CW15" s="293">
        <f t="shared" si="38"/>
        <v>0</v>
      </c>
      <c r="CX15" s="293"/>
      <c r="CY15" s="293">
        <f t="shared" si="39"/>
        <v>0</v>
      </c>
      <c r="CZ15" s="307"/>
      <c r="DA15" s="307"/>
      <c r="DB15" s="304">
        <f t="shared" si="40"/>
        <v>0</v>
      </c>
      <c r="DC15" s="169">
        <f t="shared" si="41"/>
        <v>0</v>
      </c>
      <c r="DD15" s="347">
        <f t="shared" si="42"/>
        <v>0</v>
      </c>
    </row>
    <row r="16" spans="1:108" ht="18.95" customHeight="1" x14ac:dyDescent="0.25">
      <c r="A16" s="207" t="str">
        <f>+'SEMANA DEL 14 AL 21 '!A16</f>
        <v>JOSE EBLAN GIRON</v>
      </c>
      <c r="B16" s="284">
        <f>+'SEMANA DEL 14 AL 21 '!AX16</f>
        <v>0.70000000000000018</v>
      </c>
      <c r="C16" s="284">
        <f>+'SEMANA DEL 14 AL 21 '!AY16</f>
        <v>1.2599999999999998</v>
      </c>
      <c r="D16" s="284">
        <f>+'SEMANA DEL 14 AL 21 '!AZ16</f>
        <v>4.8999999999999986</v>
      </c>
      <c r="E16" s="284">
        <f>+'SEMANA DEL 14 AL 21 '!BA16</f>
        <v>1</v>
      </c>
      <c r="F16" s="284">
        <f>+'SEMANA DEL 14 AL 21 '!BB16</f>
        <v>0</v>
      </c>
      <c r="G16" s="284">
        <f>+'SEMANA DEL 14 AL 21 '!BC16</f>
        <v>0</v>
      </c>
      <c r="H16" s="284">
        <f>+'SEMANA DEL 14 AL 21 '!BD16</f>
        <v>0</v>
      </c>
      <c r="I16" s="284">
        <f>+'SEMANA DEL 14 AL 21 '!BE16</f>
        <v>1</v>
      </c>
      <c r="J16" s="284">
        <f>+'SEMANA DEL 14 AL 21 '!BF16</f>
        <v>0</v>
      </c>
      <c r="K16" s="284">
        <f>+'SEMANA DEL 14 AL 21 '!BG16</f>
        <v>0</v>
      </c>
      <c r="L16" s="284">
        <f>+'SEMANA DEL 14 AL 21 '!BH16</f>
        <v>0</v>
      </c>
      <c r="M16" s="284">
        <f>+'SEMANA DEL 14 AL 21 '!BI16</f>
        <v>0</v>
      </c>
      <c r="N16" s="284">
        <f>+'SEMANA DEL 14 AL 21 '!BJ16</f>
        <v>0</v>
      </c>
      <c r="O16" s="284">
        <f>+'SEMANA DEL 14 AL 21 '!BK16</f>
        <v>0</v>
      </c>
      <c r="P16" s="284">
        <f>+'SEMANA DEL 14 AL 21 '!BL16</f>
        <v>0</v>
      </c>
      <c r="Q16" s="284">
        <f>+'SEMANA DEL 14 AL 21 '!BM16</f>
        <v>0</v>
      </c>
      <c r="R16" s="289"/>
      <c r="S16" s="289"/>
      <c r="T16" s="289"/>
      <c r="U16" s="289"/>
      <c r="V16" s="289"/>
      <c r="W16" s="289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289"/>
      <c r="AI16" s="289"/>
      <c r="AJ16" s="289"/>
      <c r="AK16" s="289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>
        <f t="shared" si="2"/>
        <v>0.70000000000000018</v>
      </c>
      <c r="AY16" s="190">
        <f t="shared" si="3"/>
        <v>1.2599999999999998</v>
      </c>
      <c r="AZ16" s="190">
        <f t="shared" si="4"/>
        <v>4.8999999999999986</v>
      </c>
      <c r="BA16" s="190">
        <f t="shared" si="5"/>
        <v>1</v>
      </c>
      <c r="BB16" s="190">
        <f t="shared" si="6"/>
        <v>0</v>
      </c>
      <c r="BC16" s="190">
        <f t="shared" si="7"/>
        <v>0</v>
      </c>
      <c r="BD16" s="190">
        <f t="shared" si="8"/>
        <v>0</v>
      </c>
      <c r="BE16" s="190">
        <f t="shared" si="9"/>
        <v>1</v>
      </c>
      <c r="BF16" s="190">
        <f t="shared" si="10"/>
        <v>0</v>
      </c>
      <c r="BG16" s="190">
        <f t="shared" si="11"/>
        <v>0</v>
      </c>
      <c r="BH16" s="190">
        <f t="shared" si="12"/>
        <v>0</v>
      </c>
      <c r="BI16" s="190">
        <f t="shared" si="13"/>
        <v>0</v>
      </c>
      <c r="BJ16" s="190">
        <f t="shared" si="14"/>
        <v>0</v>
      </c>
      <c r="BK16" s="190">
        <f t="shared" si="15"/>
        <v>0</v>
      </c>
      <c r="BL16" s="190">
        <f t="shared" si="16"/>
        <v>0</v>
      </c>
      <c r="BM16" s="190">
        <f t="shared" si="17"/>
        <v>0</v>
      </c>
      <c r="BN16" s="190"/>
      <c r="BO16" s="170">
        <f t="shared" si="18"/>
        <v>0</v>
      </c>
      <c r="BP16" s="71">
        <f t="shared" si="19"/>
        <v>0</v>
      </c>
      <c r="BQ16" s="112">
        <f t="shared" si="20"/>
        <v>0</v>
      </c>
      <c r="BR16" s="112">
        <f t="shared" si="21"/>
        <v>0</v>
      </c>
      <c r="BS16" s="112">
        <f t="shared" si="22"/>
        <v>0</v>
      </c>
      <c r="BT16" s="112">
        <f t="shared" si="23"/>
        <v>0</v>
      </c>
      <c r="BU16" s="112">
        <f t="shared" si="24"/>
        <v>0</v>
      </c>
      <c r="BV16" s="112">
        <f t="shared" si="25"/>
        <v>0</v>
      </c>
      <c r="BW16" s="112">
        <f t="shared" si="26"/>
        <v>0</v>
      </c>
      <c r="BX16" s="112">
        <f t="shared" si="27"/>
        <v>0</v>
      </c>
      <c r="BY16" s="71">
        <f t="shared" si="28"/>
        <v>0</v>
      </c>
      <c r="BZ16" s="113">
        <f t="shared" si="29"/>
        <v>0</v>
      </c>
      <c r="CA16" s="71"/>
      <c r="CB16" s="71"/>
      <c r="CC16" s="71">
        <f t="shared" si="30"/>
        <v>0</v>
      </c>
      <c r="CD16" s="71">
        <f t="shared" si="31"/>
        <v>0</v>
      </c>
      <c r="CE16" s="71">
        <f t="shared" si="32"/>
        <v>0</v>
      </c>
      <c r="CF16" s="71">
        <f t="shared" si="33"/>
        <v>0</v>
      </c>
      <c r="CG16" s="71">
        <f t="shared" si="34"/>
        <v>0</v>
      </c>
      <c r="CH16" s="166">
        <f t="shared" si="35"/>
        <v>0</v>
      </c>
      <c r="CI16" s="263">
        <f t="shared" si="36"/>
        <v>0</v>
      </c>
      <c r="CJ16" s="77"/>
      <c r="CK16" s="73"/>
      <c r="CL16" s="78"/>
      <c r="CM16" s="74"/>
      <c r="CN16" s="147"/>
      <c r="CO16" s="75"/>
      <c r="CP16" s="175"/>
      <c r="CQ16" s="76"/>
      <c r="CR16" s="140"/>
      <c r="CS16" s="52"/>
      <c r="CT16" s="309" t="str">
        <f t="shared" si="1"/>
        <v>JOSE EBLAN GIRON</v>
      </c>
      <c r="CU16" s="293" t="str">
        <f>+'SEMANA DEL 2 AL 7-3-26'!CS16</f>
        <v>V-9.130.173</v>
      </c>
      <c r="CV16" s="293">
        <f t="shared" si="37"/>
        <v>0</v>
      </c>
      <c r="CW16" s="293">
        <f t="shared" si="38"/>
        <v>0</v>
      </c>
      <c r="CX16" s="293"/>
      <c r="CY16" s="293">
        <f t="shared" si="39"/>
        <v>0</v>
      </c>
      <c r="CZ16" s="307"/>
      <c r="DA16" s="307"/>
      <c r="DB16" s="304">
        <f t="shared" si="40"/>
        <v>0</v>
      </c>
      <c r="DC16" s="169">
        <f t="shared" si="41"/>
        <v>0</v>
      </c>
      <c r="DD16" s="347">
        <f t="shared" si="42"/>
        <v>0</v>
      </c>
    </row>
    <row r="17" spans="1:108" ht="18.95" customHeight="1" x14ac:dyDescent="0.25">
      <c r="A17" s="207" t="str">
        <f>+'SEMANA DEL 14 AL 21 '!A17</f>
        <v xml:space="preserve">JOSE JURADO </v>
      </c>
      <c r="B17" s="284">
        <f>+'SEMANA DEL 14 AL 21 '!AX17</f>
        <v>0</v>
      </c>
      <c r="C17" s="284">
        <f>+'SEMANA DEL 14 AL 21 '!AY17</f>
        <v>0</v>
      </c>
      <c r="D17" s="284">
        <f>+'SEMANA DEL 14 AL 21 '!AZ17</f>
        <v>0</v>
      </c>
      <c r="E17" s="284">
        <f>+'SEMANA DEL 14 AL 21 '!BA17</f>
        <v>0</v>
      </c>
      <c r="F17" s="284">
        <f>+'SEMANA DEL 14 AL 21 '!BB17</f>
        <v>0</v>
      </c>
      <c r="G17" s="284">
        <f>+'SEMANA DEL 14 AL 21 '!BC17</f>
        <v>0</v>
      </c>
      <c r="H17" s="284">
        <f>+'SEMANA DEL 14 AL 21 '!BD17</f>
        <v>0</v>
      </c>
      <c r="I17" s="284">
        <f>+'SEMANA DEL 14 AL 21 '!BE17</f>
        <v>0</v>
      </c>
      <c r="J17" s="284">
        <f>+'SEMANA DEL 14 AL 21 '!BF17</f>
        <v>0</v>
      </c>
      <c r="K17" s="284">
        <f>+'SEMANA DEL 14 AL 21 '!BG17</f>
        <v>0</v>
      </c>
      <c r="L17" s="284">
        <f>+'SEMANA DEL 14 AL 21 '!BH17</f>
        <v>0</v>
      </c>
      <c r="M17" s="284">
        <f>+'SEMANA DEL 14 AL 21 '!BI17</f>
        <v>0</v>
      </c>
      <c r="N17" s="284">
        <f>+'SEMANA DEL 14 AL 21 '!BJ17</f>
        <v>0</v>
      </c>
      <c r="O17" s="284">
        <f>+'SEMANA DEL 14 AL 21 '!BK17</f>
        <v>0</v>
      </c>
      <c r="P17" s="284">
        <f>+'SEMANA DEL 14 AL 21 '!BL17</f>
        <v>0</v>
      </c>
      <c r="Q17" s="284">
        <f>+'SEMANA DEL 14 AL 21 '!BM17</f>
        <v>0</v>
      </c>
      <c r="R17" s="289"/>
      <c r="S17" s="289"/>
      <c r="T17" s="289"/>
      <c r="U17" s="289"/>
      <c r="V17" s="289"/>
      <c r="W17" s="289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>
        <f t="shared" si="2"/>
        <v>0</v>
      </c>
      <c r="AY17" s="190">
        <f t="shared" si="3"/>
        <v>0</v>
      </c>
      <c r="AZ17" s="190">
        <f t="shared" si="4"/>
        <v>0</v>
      </c>
      <c r="BA17" s="190">
        <f t="shared" si="5"/>
        <v>0</v>
      </c>
      <c r="BB17" s="190">
        <f t="shared" si="6"/>
        <v>0</v>
      </c>
      <c r="BC17" s="190">
        <f t="shared" si="7"/>
        <v>0</v>
      </c>
      <c r="BD17" s="190">
        <f t="shared" si="8"/>
        <v>0</v>
      </c>
      <c r="BE17" s="190">
        <f t="shared" si="9"/>
        <v>0</v>
      </c>
      <c r="BF17" s="190">
        <f t="shared" si="10"/>
        <v>0</v>
      </c>
      <c r="BG17" s="190">
        <f t="shared" si="11"/>
        <v>0</v>
      </c>
      <c r="BH17" s="190">
        <f t="shared" si="12"/>
        <v>0</v>
      </c>
      <c r="BI17" s="190">
        <f t="shared" si="13"/>
        <v>0</v>
      </c>
      <c r="BJ17" s="190">
        <f t="shared" si="14"/>
        <v>0</v>
      </c>
      <c r="BK17" s="190">
        <f t="shared" si="15"/>
        <v>0</v>
      </c>
      <c r="BL17" s="190">
        <f t="shared" si="16"/>
        <v>0</v>
      </c>
      <c r="BM17" s="190">
        <f t="shared" si="17"/>
        <v>0</v>
      </c>
      <c r="BN17" s="190"/>
      <c r="BO17" s="170">
        <f t="shared" si="18"/>
        <v>0</v>
      </c>
      <c r="BP17" s="71">
        <f t="shared" si="19"/>
        <v>0</v>
      </c>
      <c r="BQ17" s="112">
        <f t="shared" si="20"/>
        <v>0</v>
      </c>
      <c r="BR17" s="112">
        <f t="shared" si="21"/>
        <v>0</v>
      </c>
      <c r="BS17" s="112">
        <f t="shared" si="22"/>
        <v>0</v>
      </c>
      <c r="BT17" s="112">
        <f t="shared" si="23"/>
        <v>0</v>
      </c>
      <c r="BU17" s="112">
        <f t="shared" si="24"/>
        <v>0</v>
      </c>
      <c r="BV17" s="112">
        <f t="shared" si="25"/>
        <v>0</v>
      </c>
      <c r="BW17" s="112">
        <f t="shared" si="26"/>
        <v>0</v>
      </c>
      <c r="BX17" s="112">
        <f t="shared" si="27"/>
        <v>0</v>
      </c>
      <c r="BY17" s="71">
        <f t="shared" si="28"/>
        <v>0</v>
      </c>
      <c r="BZ17" s="113">
        <f t="shared" si="29"/>
        <v>0</v>
      </c>
      <c r="CA17" s="71"/>
      <c r="CB17" s="71"/>
      <c r="CC17" s="71">
        <f t="shared" si="30"/>
        <v>0</v>
      </c>
      <c r="CD17" s="71">
        <f t="shared" si="31"/>
        <v>0</v>
      </c>
      <c r="CE17" s="71">
        <f t="shared" si="32"/>
        <v>0</v>
      </c>
      <c r="CF17" s="71">
        <f t="shared" si="33"/>
        <v>0</v>
      </c>
      <c r="CG17" s="71">
        <f t="shared" si="34"/>
        <v>0</v>
      </c>
      <c r="CH17" s="166">
        <f t="shared" si="35"/>
        <v>0</v>
      </c>
      <c r="CI17" s="263">
        <f t="shared" si="36"/>
        <v>0</v>
      </c>
      <c r="CJ17" s="77"/>
      <c r="CK17" s="73"/>
      <c r="CL17" s="78"/>
      <c r="CM17" s="74"/>
      <c r="CN17" s="147"/>
      <c r="CO17" s="75"/>
      <c r="CP17" s="175"/>
      <c r="CQ17" s="76"/>
      <c r="CR17" s="140"/>
      <c r="CS17" s="52"/>
      <c r="CT17" s="309" t="str">
        <f t="shared" si="1"/>
        <v xml:space="preserve">JOSE JURADO </v>
      </c>
      <c r="CU17" s="293" t="str">
        <f>+'SEMANA DEL 2 AL 7-3-26'!CS17</f>
        <v>V-8.986.394</v>
      </c>
      <c r="CV17" s="293">
        <f t="shared" si="37"/>
        <v>0</v>
      </c>
      <c r="CW17" s="293">
        <f t="shared" si="38"/>
        <v>0</v>
      </c>
      <c r="CX17" s="293"/>
      <c r="CY17" s="293">
        <f t="shared" si="39"/>
        <v>0</v>
      </c>
      <c r="CZ17" s="307"/>
      <c r="DA17" s="307"/>
      <c r="DB17" s="304">
        <f t="shared" si="40"/>
        <v>0</v>
      </c>
      <c r="DC17" s="169">
        <f t="shared" si="41"/>
        <v>0</v>
      </c>
      <c r="DD17" s="347">
        <f t="shared" si="42"/>
        <v>0</v>
      </c>
    </row>
    <row r="18" spans="1:108" ht="18.95" customHeight="1" x14ac:dyDescent="0.25">
      <c r="A18" s="207" t="str">
        <f>+'SEMANA DEL 14 AL 21 '!A18</f>
        <v xml:space="preserve">KARINA SILVA </v>
      </c>
      <c r="B18" s="284">
        <f>+'SEMANA DEL 14 AL 21 '!AX18</f>
        <v>0.25</v>
      </c>
      <c r="C18" s="284">
        <f>+'SEMANA DEL 14 AL 21 '!AY18</f>
        <v>0.45000000000000107</v>
      </c>
      <c r="D18" s="284">
        <f>+'SEMANA DEL 14 AL 21 '!AZ18</f>
        <v>9.1000000000000014</v>
      </c>
      <c r="E18" s="284">
        <f>+'SEMANA DEL 14 AL 21 '!BA18</f>
        <v>0</v>
      </c>
      <c r="F18" s="284">
        <f>+'SEMANA DEL 14 AL 21 '!BB18</f>
        <v>0</v>
      </c>
      <c r="G18" s="284">
        <f>+'SEMANA DEL 14 AL 21 '!BC18</f>
        <v>0</v>
      </c>
      <c r="H18" s="284">
        <f>+'SEMANA DEL 14 AL 21 '!BD18</f>
        <v>0</v>
      </c>
      <c r="I18" s="284">
        <f>+'SEMANA DEL 14 AL 21 '!BE18</f>
        <v>0</v>
      </c>
      <c r="J18" s="284">
        <f>+'SEMANA DEL 14 AL 21 '!BF18</f>
        <v>0</v>
      </c>
      <c r="K18" s="284">
        <f>+'SEMANA DEL 14 AL 21 '!BG18</f>
        <v>0</v>
      </c>
      <c r="L18" s="284">
        <f>+'SEMANA DEL 14 AL 21 '!BH18</f>
        <v>0</v>
      </c>
      <c r="M18" s="284">
        <f>+'SEMANA DEL 14 AL 21 '!BI18</f>
        <v>0</v>
      </c>
      <c r="N18" s="284">
        <f>+'SEMANA DEL 14 AL 21 '!BJ18</f>
        <v>0</v>
      </c>
      <c r="O18" s="284">
        <f>+'SEMANA DEL 14 AL 21 '!BK18</f>
        <v>0</v>
      </c>
      <c r="P18" s="284">
        <f>+'SEMANA DEL 14 AL 21 '!BL18</f>
        <v>0</v>
      </c>
      <c r="Q18" s="284">
        <f>+'SEMANA DEL 14 AL 21 '!BM18</f>
        <v>0</v>
      </c>
      <c r="R18" s="289"/>
      <c r="S18" s="289"/>
      <c r="T18" s="289"/>
      <c r="U18" s="289"/>
      <c r="V18" s="289"/>
      <c r="W18" s="289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289"/>
      <c r="AI18" s="289"/>
      <c r="AJ18" s="289"/>
      <c r="AK18" s="289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>
        <f t="shared" si="2"/>
        <v>0.25</v>
      </c>
      <c r="AY18" s="190">
        <f t="shared" si="3"/>
        <v>0.45000000000000107</v>
      </c>
      <c r="AZ18" s="190">
        <f t="shared" si="4"/>
        <v>9.1000000000000014</v>
      </c>
      <c r="BA18" s="190">
        <f t="shared" si="5"/>
        <v>0</v>
      </c>
      <c r="BB18" s="190">
        <f t="shared" si="6"/>
        <v>0</v>
      </c>
      <c r="BC18" s="190">
        <f t="shared" si="7"/>
        <v>0</v>
      </c>
      <c r="BD18" s="190">
        <f t="shared" si="8"/>
        <v>0</v>
      </c>
      <c r="BE18" s="190">
        <f t="shared" si="9"/>
        <v>0</v>
      </c>
      <c r="BF18" s="190">
        <f t="shared" si="10"/>
        <v>0</v>
      </c>
      <c r="BG18" s="190">
        <f t="shared" si="11"/>
        <v>0</v>
      </c>
      <c r="BH18" s="190">
        <f t="shared" si="12"/>
        <v>0</v>
      </c>
      <c r="BI18" s="190">
        <f t="shared" si="13"/>
        <v>0</v>
      </c>
      <c r="BJ18" s="190">
        <f t="shared" si="14"/>
        <v>0</v>
      </c>
      <c r="BK18" s="190">
        <f t="shared" si="15"/>
        <v>0</v>
      </c>
      <c r="BL18" s="190">
        <f t="shared" si="16"/>
        <v>0</v>
      </c>
      <c r="BM18" s="190">
        <f t="shared" si="17"/>
        <v>0</v>
      </c>
      <c r="BN18" s="190"/>
      <c r="BO18" s="170">
        <f t="shared" si="18"/>
        <v>0</v>
      </c>
      <c r="BP18" s="71">
        <f t="shared" si="19"/>
        <v>0</v>
      </c>
      <c r="BQ18" s="112">
        <f t="shared" si="20"/>
        <v>0</v>
      </c>
      <c r="BR18" s="112">
        <f t="shared" si="21"/>
        <v>0</v>
      </c>
      <c r="BS18" s="112">
        <f t="shared" si="22"/>
        <v>0</v>
      </c>
      <c r="BT18" s="112">
        <f t="shared" si="23"/>
        <v>0</v>
      </c>
      <c r="BU18" s="112">
        <f t="shared" si="24"/>
        <v>0</v>
      </c>
      <c r="BV18" s="112">
        <f t="shared" si="25"/>
        <v>0</v>
      </c>
      <c r="BW18" s="112">
        <f t="shared" si="26"/>
        <v>0</v>
      </c>
      <c r="BX18" s="112">
        <f t="shared" si="27"/>
        <v>0</v>
      </c>
      <c r="BY18" s="71">
        <f t="shared" si="28"/>
        <v>0</v>
      </c>
      <c r="BZ18" s="113">
        <f t="shared" si="29"/>
        <v>0</v>
      </c>
      <c r="CA18" s="71"/>
      <c r="CB18" s="71"/>
      <c r="CC18" s="71">
        <f t="shared" si="30"/>
        <v>0</v>
      </c>
      <c r="CD18" s="71">
        <f t="shared" si="31"/>
        <v>0</v>
      </c>
      <c r="CE18" s="71">
        <f t="shared" si="32"/>
        <v>0</v>
      </c>
      <c r="CF18" s="71">
        <f t="shared" si="33"/>
        <v>0</v>
      </c>
      <c r="CG18" s="71">
        <f t="shared" si="34"/>
        <v>0</v>
      </c>
      <c r="CH18" s="166">
        <f t="shared" si="35"/>
        <v>0</v>
      </c>
      <c r="CI18" s="263">
        <f t="shared" si="36"/>
        <v>0</v>
      </c>
      <c r="CJ18" s="77"/>
      <c r="CK18" s="73"/>
      <c r="CL18" s="172"/>
      <c r="CM18" s="177"/>
      <c r="CN18" s="173"/>
      <c r="CO18" s="178"/>
      <c r="CP18" s="195"/>
      <c r="CQ18" s="179"/>
      <c r="CR18" s="140"/>
      <c r="CS18" s="52"/>
      <c r="CT18" s="309" t="str">
        <f t="shared" si="1"/>
        <v xml:space="preserve">KARINA SILVA </v>
      </c>
      <c r="CU18" s="293" t="str">
        <f>+'SEMANA DEL 2 AL 7-3-26'!CS18</f>
        <v>V-17.465.799</v>
      </c>
      <c r="CV18" s="293">
        <f t="shared" si="37"/>
        <v>0</v>
      </c>
      <c r="CW18" s="293">
        <f t="shared" si="38"/>
        <v>0</v>
      </c>
      <c r="CX18" s="293"/>
      <c r="CY18" s="293">
        <f t="shared" si="39"/>
        <v>0</v>
      </c>
      <c r="CZ18" s="307"/>
      <c r="DA18" s="307"/>
      <c r="DB18" s="304">
        <f t="shared" si="40"/>
        <v>0</v>
      </c>
      <c r="DC18" s="169">
        <f t="shared" si="41"/>
        <v>0</v>
      </c>
      <c r="DD18" s="347">
        <f t="shared" si="42"/>
        <v>0</v>
      </c>
    </row>
    <row r="19" spans="1:108" ht="18.95" customHeight="1" x14ac:dyDescent="0.25">
      <c r="A19" s="207" t="str">
        <f>+'SEMANA DEL 14 AL 21 '!A19</f>
        <v>LUZ MERY ABAUNZA</v>
      </c>
      <c r="B19" s="284">
        <f>+'SEMANA DEL 14 AL 21 '!AX19</f>
        <v>0</v>
      </c>
      <c r="C19" s="284">
        <f>+'SEMANA DEL 14 AL 21 '!AY19</f>
        <v>0</v>
      </c>
      <c r="D19" s="284">
        <f>+'SEMANA DEL 14 AL 21 '!AZ19</f>
        <v>0</v>
      </c>
      <c r="E19" s="284">
        <f>+'SEMANA DEL 14 AL 21 '!BA19</f>
        <v>0</v>
      </c>
      <c r="F19" s="284">
        <f>+'SEMANA DEL 14 AL 21 '!BB19</f>
        <v>0</v>
      </c>
      <c r="G19" s="284">
        <f>+'SEMANA DEL 14 AL 21 '!BC19</f>
        <v>0</v>
      </c>
      <c r="H19" s="284">
        <f>+'SEMANA DEL 14 AL 21 '!BD19</f>
        <v>0</v>
      </c>
      <c r="I19" s="284">
        <f>+'SEMANA DEL 14 AL 21 '!BE19</f>
        <v>0</v>
      </c>
      <c r="J19" s="284">
        <f>+'SEMANA DEL 14 AL 21 '!BF19</f>
        <v>0</v>
      </c>
      <c r="K19" s="284">
        <f>+'SEMANA DEL 14 AL 21 '!BG19</f>
        <v>0</v>
      </c>
      <c r="L19" s="284">
        <f>+'SEMANA DEL 14 AL 21 '!BH19</f>
        <v>0</v>
      </c>
      <c r="M19" s="284">
        <f>+'SEMANA DEL 14 AL 21 '!BI19</f>
        <v>0</v>
      </c>
      <c r="N19" s="284">
        <f>+'SEMANA DEL 14 AL 21 '!BJ19</f>
        <v>0</v>
      </c>
      <c r="O19" s="284">
        <f>+'SEMANA DEL 14 AL 21 '!BK19</f>
        <v>0</v>
      </c>
      <c r="P19" s="284">
        <f>+'SEMANA DEL 14 AL 21 '!BL19</f>
        <v>0</v>
      </c>
      <c r="Q19" s="284">
        <f>+'SEMANA DEL 14 AL 21 '!BM19</f>
        <v>0</v>
      </c>
      <c r="R19" s="289"/>
      <c r="S19" s="289"/>
      <c r="T19" s="289"/>
      <c r="U19" s="289"/>
      <c r="V19" s="289"/>
      <c r="W19" s="289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>
        <f t="shared" si="2"/>
        <v>0</v>
      </c>
      <c r="AY19" s="190">
        <f t="shared" si="3"/>
        <v>0</v>
      </c>
      <c r="AZ19" s="190">
        <f t="shared" si="4"/>
        <v>0</v>
      </c>
      <c r="BA19" s="190">
        <f t="shared" si="5"/>
        <v>0</v>
      </c>
      <c r="BB19" s="190">
        <f t="shared" si="6"/>
        <v>0</v>
      </c>
      <c r="BC19" s="190">
        <f t="shared" si="7"/>
        <v>0</v>
      </c>
      <c r="BD19" s="190">
        <f t="shared" si="8"/>
        <v>0</v>
      </c>
      <c r="BE19" s="190">
        <f t="shared" si="9"/>
        <v>0</v>
      </c>
      <c r="BF19" s="190">
        <f t="shared" si="10"/>
        <v>0</v>
      </c>
      <c r="BG19" s="190">
        <f t="shared" si="11"/>
        <v>0</v>
      </c>
      <c r="BH19" s="190">
        <f t="shared" si="12"/>
        <v>0</v>
      </c>
      <c r="BI19" s="190">
        <f t="shared" si="13"/>
        <v>0</v>
      </c>
      <c r="BJ19" s="190">
        <f t="shared" si="14"/>
        <v>0</v>
      </c>
      <c r="BK19" s="190">
        <f t="shared" si="15"/>
        <v>0</v>
      </c>
      <c r="BL19" s="190">
        <f t="shared" si="16"/>
        <v>0</v>
      </c>
      <c r="BM19" s="190">
        <f t="shared" si="17"/>
        <v>0</v>
      </c>
      <c r="BN19" s="190"/>
      <c r="BO19" s="170">
        <f t="shared" si="18"/>
        <v>0</v>
      </c>
      <c r="BP19" s="71">
        <f t="shared" si="19"/>
        <v>0</v>
      </c>
      <c r="BQ19" s="112">
        <f t="shared" si="20"/>
        <v>0</v>
      </c>
      <c r="BR19" s="112">
        <f t="shared" si="21"/>
        <v>0</v>
      </c>
      <c r="BS19" s="112">
        <f t="shared" si="22"/>
        <v>0</v>
      </c>
      <c r="BT19" s="112">
        <f t="shared" si="23"/>
        <v>0</v>
      </c>
      <c r="BU19" s="112">
        <f t="shared" si="24"/>
        <v>0</v>
      </c>
      <c r="BV19" s="112">
        <f t="shared" si="25"/>
        <v>0</v>
      </c>
      <c r="BW19" s="112">
        <f t="shared" si="26"/>
        <v>0</v>
      </c>
      <c r="BX19" s="112">
        <f t="shared" si="27"/>
        <v>0</v>
      </c>
      <c r="BY19" s="71">
        <f t="shared" si="28"/>
        <v>0</v>
      </c>
      <c r="BZ19" s="113">
        <f t="shared" si="29"/>
        <v>0</v>
      </c>
      <c r="CA19" s="71"/>
      <c r="CB19" s="71"/>
      <c r="CC19" s="71">
        <f t="shared" si="30"/>
        <v>0</v>
      </c>
      <c r="CD19" s="71">
        <f t="shared" si="31"/>
        <v>0</v>
      </c>
      <c r="CE19" s="71">
        <f t="shared" si="32"/>
        <v>0</v>
      </c>
      <c r="CF19" s="71">
        <f t="shared" si="33"/>
        <v>0</v>
      </c>
      <c r="CG19" s="71">
        <f t="shared" si="34"/>
        <v>0</v>
      </c>
      <c r="CH19" s="166">
        <f t="shared" si="35"/>
        <v>0</v>
      </c>
      <c r="CI19" s="263">
        <f t="shared" si="36"/>
        <v>0</v>
      </c>
      <c r="CJ19" s="77"/>
      <c r="CK19" s="73"/>
      <c r="CL19" s="172"/>
      <c r="CM19" s="177"/>
      <c r="CN19" s="173"/>
      <c r="CO19" s="178"/>
      <c r="CP19" s="195"/>
      <c r="CQ19" s="179"/>
      <c r="CR19" s="140"/>
      <c r="CS19" s="52"/>
      <c r="CT19" s="309" t="str">
        <f t="shared" si="1"/>
        <v>LUZ MERY ABAUNZA</v>
      </c>
      <c r="CU19" s="293" t="str">
        <f>+'SEMANA DEL 2 AL 7-3-26'!CS19</f>
        <v>CC-60.407.054</v>
      </c>
      <c r="CV19" s="293">
        <f t="shared" si="37"/>
        <v>0</v>
      </c>
      <c r="CW19" s="293">
        <f t="shared" si="38"/>
        <v>0</v>
      </c>
      <c r="CX19" s="293"/>
      <c r="CY19" s="293">
        <f t="shared" si="39"/>
        <v>0</v>
      </c>
      <c r="CZ19" s="307"/>
      <c r="DA19" s="307"/>
      <c r="DB19" s="304">
        <f t="shared" si="40"/>
        <v>0</v>
      </c>
      <c r="DC19" s="169">
        <f t="shared" si="41"/>
        <v>0</v>
      </c>
      <c r="DD19" s="347">
        <f t="shared" si="42"/>
        <v>0</v>
      </c>
    </row>
    <row r="20" spans="1:108" ht="18.95" customHeight="1" x14ac:dyDescent="0.25">
      <c r="A20" s="207" t="str">
        <f>+'SEMANA DEL 14 AL 21 '!A20</f>
        <v>LUIS ROJAS</v>
      </c>
      <c r="B20" s="284">
        <f>+'SEMANA DEL 14 AL 21 '!AX20</f>
        <v>0</v>
      </c>
      <c r="C20" s="284">
        <f>+'SEMANA DEL 14 AL 21 '!AY20</f>
        <v>0</v>
      </c>
      <c r="D20" s="284">
        <f>+'SEMANA DEL 14 AL 21 '!AZ20</f>
        <v>0</v>
      </c>
      <c r="E20" s="284">
        <f>+'SEMANA DEL 14 AL 21 '!BA20</f>
        <v>0</v>
      </c>
      <c r="F20" s="284">
        <f>+'SEMANA DEL 14 AL 21 '!BB20</f>
        <v>0</v>
      </c>
      <c r="G20" s="284">
        <f>+'SEMANA DEL 14 AL 21 '!BC20</f>
        <v>0</v>
      </c>
      <c r="H20" s="284">
        <f>+'SEMANA DEL 14 AL 21 '!BD20</f>
        <v>0</v>
      </c>
      <c r="I20" s="284">
        <f>+'SEMANA DEL 14 AL 21 '!BE20</f>
        <v>0</v>
      </c>
      <c r="J20" s="284">
        <f>+'SEMANA DEL 14 AL 21 '!BF20</f>
        <v>0</v>
      </c>
      <c r="K20" s="284">
        <f>+'SEMANA DEL 14 AL 21 '!BG20</f>
        <v>0</v>
      </c>
      <c r="L20" s="284">
        <f>+'SEMANA DEL 14 AL 21 '!BH20</f>
        <v>0</v>
      </c>
      <c r="M20" s="284">
        <f>+'SEMANA DEL 14 AL 21 '!BI20</f>
        <v>0</v>
      </c>
      <c r="N20" s="284">
        <f>+'SEMANA DEL 14 AL 21 '!BJ20</f>
        <v>0</v>
      </c>
      <c r="O20" s="284">
        <f>+'SEMANA DEL 14 AL 21 '!BK20</f>
        <v>0</v>
      </c>
      <c r="P20" s="284">
        <f>+'SEMANA DEL 14 AL 21 '!BL20</f>
        <v>0</v>
      </c>
      <c r="Q20" s="284">
        <f>+'SEMANA DEL 14 AL 21 '!BM20</f>
        <v>0</v>
      </c>
      <c r="R20" s="289"/>
      <c r="S20" s="289"/>
      <c r="T20" s="289"/>
      <c r="U20" s="289"/>
      <c r="V20" s="289"/>
      <c r="W20" s="289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289"/>
      <c r="AI20" s="289"/>
      <c r="AJ20" s="289"/>
      <c r="AK20" s="289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>
        <f t="shared" si="2"/>
        <v>0</v>
      </c>
      <c r="AY20" s="190">
        <f t="shared" si="3"/>
        <v>0</v>
      </c>
      <c r="AZ20" s="190">
        <f t="shared" si="4"/>
        <v>0</v>
      </c>
      <c r="BA20" s="190">
        <f t="shared" si="5"/>
        <v>0</v>
      </c>
      <c r="BB20" s="190">
        <f t="shared" si="6"/>
        <v>0</v>
      </c>
      <c r="BC20" s="190">
        <f t="shared" si="7"/>
        <v>0</v>
      </c>
      <c r="BD20" s="190">
        <f t="shared" si="8"/>
        <v>0</v>
      </c>
      <c r="BE20" s="190">
        <f t="shared" si="9"/>
        <v>0</v>
      </c>
      <c r="BF20" s="190">
        <f t="shared" si="10"/>
        <v>0</v>
      </c>
      <c r="BG20" s="190">
        <f t="shared" si="11"/>
        <v>0</v>
      </c>
      <c r="BH20" s="190">
        <f t="shared" si="12"/>
        <v>0</v>
      </c>
      <c r="BI20" s="190">
        <f t="shared" si="13"/>
        <v>0</v>
      </c>
      <c r="BJ20" s="190">
        <f t="shared" si="14"/>
        <v>0</v>
      </c>
      <c r="BK20" s="190">
        <f t="shared" si="15"/>
        <v>0</v>
      </c>
      <c r="BL20" s="190">
        <f t="shared" si="16"/>
        <v>0</v>
      </c>
      <c r="BM20" s="190">
        <f t="shared" si="17"/>
        <v>0</v>
      </c>
      <c r="BN20" s="190"/>
      <c r="BO20" s="170">
        <f t="shared" si="18"/>
        <v>0</v>
      </c>
      <c r="BP20" s="71">
        <f t="shared" si="19"/>
        <v>0</v>
      </c>
      <c r="BQ20" s="112">
        <f t="shared" si="20"/>
        <v>0</v>
      </c>
      <c r="BR20" s="112">
        <f t="shared" si="21"/>
        <v>0</v>
      </c>
      <c r="BS20" s="112">
        <f t="shared" si="22"/>
        <v>0</v>
      </c>
      <c r="BT20" s="112">
        <f t="shared" si="23"/>
        <v>0</v>
      </c>
      <c r="BU20" s="112">
        <f t="shared" si="24"/>
        <v>0</v>
      </c>
      <c r="BV20" s="112">
        <f t="shared" si="25"/>
        <v>0</v>
      </c>
      <c r="BW20" s="112">
        <f t="shared" si="26"/>
        <v>0</v>
      </c>
      <c r="BX20" s="112">
        <f t="shared" si="27"/>
        <v>0</v>
      </c>
      <c r="BY20" s="71">
        <f t="shared" si="28"/>
        <v>0</v>
      </c>
      <c r="BZ20" s="113">
        <f t="shared" si="29"/>
        <v>0</v>
      </c>
      <c r="CA20" s="71"/>
      <c r="CB20" s="71"/>
      <c r="CC20" s="71">
        <f t="shared" si="30"/>
        <v>0</v>
      </c>
      <c r="CD20" s="71">
        <f t="shared" si="31"/>
        <v>0</v>
      </c>
      <c r="CE20" s="71">
        <f t="shared" si="32"/>
        <v>0</v>
      </c>
      <c r="CF20" s="71">
        <f t="shared" si="33"/>
        <v>0</v>
      </c>
      <c r="CG20" s="71">
        <f t="shared" si="34"/>
        <v>0</v>
      </c>
      <c r="CH20" s="166">
        <f t="shared" si="35"/>
        <v>0</v>
      </c>
      <c r="CI20" s="263">
        <f t="shared" si="36"/>
        <v>0</v>
      </c>
      <c r="CJ20" s="77"/>
      <c r="CK20" s="73"/>
      <c r="CL20" s="172"/>
      <c r="CM20" s="177"/>
      <c r="CN20" s="173"/>
      <c r="CO20" s="178"/>
      <c r="CP20" s="195"/>
      <c r="CQ20" s="179"/>
      <c r="CR20" s="140"/>
      <c r="CS20" s="52"/>
      <c r="CT20" s="309" t="str">
        <f t="shared" si="1"/>
        <v>LUIS ROJAS</v>
      </c>
      <c r="CU20" s="293" t="str">
        <f>+'SEMANA DEL 2 AL 7-3-26'!CS20</f>
        <v>CC.79.336.610</v>
      </c>
      <c r="CV20" s="293">
        <f t="shared" si="37"/>
        <v>0</v>
      </c>
      <c r="CW20" s="293">
        <f t="shared" si="38"/>
        <v>0</v>
      </c>
      <c r="CX20" s="293"/>
      <c r="CY20" s="293">
        <f t="shared" si="39"/>
        <v>0</v>
      </c>
      <c r="CZ20" s="307"/>
      <c r="DA20" s="307"/>
      <c r="DB20" s="304">
        <f t="shared" si="40"/>
        <v>0</v>
      </c>
      <c r="DC20" s="169">
        <f t="shared" si="41"/>
        <v>0</v>
      </c>
      <c r="DD20" s="347">
        <f t="shared" si="42"/>
        <v>0</v>
      </c>
    </row>
    <row r="21" spans="1:108" ht="18.95" customHeight="1" x14ac:dyDescent="0.25">
      <c r="A21" s="207" t="str">
        <f>+'SEMANA DEL 14 AL 21 '!A21</f>
        <v xml:space="preserve">LUIS VALDERRAMA </v>
      </c>
      <c r="B21" s="284">
        <f>+'SEMANA DEL 14 AL 21 '!AX21</f>
        <v>0</v>
      </c>
      <c r="C21" s="284">
        <f>+'SEMANA DEL 14 AL 21 '!AY21</f>
        <v>0</v>
      </c>
      <c r="D21" s="284">
        <f>+'SEMANA DEL 14 AL 21 '!AZ21</f>
        <v>0</v>
      </c>
      <c r="E21" s="284">
        <f>+'SEMANA DEL 14 AL 21 '!BA21</f>
        <v>0</v>
      </c>
      <c r="F21" s="284">
        <f>+'SEMANA DEL 14 AL 21 '!BB21</f>
        <v>0</v>
      </c>
      <c r="G21" s="284">
        <f>+'SEMANA DEL 14 AL 21 '!BC21</f>
        <v>0</v>
      </c>
      <c r="H21" s="284">
        <f>+'SEMANA DEL 14 AL 21 '!BD21</f>
        <v>0</v>
      </c>
      <c r="I21" s="284">
        <f>+'SEMANA DEL 14 AL 21 '!BE21</f>
        <v>0</v>
      </c>
      <c r="J21" s="284">
        <f>+'SEMANA DEL 14 AL 21 '!BF21</f>
        <v>0</v>
      </c>
      <c r="K21" s="284">
        <f>+'SEMANA DEL 14 AL 21 '!BG21</f>
        <v>0</v>
      </c>
      <c r="L21" s="284">
        <f>+'SEMANA DEL 14 AL 21 '!BH21</f>
        <v>0</v>
      </c>
      <c r="M21" s="284">
        <f>+'SEMANA DEL 14 AL 21 '!BI21</f>
        <v>0</v>
      </c>
      <c r="N21" s="284">
        <f>+'SEMANA DEL 14 AL 21 '!BJ21</f>
        <v>0</v>
      </c>
      <c r="O21" s="284">
        <f>+'SEMANA DEL 14 AL 21 '!BK21</f>
        <v>0</v>
      </c>
      <c r="P21" s="284">
        <f>+'SEMANA DEL 14 AL 21 '!BL21</f>
        <v>0</v>
      </c>
      <c r="Q21" s="284">
        <f>+'SEMANA DEL 14 AL 21 '!BM21</f>
        <v>0</v>
      </c>
      <c r="R21" s="289"/>
      <c r="S21" s="289"/>
      <c r="T21" s="289"/>
      <c r="U21" s="289"/>
      <c r="V21" s="289"/>
      <c r="W21" s="289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289"/>
      <c r="AI21" s="289"/>
      <c r="AJ21" s="289"/>
      <c r="AK21" s="289"/>
      <c r="AL21" s="289"/>
      <c r="AM21" s="289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>
        <f t="shared" si="2"/>
        <v>0</v>
      </c>
      <c r="AY21" s="190">
        <f t="shared" si="3"/>
        <v>0</v>
      </c>
      <c r="AZ21" s="190">
        <f t="shared" si="4"/>
        <v>0</v>
      </c>
      <c r="BA21" s="190">
        <f t="shared" si="5"/>
        <v>0</v>
      </c>
      <c r="BB21" s="190">
        <f t="shared" si="6"/>
        <v>0</v>
      </c>
      <c r="BC21" s="190">
        <f t="shared" si="7"/>
        <v>0</v>
      </c>
      <c r="BD21" s="190">
        <f t="shared" si="8"/>
        <v>0</v>
      </c>
      <c r="BE21" s="190">
        <f t="shared" si="9"/>
        <v>0</v>
      </c>
      <c r="BF21" s="190">
        <f t="shared" si="10"/>
        <v>0</v>
      </c>
      <c r="BG21" s="190">
        <f t="shared" si="11"/>
        <v>0</v>
      </c>
      <c r="BH21" s="190">
        <f t="shared" si="12"/>
        <v>0</v>
      </c>
      <c r="BI21" s="190">
        <f t="shared" si="13"/>
        <v>0</v>
      </c>
      <c r="BJ21" s="190">
        <f t="shared" si="14"/>
        <v>0</v>
      </c>
      <c r="BK21" s="190">
        <f t="shared" si="15"/>
        <v>0</v>
      </c>
      <c r="BL21" s="190">
        <f t="shared" si="16"/>
        <v>0</v>
      </c>
      <c r="BM21" s="190">
        <f t="shared" si="17"/>
        <v>0</v>
      </c>
      <c r="BN21" s="190"/>
      <c r="BO21" s="170">
        <f t="shared" si="18"/>
        <v>0</v>
      </c>
      <c r="BP21" s="71">
        <f t="shared" si="19"/>
        <v>0</v>
      </c>
      <c r="BQ21" s="112">
        <f t="shared" si="20"/>
        <v>0</v>
      </c>
      <c r="BR21" s="112">
        <f t="shared" si="21"/>
        <v>0</v>
      </c>
      <c r="BS21" s="112">
        <f t="shared" si="22"/>
        <v>0</v>
      </c>
      <c r="BT21" s="112">
        <f t="shared" si="23"/>
        <v>0</v>
      </c>
      <c r="BU21" s="112">
        <f t="shared" si="24"/>
        <v>0</v>
      </c>
      <c r="BV21" s="112">
        <f t="shared" si="25"/>
        <v>0</v>
      </c>
      <c r="BW21" s="112">
        <f t="shared" si="26"/>
        <v>0</v>
      </c>
      <c r="BX21" s="112">
        <f t="shared" si="27"/>
        <v>0</v>
      </c>
      <c r="BY21" s="71">
        <f t="shared" si="28"/>
        <v>0</v>
      </c>
      <c r="BZ21" s="113">
        <f t="shared" si="29"/>
        <v>0</v>
      </c>
      <c r="CA21" s="71"/>
      <c r="CB21" s="71"/>
      <c r="CC21" s="71">
        <f t="shared" si="30"/>
        <v>0</v>
      </c>
      <c r="CD21" s="71">
        <f t="shared" si="31"/>
        <v>0</v>
      </c>
      <c r="CE21" s="71">
        <f t="shared" si="32"/>
        <v>0</v>
      </c>
      <c r="CF21" s="71">
        <f t="shared" si="33"/>
        <v>0</v>
      </c>
      <c r="CG21" s="71">
        <f t="shared" si="34"/>
        <v>0</v>
      </c>
      <c r="CH21" s="166">
        <f t="shared" si="35"/>
        <v>0</v>
      </c>
      <c r="CI21" s="263">
        <f t="shared" si="36"/>
        <v>0</v>
      </c>
      <c r="CJ21" s="77"/>
      <c r="CK21" s="73"/>
      <c r="CL21" s="172"/>
      <c r="CM21" s="177"/>
      <c r="CN21" s="173"/>
      <c r="CO21" s="178"/>
      <c r="CP21" s="195"/>
      <c r="CQ21" s="179"/>
      <c r="CR21" s="140"/>
      <c r="CS21" s="52"/>
      <c r="CT21" s="309" t="str">
        <f t="shared" si="1"/>
        <v xml:space="preserve">LUIS VALDERRAMA </v>
      </c>
      <c r="CU21" s="293" t="str">
        <f>+'SEMANA DEL 2 AL 7-3-26'!CS21</f>
        <v>V-23.095.433</v>
      </c>
      <c r="CV21" s="293">
        <f t="shared" si="37"/>
        <v>0</v>
      </c>
      <c r="CW21" s="293">
        <f t="shared" si="38"/>
        <v>0</v>
      </c>
      <c r="CX21" s="293"/>
      <c r="CY21" s="293">
        <f t="shared" si="39"/>
        <v>0</v>
      </c>
      <c r="CZ21" s="307"/>
      <c r="DA21" s="307"/>
      <c r="DB21" s="304">
        <f t="shared" si="40"/>
        <v>0</v>
      </c>
      <c r="DC21" s="169">
        <f t="shared" si="41"/>
        <v>0</v>
      </c>
      <c r="DD21" s="347">
        <f t="shared" si="42"/>
        <v>0</v>
      </c>
    </row>
    <row r="22" spans="1:108" ht="18.95" customHeight="1" x14ac:dyDescent="0.25">
      <c r="A22" s="207" t="str">
        <f>+'SEMANA DEL 14 AL 21 '!A22</f>
        <v>LILIANA  VEGA</v>
      </c>
      <c r="B22" s="284">
        <f>+'SEMANA DEL 14 AL 21 '!AX22</f>
        <v>0</v>
      </c>
      <c r="C22" s="284">
        <f>+'SEMANA DEL 14 AL 21 '!AY22</f>
        <v>0</v>
      </c>
      <c r="D22" s="284">
        <f>+'SEMANA DEL 14 AL 21 '!AZ22</f>
        <v>0</v>
      </c>
      <c r="E22" s="284">
        <f>+'SEMANA DEL 14 AL 21 '!BA22</f>
        <v>0</v>
      </c>
      <c r="F22" s="284">
        <f>+'SEMANA DEL 14 AL 21 '!BB22</f>
        <v>0</v>
      </c>
      <c r="G22" s="284">
        <f>+'SEMANA DEL 14 AL 21 '!BC22</f>
        <v>0</v>
      </c>
      <c r="H22" s="284">
        <f>+'SEMANA DEL 14 AL 21 '!BD22</f>
        <v>0</v>
      </c>
      <c r="I22" s="284">
        <f>+'SEMANA DEL 14 AL 21 '!BE22</f>
        <v>0</v>
      </c>
      <c r="J22" s="284">
        <f>+'SEMANA DEL 14 AL 21 '!BF22</f>
        <v>0</v>
      </c>
      <c r="K22" s="284">
        <f>+'SEMANA DEL 14 AL 21 '!BG22</f>
        <v>0</v>
      </c>
      <c r="L22" s="284">
        <f>+'SEMANA DEL 14 AL 21 '!BH22</f>
        <v>0</v>
      </c>
      <c r="M22" s="284">
        <f>+'SEMANA DEL 14 AL 21 '!BI22</f>
        <v>0</v>
      </c>
      <c r="N22" s="284">
        <f>+'SEMANA DEL 14 AL 21 '!BJ22</f>
        <v>0</v>
      </c>
      <c r="O22" s="284">
        <f>+'SEMANA DEL 14 AL 21 '!BK22</f>
        <v>0</v>
      </c>
      <c r="P22" s="284">
        <f>+'SEMANA DEL 14 AL 21 '!BL22</f>
        <v>0</v>
      </c>
      <c r="Q22" s="284">
        <f>+'SEMANA DEL 14 AL 21 '!BM22</f>
        <v>0</v>
      </c>
      <c r="R22" s="289"/>
      <c r="S22" s="289"/>
      <c r="T22" s="289"/>
      <c r="U22" s="289"/>
      <c r="V22" s="289"/>
      <c r="W22" s="289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289"/>
      <c r="AI22" s="289"/>
      <c r="AJ22" s="289"/>
      <c r="AK22" s="289"/>
      <c r="AL22" s="289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>
        <f t="shared" si="2"/>
        <v>0</v>
      </c>
      <c r="AY22" s="190">
        <f t="shared" si="3"/>
        <v>0</v>
      </c>
      <c r="AZ22" s="190">
        <f t="shared" si="4"/>
        <v>0</v>
      </c>
      <c r="BA22" s="190">
        <f t="shared" si="5"/>
        <v>0</v>
      </c>
      <c r="BB22" s="190">
        <f t="shared" si="6"/>
        <v>0</v>
      </c>
      <c r="BC22" s="190">
        <f t="shared" si="7"/>
        <v>0</v>
      </c>
      <c r="BD22" s="190">
        <f t="shared" si="8"/>
        <v>0</v>
      </c>
      <c r="BE22" s="190">
        <f t="shared" si="9"/>
        <v>0</v>
      </c>
      <c r="BF22" s="190">
        <f t="shared" si="10"/>
        <v>0</v>
      </c>
      <c r="BG22" s="190">
        <f t="shared" si="11"/>
        <v>0</v>
      </c>
      <c r="BH22" s="190">
        <f t="shared" si="12"/>
        <v>0</v>
      </c>
      <c r="BI22" s="190">
        <f t="shared" si="13"/>
        <v>0</v>
      </c>
      <c r="BJ22" s="190">
        <f t="shared" si="14"/>
        <v>0</v>
      </c>
      <c r="BK22" s="190">
        <f t="shared" si="15"/>
        <v>0</v>
      </c>
      <c r="BL22" s="190">
        <f t="shared" si="16"/>
        <v>0</v>
      </c>
      <c r="BM22" s="190">
        <f t="shared" si="17"/>
        <v>0</v>
      </c>
      <c r="BN22" s="190"/>
      <c r="BO22" s="170">
        <f t="shared" si="18"/>
        <v>0</v>
      </c>
      <c r="BP22" s="71">
        <f t="shared" si="19"/>
        <v>0</v>
      </c>
      <c r="BQ22" s="112">
        <f t="shared" si="20"/>
        <v>0</v>
      </c>
      <c r="BR22" s="112">
        <f t="shared" si="21"/>
        <v>0</v>
      </c>
      <c r="BS22" s="112">
        <f t="shared" si="22"/>
        <v>0</v>
      </c>
      <c r="BT22" s="112">
        <f t="shared" si="23"/>
        <v>0</v>
      </c>
      <c r="BU22" s="112">
        <f t="shared" si="24"/>
        <v>0</v>
      </c>
      <c r="BV22" s="112">
        <f t="shared" si="25"/>
        <v>0</v>
      </c>
      <c r="BW22" s="112">
        <f t="shared" si="26"/>
        <v>0</v>
      </c>
      <c r="BX22" s="112">
        <f t="shared" si="27"/>
        <v>0</v>
      </c>
      <c r="BY22" s="71">
        <f t="shared" si="28"/>
        <v>0</v>
      </c>
      <c r="BZ22" s="113">
        <f t="shared" si="29"/>
        <v>0</v>
      </c>
      <c r="CA22" s="71"/>
      <c r="CB22" s="71"/>
      <c r="CC22" s="71">
        <f t="shared" si="30"/>
        <v>0</v>
      </c>
      <c r="CD22" s="71">
        <f t="shared" si="31"/>
        <v>0</v>
      </c>
      <c r="CE22" s="71">
        <f t="shared" si="32"/>
        <v>0</v>
      </c>
      <c r="CF22" s="71">
        <f t="shared" si="33"/>
        <v>0</v>
      </c>
      <c r="CG22" s="71">
        <f t="shared" si="34"/>
        <v>0</v>
      </c>
      <c r="CH22" s="166">
        <f t="shared" si="35"/>
        <v>0</v>
      </c>
      <c r="CI22" s="263">
        <f t="shared" si="36"/>
        <v>0</v>
      </c>
      <c r="CJ22" s="77"/>
      <c r="CK22" s="73"/>
      <c r="CL22" s="172"/>
      <c r="CM22" s="177"/>
      <c r="CN22" s="173"/>
      <c r="CO22" s="178"/>
      <c r="CP22" s="195"/>
      <c r="CQ22" s="179"/>
      <c r="CR22" s="140"/>
      <c r="CS22" s="52"/>
      <c r="CT22" s="309" t="str">
        <f t="shared" si="1"/>
        <v>LILIANA  VEGA</v>
      </c>
      <c r="CU22" s="293" t="str">
        <f>+'SEMANA DEL 2 AL 7-3-26'!CS22</f>
        <v>V-11.021.605</v>
      </c>
      <c r="CV22" s="293">
        <f t="shared" si="37"/>
        <v>0</v>
      </c>
      <c r="CW22" s="293">
        <f t="shared" si="38"/>
        <v>0</v>
      </c>
      <c r="CX22" s="293"/>
      <c r="CY22" s="293">
        <f t="shared" si="39"/>
        <v>0</v>
      </c>
      <c r="CZ22" s="307"/>
      <c r="DA22" s="307"/>
      <c r="DB22" s="304">
        <f t="shared" si="40"/>
        <v>0</v>
      </c>
      <c r="DC22" s="169">
        <f t="shared" si="41"/>
        <v>0</v>
      </c>
      <c r="DD22" s="347">
        <f t="shared" si="42"/>
        <v>0</v>
      </c>
    </row>
    <row r="23" spans="1:108" ht="18.95" customHeight="1" x14ac:dyDescent="0.25">
      <c r="A23" s="207" t="str">
        <f>+'SEMANA DEL 14 AL 21 '!A23</f>
        <v xml:space="preserve">LUIS ERNESTO ALMEIDA </v>
      </c>
      <c r="B23" s="284">
        <f>+'SEMANA DEL 14 AL 21 '!AX23</f>
        <v>0</v>
      </c>
      <c r="C23" s="284">
        <f>+'SEMANA DEL 14 AL 21 '!AY23</f>
        <v>0</v>
      </c>
      <c r="D23" s="284">
        <f>+'SEMANA DEL 14 AL 21 '!AZ23</f>
        <v>0</v>
      </c>
      <c r="E23" s="284">
        <f>+'SEMANA DEL 14 AL 21 '!BA23</f>
        <v>0</v>
      </c>
      <c r="F23" s="284">
        <f>+'SEMANA DEL 14 AL 21 '!BB23</f>
        <v>0</v>
      </c>
      <c r="G23" s="284">
        <f>+'SEMANA DEL 14 AL 21 '!BC23</f>
        <v>0</v>
      </c>
      <c r="H23" s="284">
        <f>+'SEMANA DEL 14 AL 21 '!BD23</f>
        <v>0</v>
      </c>
      <c r="I23" s="284">
        <f>+'SEMANA DEL 14 AL 21 '!BE23</f>
        <v>0</v>
      </c>
      <c r="J23" s="284">
        <f>+'SEMANA DEL 14 AL 21 '!BF23</f>
        <v>0</v>
      </c>
      <c r="K23" s="284">
        <f>+'SEMANA DEL 14 AL 21 '!BG23</f>
        <v>0</v>
      </c>
      <c r="L23" s="284">
        <f>+'SEMANA DEL 14 AL 21 '!BH23</f>
        <v>0</v>
      </c>
      <c r="M23" s="284">
        <f>+'SEMANA DEL 14 AL 21 '!BI23</f>
        <v>0</v>
      </c>
      <c r="N23" s="284">
        <f>+'SEMANA DEL 14 AL 21 '!BJ23</f>
        <v>0</v>
      </c>
      <c r="O23" s="284">
        <f>+'SEMANA DEL 14 AL 21 '!BK23</f>
        <v>0</v>
      </c>
      <c r="P23" s="284">
        <f>+'SEMANA DEL 14 AL 21 '!BL23</f>
        <v>0</v>
      </c>
      <c r="Q23" s="284">
        <f>+'SEMANA DEL 14 AL 21 '!BM23</f>
        <v>0</v>
      </c>
      <c r="R23" s="289"/>
      <c r="S23" s="289"/>
      <c r="T23" s="289"/>
      <c r="U23" s="289"/>
      <c r="V23" s="289"/>
      <c r="W23" s="289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289"/>
      <c r="AI23" s="289"/>
      <c r="AJ23" s="289"/>
      <c r="AK23" s="289"/>
      <c r="AL23" s="289"/>
      <c r="AM23" s="289"/>
      <c r="AN23" s="190"/>
      <c r="AO23" s="190"/>
      <c r="AP23" s="190"/>
      <c r="AQ23" s="190"/>
      <c r="AR23" s="190"/>
      <c r="AS23" s="190"/>
      <c r="AT23" s="190"/>
      <c r="AU23" s="190"/>
      <c r="AV23" s="190"/>
      <c r="AW23" s="190"/>
      <c r="AX23" s="190">
        <f t="shared" si="2"/>
        <v>0</v>
      </c>
      <c r="AY23" s="190">
        <f t="shared" si="3"/>
        <v>0</v>
      </c>
      <c r="AZ23" s="190">
        <f t="shared" si="4"/>
        <v>0</v>
      </c>
      <c r="BA23" s="190">
        <f t="shared" si="5"/>
        <v>0</v>
      </c>
      <c r="BB23" s="190">
        <f t="shared" si="6"/>
        <v>0</v>
      </c>
      <c r="BC23" s="190">
        <f t="shared" si="7"/>
        <v>0</v>
      </c>
      <c r="BD23" s="190">
        <f t="shared" si="8"/>
        <v>0</v>
      </c>
      <c r="BE23" s="190">
        <f t="shared" si="9"/>
        <v>0</v>
      </c>
      <c r="BF23" s="190">
        <f t="shared" si="10"/>
        <v>0</v>
      </c>
      <c r="BG23" s="190">
        <f t="shared" si="11"/>
        <v>0</v>
      </c>
      <c r="BH23" s="190">
        <f t="shared" si="12"/>
        <v>0</v>
      </c>
      <c r="BI23" s="190">
        <f t="shared" si="13"/>
        <v>0</v>
      </c>
      <c r="BJ23" s="190">
        <f t="shared" si="14"/>
        <v>0</v>
      </c>
      <c r="BK23" s="190">
        <f t="shared" si="15"/>
        <v>0</v>
      </c>
      <c r="BL23" s="190">
        <f t="shared" si="16"/>
        <v>0</v>
      </c>
      <c r="BM23" s="190">
        <f t="shared" si="17"/>
        <v>0</v>
      </c>
      <c r="BN23" s="190"/>
      <c r="BO23" s="170">
        <f t="shared" si="18"/>
        <v>0</v>
      </c>
      <c r="BP23" s="71">
        <f t="shared" si="19"/>
        <v>0</v>
      </c>
      <c r="BQ23" s="112">
        <f t="shared" si="20"/>
        <v>0</v>
      </c>
      <c r="BR23" s="112">
        <f t="shared" si="21"/>
        <v>0</v>
      </c>
      <c r="BS23" s="112">
        <f t="shared" si="22"/>
        <v>0</v>
      </c>
      <c r="BT23" s="112">
        <f t="shared" si="23"/>
        <v>0</v>
      </c>
      <c r="BU23" s="112">
        <f t="shared" si="24"/>
        <v>0</v>
      </c>
      <c r="BV23" s="112">
        <f t="shared" si="25"/>
        <v>0</v>
      </c>
      <c r="BW23" s="112">
        <f t="shared" si="26"/>
        <v>0</v>
      </c>
      <c r="BX23" s="112">
        <f t="shared" si="27"/>
        <v>0</v>
      </c>
      <c r="BY23" s="71">
        <f t="shared" si="28"/>
        <v>0</v>
      </c>
      <c r="BZ23" s="113">
        <f t="shared" si="29"/>
        <v>0</v>
      </c>
      <c r="CA23" s="71"/>
      <c r="CB23" s="71"/>
      <c r="CC23" s="71">
        <f t="shared" si="30"/>
        <v>0</v>
      </c>
      <c r="CD23" s="71">
        <f t="shared" si="31"/>
        <v>0</v>
      </c>
      <c r="CE23" s="71">
        <f t="shared" si="32"/>
        <v>0</v>
      </c>
      <c r="CF23" s="71">
        <f t="shared" si="33"/>
        <v>0</v>
      </c>
      <c r="CG23" s="71">
        <f t="shared" si="34"/>
        <v>0</v>
      </c>
      <c r="CH23" s="166">
        <f t="shared" si="35"/>
        <v>0</v>
      </c>
      <c r="CI23" s="263">
        <f t="shared" si="36"/>
        <v>0</v>
      </c>
      <c r="CJ23" s="77"/>
      <c r="CK23" s="73"/>
      <c r="CL23" s="172" t="s">
        <v>66</v>
      </c>
      <c r="CM23" s="177" t="e">
        <f>+'SEMANA DEL 14 AL 21 '!CP21</f>
        <v>#REF!</v>
      </c>
      <c r="CN23" s="173" t="e">
        <f>+#REF!</f>
        <v>#REF!</v>
      </c>
      <c r="CO23" s="178" t="e">
        <f>+CM23+CN23</f>
        <v>#REF!</v>
      </c>
      <c r="CP23" s="195" t="e">
        <f>+#REF!</f>
        <v>#REF!</v>
      </c>
      <c r="CQ23" s="179" t="e">
        <f>CO23-CP23</f>
        <v>#REF!</v>
      </c>
      <c r="CR23" s="140"/>
      <c r="CS23" s="52"/>
      <c r="CT23" s="309" t="str">
        <f t="shared" si="1"/>
        <v xml:space="preserve">LUIS ERNESTO ALMEIDA </v>
      </c>
      <c r="CU23" s="293" t="str">
        <f>+'SEMANA DEL 2 AL 7-3-26'!CS23</f>
        <v>V-13.365.579</v>
      </c>
      <c r="CV23" s="293">
        <f t="shared" si="37"/>
        <v>0</v>
      </c>
      <c r="CW23" s="293">
        <f t="shared" si="38"/>
        <v>0</v>
      </c>
      <c r="CX23" s="293"/>
      <c r="CY23" s="293">
        <f t="shared" si="39"/>
        <v>0</v>
      </c>
      <c r="CZ23" s="307"/>
      <c r="DA23" s="307"/>
      <c r="DB23" s="304">
        <f t="shared" si="40"/>
        <v>0</v>
      </c>
      <c r="DC23" s="169">
        <f t="shared" si="41"/>
        <v>0</v>
      </c>
      <c r="DD23" s="347">
        <f t="shared" si="42"/>
        <v>0</v>
      </c>
    </row>
    <row r="24" spans="1:108" ht="18.95" customHeight="1" x14ac:dyDescent="0.25">
      <c r="A24" s="207" t="str">
        <f>+'SEMANA DEL 14 AL 21 '!A24</f>
        <v xml:space="preserve">LEIDY SERRANO </v>
      </c>
      <c r="B24" s="284">
        <f>+'SEMANA DEL 14 AL 21 '!AX24</f>
        <v>0</v>
      </c>
      <c r="C24" s="284">
        <f>+'SEMANA DEL 14 AL 21 '!AY24</f>
        <v>0</v>
      </c>
      <c r="D24" s="284">
        <f>+'SEMANA DEL 14 AL 21 '!AZ24</f>
        <v>0</v>
      </c>
      <c r="E24" s="284">
        <f>+'SEMANA DEL 14 AL 21 '!BA24</f>
        <v>0</v>
      </c>
      <c r="F24" s="284">
        <f>+'SEMANA DEL 14 AL 21 '!BB24</f>
        <v>0</v>
      </c>
      <c r="G24" s="284">
        <f>+'SEMANA DEL 14 AL 21 '!BC24</f>
        <v>0</v>
      </c>
      <c r="H24" s="284">
        <f>+'SEMANA DEL 14 AL 21 '!BD24</f>
        <v>0</v>
      </c>
      <c r="I24" s="284">
        <f>+'SEMANA DEL 14 AL 21 '!BE24</f>
        <v>0</v>
      </c>
      <c r="J24" s="284">
        <f>+'SEMANA DEL 14 AL 21 '!BF24</f>
        <v>0</v>
      </c>
      <c r="K24" s="284">
        <f>+'SEMANA DEL 14 AL 21 '!BG24</f>
        <v>0</v>
      </c>
      <c r="L24" s="284">
        <f>+'SEMANA DEL 14 AL 21 '!BH24</f>
        <v>0</v>
      </c>
      <c r="M24" s="284">
        <f>+'SEMANA DEL 14 AL 21 '!BI24</f>
        <v>0</v>
      </c>
      <c r="N24" s="284">
        <f>+'SEMANA DEL 14 AL 21 '!BJ24</f>
        <v>0</v>
      </c>
      <c r="O24" s="284">
        <f>+'SEMANA DEL 14 AL 21 '!BK24</f>
        <v>0</v>
      </c>
      <c r="P24" s="284">
        <f>+'SEMANA DEL 14 AL 21 '!BL24</f>
        <v>0</v>
      </c>
      <c r="Q24" s="284">
        <f>+'SEMANA DEL 14 AL 21 '!BM24</f>
        <v>0</v>
      </c>
      <c r="R24" s="289"/>
      <c r="S24" s="289"/>
      <c r="T24" s="289"/>
      <c r="U24" s="289"/>
      <c r="V24" s="289"/>
      <c r="W24" s="289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289"/>
      <c r="AI24" s="289"/>
      <c r="AJ24" s="289"/>
      <c r="AK24" s="289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>
        <f t="shared" si="2"/>
        <v>0</v>
      </c>
      <c r="AY24" s="190">
        <f t="shared" si="3"/>
        <v>0</v>
      </c>
      <c r="AZ24" s="190">
        <f t="shared" si="4"/>
        <v>0</v>
      </c>
      <c r="BA24" s="190">
        <f t="shared" si="5"/>
        <v>0</v>
      </c>
      <c r="BB24" s="190">
        <f t="shared" si="6"/>
        <v>0</v>
      </c>
      <c r="BC24" s="190">
        <f t="shared" si="7"/>
        <v>0</v>
      </c>
      <c r="BD24" s="190">
        <f t="shared" si="8"/>
        <v>0</v>
      </c>
      <c r="BE24" s="190">
        <f t="shared" si="9"/>
        <v>0</v>
      </c>
      <c r="BF24" s="190">
        <f t="shared" si="10"/>
        <v>0</v>
      </c>
      <c r="BG24" s="190">
        <f t="shared" si="11"/>
        <v>0</v>
      </c>
      <c r="BH24" s="190">
        <f t="shared" si="12"/>
        <v>0</v>
      </c>
      <c r="BI24" s="190">
        <f t="shared" si="13"/>
        <v>0</v>
      </c>
      <c r="BJ24" s="190">
        <f t="shared" si="14"/>
        <v>0</v>
      </c>
      <c r="BK24" s="190">
        <f t="shared" si="15"/>
        <v>0</v>
      </c>
      <c r="BL24" s="190">
        <f t="shared" si="16"/>
        <v>0</v>
      </c>
      <c r="BM24" s="190">
        <f t="shared" si="17"/>
        <v>0</v>
      </c>
      <c r="BN24" s="190"/>
      <c r="BO24" s="170">
        <f t="shared" si="18"/>
        <v>0</v>
      </c>
      <c r="BP24" s="71">
        <f t="shared" si="19"/>
        <v>0</v>
      </c>
      <c r="BQ24" s="112">
        <f t="shared" si="20"/>
        <v>0</v>
      </c>
      <c r="BR24" s="112">
        <f t="shared" si="21"/>
        <v>0</v>
      </c>
      <c r="BS24" s="112">
        <f t="shared" si="22"/>
        <v>0</v>
      </c>
      <c r="BT24" s="112">
        <f t="shared" si="23"/>
        <v>0</v>
      </c>
      <c r="BU24" s="112">
        <f t="shared" si="24"/>
        <v>0</v>
      </c>
      <c r="BV24" s="112">
        <f t="shared" si="25"/>
        <v>0</v>
      </c>
      <c r="BW24" s="112">
        <f t="shared" si="26"/>
        <v>0</v>
      </c>
      <c r="BX24" s="112">
        <f t="shared" si="27"/>
        <v>0</v>
      </c>
      <c r="BY24" s="71">
        <f t="shared" si="28"/>
        <v>0</v>
      </c>
      <c r="BZ24" s="113">
        <f t="shared" si="29"/>
        <v>0</v>
      </c>
      <c r="CA24" s="71"/>
      <c r="CB24" s="71"/>
      <c r="CC24" s="71">
        <f t="shared" si="30"/>
        <v>0</v>
      </c>
      <c r="CD24" s="71">
        <f t="shared" si="31"/>
        <v>0</v>
      </c>
      <c r="CE24" s="71">
        <f t="shared" si="32"/>
        <v>0</v>
      </c>
      <c r="CF24" s="71">
        <f t="shared" si="33"/>
        <v>0</v>
      </c>
      <c r="CG24" s="71">
        <f t="shared" si="34"/>
        <v>0</v>
      </c>
      <c r="CH24" s="166">
        <f t="shared" si="35"/>
        <v>0</v>
      </c>
      <c r="CI24" s="263">
        <f t="shared" si="36"/>
        <v>0</v>
      </c>
      <c r="CJ24" s="77"/>
      <c r="CK24" s="73"/>
      <c r="CL24" s="172"/>
      <c r="CM24" s="177"/>
      <c r="CN24" s="173"/>
      <c r="CO24" s="178"/>
      <c r="CP24" s="195"/>
      <c r="CQ24" s="179"/>
      <c r="CR24" s="140"/>
      <c r="CS24" s="52"/>
      <c r="CT24" s="309" t="str">
        <f t="shared" si="1"/>
        <v xml:space="preserve">LEIDY SERRANO </v>
      </c>
      <c r="CU24" s="293" t="str">
        <f>+'SEMANA DEL 2 AL 7-3-26'!CS24</f>
        <v>V-15.958.666</v>
      </c>
      <c r="CV24" s="293">
        <f t="shared" si="37"/>
        <v>0</v>
      </c>
      <c r="CW24" s="293">
        <f t="shared" si="38"/>
        <v>0</v>
      </c>
      <c r="CX24" s="293"/>
      <c r="CY24" s="293">
        <f t="shared" si="39"/>
        <v>0</v>
      </c>
      <c r="CZ24" s="307"/>
      <c r="DA24" s="307"/>
      <c r="DB24" s="304">
        <f t="shared" si="40"/>
        <v>0</v>
      </c>
      <c r="DC24" s="169">
        <f t="shared" si="41"/>
        <v>0</v>
      </c>
      <c r="DD24" s="347">
        <f t="shared" si="42"/>
        <v>0</v>
      </c>
    </row>
    <row r="25" spans="1:108" ht="18.95" customHeight="1" x14ac:dyDescent="0.25">
      <c r="A25" s="207" t="str">
        <f>+'SEMANA DEL 14 AL 21 '!A25</f>
        <v xml:space="preserve">MAYERLIN BOLIVAR </v>
      </c>
      <c r="B25" s="284">
        <f>+'SEMANA DEL 14 AL 21 '!AX25</f>
        <v>0.30000000000000071</v>
      </c>
      <c r="C25" s="284">
        <f>+'SEMANA DEL 14 AL 21 '!AY25</f>
        <v>1.3399999999999963</v>
      </c>
      <c r="D25" s="284">
        <f>+'SEMANA DEL 14 AL 21 '!AZ25</f>
        <v>2.0999999999999801</v>
      </c>
      <c r="E25" s="284">
        <f>+'SEMANA DEL 14 AL 21 '!BA25</f>
        <v>0</v>
      </c>
      <c r="F25" s="284">
        <f>+'SEMANA DEL 14 AL 21 '!BB25</f>
        <v>0</v>
      </c>
      <c r="G25" s="284">
        <f>+'SEMANA DEL 14 AL 21 '!BC25</f>
        <v>0</v>
      </c>
      <c r="H25" s="284">
        <f>+'SEMANA DEL 14 AL 21 '!BD25</f>
        <v>0</v>
      </c>
      <c r="I25" s="284">
        <f>+'SEMANA DEL 14 AL 21 '!BE25</f>
        <v>0</v>
      </c>
      <c r="J25" s="284">
        <f>+'SEMANA DEL 14 AL 21 '!BF25</f>
        <v>0</v>
      </c>
      <c r="K25" s="284">
        <f>+'SEMANA DEL 14 AL 21 '!BG25</f>
        <v>0</v>
      </c>
      <c r="L25" s="284">
        <f>+'SEMANA DEL 14 AL 21 '!BH25</f>
        <v>0</v>
      </c>
      <c r="M25" s="284">
        <f>+'SEMANA DEL 14 AL 21 '!BI25</f>
        <v>0</v>
      </c>
      <c r="N25" s="284">
        <f>+'SEMANA DEL 14 AL 21 '!BJ25</f>
        <v>0</v>
      </c>
      <c r="O25" s="284">
        <f>+'SEMANA DEL 14 AL 21 '!BK25</f>
        <v>0</v>
      </c>
      <c r="P25" s="284">
        <f>+'SEMANA DEL 14 AL 21 '!BL25</f>
        <v>0</v>
      </c>
      <c r="Q25" s="284">
        <f>+'SEMANA DEL 14 AL 21 '!BM25</f>
        <v>0</v>
      </c>
      <c r="R25" s="289"/>
      <c r="S25" s="289"/>
      <c r="T25" s="289"/>
      <c r="U25" s="289"/>
      <c r="V25" s="289"/>
      <c r="W25" s="289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289"/>
      <c r="AI25" s="289"/>
      <c r="AJ25" s="289"/>
      <c r="AK25" s="289"/>
      <c r="AL25" s="289"/>
      <c r="AM25" s="289"/>
      <c r="AN25" s="190"/>
      <c r="AO25" s="190"/>
      <c r="AP25" s="190"/>
      <c r="AQ25" s="190"/>
      <c r="AR25" s="190"/>
      <c r="AS25" s="190"/>
      <c r="AT25" s="190"/>
      <c r="AU25" s="190"/>
      <c r="AV25" s="190"/>
      <c r="AW25" s="190"/>
      <c r="AX25" s="190">
        <f t="shared" si="2"/>
        <v>0.30000000000000071</v>
      </c>
      <c r="AY25" s="190">
        <f t="shared" si="3"/>
        <v>1.3399999999999963</v>
      </c>
      <c r="AZ25" s="190">
        <f t="shared" si="4"/>
        <v>2.0999999999999801</v>
      </c>
      <c r="BA25" s="190">
        <f t="shared" si="5"/>
        <v>0</v>
      </c>
      <c r="BB25" s="190">
        <f t="shared" si="6"/>
        <v>0</v>
      </c>
      <c r="BC25" s="190">
        <f t="shared" si="7"/>
        <v>0</v>
      </c>
      <c r="BD25" s="190">
        <f t="shared" si="8"/>
        <v>0</v>
      </c>
      <c r="BE25" s="190">
        <f t="shared" si="9"/>
        <v>0</v>
      </c>
      <c r="BF25" s="190">
        <f t="shared" si="10"/>
        <v>0</v>
      </c>
      <c r="BG25" s="190">
        <f t="shared" si="11"/>
        <v>0</v>
      </c>
      <c r="BH25" s="190">
        <f t="shared" si="12"/>
        <v>0</v>
      </c>
      <c r="BI25" s="190">
        <f t="shared" si="13"/>
        <v>0</v>
      </c>
      <c r="BJ25" s="190">
        <f t="shared" si="14"/>
        <v>0</v>
      </c>
      <c r="BK25" s="190">
        <f t="shared" si="15"/>
        <v>0</v>
      </c>
      <c r="BL25" s="190">
        <f t="shared" si="16"/>
        <v>0</v>
      </c>
      <c r="BM25" s="190">
        <f t="shared" si="17"/>
        <v>0</v>
      </c>
      <c r="BN25" s="190"/>
      <c r="BO25" s="170">
        <f t="shared" si="18"/>
        <v>0</v>
      </c>
      <c r="BP25" s="71">
        <f t="shared" si="19"/>
        <v>0</v>
      </c>
      <c r="BQ25" s="112">
        <f t="shared" si="20"/>
        <v>0</v>
      </c>
      <c r="BR25" s="112">
        <f t="shared" si="21"/>
        <v>0</v>
      </c>
      <c r="BS25" s="112">
        <f t="shared" si="22"/>
        <v>0</v>
      </c>
      <c r="BT25" s="112">
        <f t="shared" si="23"/>
        <v>0</v>
      </c>
      <c r="BU25" s="112">
        <f t="shared" si="24"/>
        <v>0</v>
      </c>
      <c r="BV25" s="112">
        <f t="shared" si="25"/>
        <v>0</v>
      </c>
      <c r="BW25" s="112">
        <f t="shared" si="26"/>
        <v>0</v>
      </c>
      <c r="BX25" s="112">
        <f t="shared" si="27"/>
        <v>0</v>
      </c>
      <c r="BY25" s="71">
        <f t="shared" si="28"/>
        <v>0</v>
      </c>
      <c r="BZ25" s="113">
        <f t="shared" si="29"/>
        <v>0</v>
      </c>
      <c r="CA25" s="71"/>
      <c r="CB25" s="71"/>
      <c r="CC25" s="71">
        <f t="shared" si="30"/>
        <v>0</v>
      </c>
      <c r="CD25" s="71">
        <f t="shared" si="31"/>
        <v>0</v>
      </c>
      <c r="CE25" s="71">
        <f t="shared" si="32"/>
        <v>0</v>
      </c>
      <c r="CF25" s="71">
        <f t="shared" si="33"/>
        <v>0</v>
      </c>
      <c r="CG25" s="71">
        <f t="shared" si="34"/>
        <v>0</v>
      </c>
      <c r="CH25" s="166">
        <f t="shared" si="35"/>
        <v>0</v>
      </c>
      <c r="CI25" s="263">
        <f t="shared" si="36"/>
        <v>0</v>
      </c>
      <c r="CJ25" s="77"/>
      <c r="CK25" s="73"/>
      <c r="CL25" s="172"/>
      <c r="CM25" s="177"/>
      <c r="CN25" s="173"/>
      <c r="CO25" s="178"/>
      <c r="CP25" s="195"/>
      <c r="CQ25" s="179"/>
      <c r="CR25" s="140"/>
      <c r="CS25" s="52"/>
      <c r="CT25" s="309" t="str">
        <f t="shared" si="1"/>
        <v xml:space="preserve">MAYERLIN BOLIVAR </v>
      </c>
      <c r="CU25" s="293" t="str">
        <f>+'SEMANA DEL 2 AL 7-3-26'!CS25</f>
        <v>V-15,774,803</v>
      </c>
      <c r="CV25" s="293">
        <f t="shared" si="37"/>
        <v>0</v>
      </c>
      <c r="CW25" s="293">
        <f t="shared" si="38"/>
        <v>0</v>
      </c>
      <c r="CX25" s="293"/>
      <c r="CY25" s="293">
        <f t="shared" si="39"/>
        <v>0</v>
      </c>
      <c r="CZ25" s="307"/>
      <c r="DA25" s="307"/>
      <c r="DB25" s="304">
        <f t="shared" si="40"/>
        <v>0</v>
      </c>
      <c r="DC25" s="169">
        <f t="shared" si="41"/>
        <v>0</v>
      </c>
      <c r="DD25" s="347">
        <f t="shared" si="42"/>
        <v>0</v>
      </c>
    </row>
    <row r="26" spans="1:108" ht="18.95" customHeight="1" x14ac:dyDescent="0.25">
      <c r="A26" s="207" t="str">
        <f>+'SEMANA DEL 14 AL 21 '!A26</f>
        <v xml:space="preserve">MARTHA SILVA </v>
      </c>
      <c r="B26" s="284">
        <f>+'SEMANA DEL 14 AL 21 '!AX26</f>
        <v>9.9999999999999645E-2</v>
      </c>
      <c r="C26" s="284">
        <f>+'SEMANA DEL 14 AL 21 '!AY26</f>
        <v>0.17999999999999972</v>
      </c>
      <c r="D26" s="284">
        <f>+'SEMANA DEL 14 AL 21 '!AZ26</f>
        <v>12.000000000000021</v>
      </c>
      <c r="E26" s="284">
        <f>+'SEMANA DEL 14 AL 21 '!BA26</f>
        <v>0</v>
      </c>
      <c r="F26" s="284">
        <f>+'SEMANA DEL 14 AL 21 '!BB26</f>
        <v>0</v>
      </c>
      <c r="G26" s="284">
        <f>+'SEMANA DEL 14 AL 21 '!BC26</f>
        <v>0</v>
      </c>
      <c r="H26" s="284">
        <f>+'SEMANA DEL 14 AL 21 '!BD26</f>
        <v>0</v>
      </c>
      <c r="I26" s="284">
        <f>+'SEMANA DEL 14 AL 21 '!BE26</f>
        <v>0</v>
      </c>
      <c r="J26" s="284">
        <f>+'SEMANA DEL 14 AL 21 '!BF26</f>
        <v>0</v>
      </c>
      <c r="K26" s="284">
        <f>+'SEMANA DEL 14 AL 21 '!BG26</f>
        <v>0</v>
      </c>
      <c r="L26" s="284">
        <f>+'SEMANA DEL 14 AL 21 '!BH26</f>
        <v>0</v>
      </c>
      <c r="M26" s="284">
        <f>+'SEMANA DEL 14 AL 21 '!BI26</f>
        <v>0</v>
      </c>
      <c r="N26" s="284">
        <f>+'SEMANA DEL 14 AL 21 '!BJ26</f>
        <v>0</v>
      </c>
      <c r="O26" s="284">
        <f>+'SEMANA DEL 14 AL 21 '!BK26</f>
        <v>0</v>
      </c>
      <c r="P26" s="284">
        <f>+'SEMANA DEL 14 AL 21 '!BL26</f>
        <v>0</v>
      </c>
      <c r="Q26" s="284">
        <f>+'SEMANA DEL 14 AL 21 '!BM26</f>
        <v>0</v>
      </c>
      <c r="R26" s="289"/>
      <c r="S26" s="289"/>
      <c r="T26" s="289"/>
      <c r="U26" s="289"/>
      <c r="V26" s="289"/>
      <c r="W26" s="289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289"/>
      <c r="AI26" s="289"/>
      <c r="AJ26" s="289"/>
      <c r="AK26" s="289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>
        <f t="shared" si="2"/>
        <v>9.9999999999999645E-2</v>
      </c>
      <c r="AY26" s="190">
        <f t="shared" si="3"/>
        <v>0.17999999999999972</v>
      </c>
      <c r="AZ26" s="190">
        <f t="shared" si="4"/>
        <v>12.000000000000021</v>
      </c>
      <c r="BA26" s="190">
        <f t="shared" si="5"/>
        <v>0</v>
      </c>
      <c r="BB26" s="190">
        <f t="shared" si="6"/>
        <v>0</v>
      </c>
      <c r="BC26" s="190">
        <f t="shared" si="7"/>
        <v>0</v>
      </c>
      <c r="BD26" s="190">
        <f t="shared" si="8"/>
        <v>0</v>
      </c>
      <c r="BE26" s="190">
        <f t="shared" si="9"/>
        <v>0</v>
      </c>
      <c r="BF26" s="190">
        <f t="shared" si="10"/>
        <v>0</v>
      </c>
      <c r="BG26" s="190">
        <f t="shared" si="11"/>
        <v>0</v>
      </c>
      <c r="BH26" s="190">
        <f t="shared" si="12"/>
        <v>0</v>
      </c>
      <c r="BI26" s="190">
        <f t="shared" si="13"/>
        <v>0</v>
      </c>
      <c r="BJ26" s="190">
        <f t="shared" si="14"/>
        <v>0</v>
      </c>
      <c r="BK26" s="190">
        <f t="shared" si="15"/>
        <v>0</v>
      </c>
      <c r="BL26" s="190">
        <f t="shared" si="16"/>
        <v>0</v>
      </c>
      <c r="BM26" s="190">
        <f t="shared" si="17"/>
        <v>0</v>
      </c>
      <c r="BN26" s="190"/>
      <c r="BO26" s="170">
        <f t="shared" si="18"/>
        <v>0</v>
      </c>
      <c r="BP26" s="71">
        <f t="shared" si="19"/>
        <v>0</v>
      </c>
      <c r="BQ26" s="112">
        <f t="shared" si="20"/>
        <v>0</v>
      </c>
      <c r="BR26" s="112">
        <f t="shared" si="21"/>
        <v>0</v>
      </c>
      <c r="BS26" s="112">
        <f t="shared" si="22"/>
        <v>0</v>
      </c>
      <c r="BT26" s="112">
        <f t="shared" si="23"/>
        <v>0</v>
      </c>
      <c r="BU26" s="112">
        <f t="shared" si="24"/>
        <v>0</v>
      </c>
      <c r="BV26" s="112">
        <f t="shared" si="25"/>
        <v>0</v>
      </c>
      <c r="BW26" s="112">
        <f t="shared" si="26"/>
        <v>0</v>
      </c>
      <c r="BX26" s="112">
        <f t="shared" si="27"/>
        <v>0</v>
      </c>
      <c r="BY26" s="71">
        <f t="shared" si="28"/>
        <v>0</v>
      </c>
      <c r="BZ26" s="113">
        <f t="shared" si="29"/>
        <v>0</v>
      </c>
      <c r="CA26" s="71"/>
      <c r="CB26" s="71"/>
      <c r="CC26" s="71">
        <f t="shared" si="30"/>
        <v>0</v>
      </c>
      <c r="CD26" s="71">
        <f t="shared" si="31"/>
        <v>0</v>
      </c>
      <c r="CE26" s="71">
        <f t="shared" si="32"/>
        <v>0</v>
      </c>
      <c r="CF26" s="71">
        <f t="shared" si="33"/>
        <v>0</v>
      </c>
      <c r="CG26" s="71">
        <f t="shared" si="34"/>
        <v>0</v>
      </c>
      <c r="CH26" s="166">
        <f t="shared" si="35"/>
        <v>0</v>
      </c>
      <c r="CI26" s="263">
        <f t="shared" si="36"/>
        <v>0</v>
      </c>
      <c r="CJ26" s="77"/>
      <c r="CK26" s="73"/>
      <c r="CL26" s="196" t="s">
        <v>113</v>
      </c>
      <c r="CM26" s="177" t="e">
        <f>+'SEMANA DEL 14 AL 21 '!CP22</f>
        <v>#REF!</v>
      </c>
      <c r="CN26" s="173" t="e">
        <f>+#REF!</f>
        <v>#REF!</v>
      </c>
      <c r="CO26" s="178" t="e">
        <f>+CM26+CN26</f>
        <v>#REF!</v>
      </c>
      <c r="CP26" s="195" t="e">
        <f>+#REF!</f>
        <v>#REF!</v>
      </c>
      <c r="CQ26" s="179" t="e">
        <f>CO26-CP26</f>
        <v>#REF!</v>
      </c>
      <c r="CR26" s="140"/>
      <c r="CS26" s="52"/>
      <c r="CT26" s="309" t="str">
        <f t="shared" si="1"/>
        <v xml:space="preserve">MARTHA SILVA </v>
      </c>
      <c r="CU26" s="293" t="str">
        <f>+'SEMANA DEL 2 AL 7-3-26'!CS26</f>
        <v>V-28,636.032</v>
      </c>
      <c r="CV26" s="293">
        <f t="shared" si="37"/>
        <v>0</v>
      </c>
      <c r="CW26" s="293">
        <f t="shared" si="38"/>
        <v>0</v>
      </c>
      <c r="CX26" s="293"/>
      <c r="CY26" s="293">
        <f t="shared" si="39"/>
        <v>0</v>
      </c>
      <c r="CZ26" s="307"/>
      <c r="DA26" s="307"/>
      <c r="DB26" s="304">
        <f t="shared" si="40"/>
        <v>0</v>
      </c>
      <c r="DC26" s="169">
        <f t="shared" si="41"/>
        <v>0</v>
      </c>
      <c r="DD26" s="347">
        <f t="shared" si="42"/>
        <v>0</v>
      </c>
    </row>
    <row r="27" spans="1:108" ht="18.95" customHeight="1" x14ac:dyDescent="0.25">
      <c r="A27" s="207" t="str">
        <f>+'SEMANA DEL 14 AL 21 '!A27</f>
        <v>MARIELA MARTINEZ</v>
      </c>
      <c r="B27" s="284">
        <f>+'SEMANA DEL 14 AL 21 '!AX27</f>
        <v>0</v>
      </c>
      <c r="C27" s="284">
        <f>+'SEMANA DEL 14 AL 21 '!AY27</f>
        <v>-3.9999999999977831E-3</v>
      </c>
      <c r="D27" s="284">
        <f>+'SEMANA DEL 14 AL 21 '!AZ27</f>
        <v>0</v>
      </c>
      <c r="E27" s="284">
        <f>+'SEMANA DEL 14 AL 21 '!BA27</f>
        <v>0</v>
      </c>
      <c r="F27" s="284">
        <f>+'SEMANA DEL 14 AL 21 '!BB27</f>
        <v>0</v>
      </c>
      <c r="G27" s="284">
        <f>+'SEMANA DEL 14 AL 21 '!BC27</f>
        <v>0</v>
      </c>
      <c r="H27" s="284">
        <f>+'SEMANA DEL 14 AL 21 '!BD27</f>
        <v>0</v>
      </c>
      <c r="I27" s="284">
        <f>+'SEMANA DEL 14 AL 21 '!BE27</f>
        <v>0</v>
      </c>
      <c r="J27" s="284">
        <f>+'SEMANA DEL 14 AL 21 '!BF27</f>
        <v>0</v>
      </c>
      <c r="K27" s="284">
        <f>+'SEMANA DEL 14 AL 21 '!BG27</f>
        <v>0</v>
      </c>
      <c r="L27" s="284">
        <f>+'SEMANA DEL 14 AL 21 '!BH27</f>
        <v>0</v>
      </c>
      <c r="M27" s="284">
        <f>+'SEMANA DEL 14 AL 21 '!BI27</f>
        <v>0</v>
      </c>
      <c r="N27" s="284">
        <f>+'SEMANA DEL 14 AL 21 '!BJ27</f>
        <v>0</v>
      </c>
      <c r="O27" s="284">
        <f>+'SEMANA DEL 14 AL 21 '!BK27</f>
        <v>0</v>
      </c>
      <c r="P27" s="284">
        <f>+'SEMANA DEL 14 AL 21 '!BL27</f>
        <v>0</v>
      </c>
      <c r="Q27" s="284">
        <f>+'SEMANA DEL 14 AL 21 '!BM27</f>
        <v>0</v>
      </c>
      <c r="R27" s="289"/>
      <c r="S27" s="289"/>
      <c r="T27" s="289"/>
      <c r="U27" s="289"/>
      <c r="V27" s="289"/>
      <c r="W27" s="289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>
        <f t="shared" si="2"/>
        <v>0</v>
      </c>
      <c r="AY27" s="190">
        <f t="shared" si="3"/>
        <v>-3.9999999999977831E-3</v>
      </c>
      <c r="AZ27" s="190">
        <f t="shared" si="4"/>
        <v>0</v>
      </c>
      <c r="BA27" s="190">
        <f t="shared" si="5"/>
        <v>0</v>
      </c>
      <c r="BB27" s="190">
        <f t="shared" si="6"/>
        <v>0</v>
      </c>
      <c r="BC27" s="190">
        <f t="shared" si="7"/>
        <v>0</v>
      </c>
      <c r="BD27" s="190">
        <f t="shared" si="8"/>
        <v>0</v>
      </c>
      <c r="BE27" s="190">
        <f t="shared" si="9"/>
        <v>0</v>
      </c>
      <c r="BF27" s="190">
        <f t="shared" si="10"/>
        <v>0</v>
      </c>
      <c r="BG27" s="190">
        <f t="shared" si="11"/>
        <v>0</v>
      </c>
      <c r="BH27" s="190">
        <f t="shared" si="12"/>
        <v>0</v>
      </c>
      <c r="BI27" s="190">
        <f t="shared" si="13"/>
        <v>0</v>
      </c>
      <c r="BJ27" s="190">
        <f t="shared" si="14"/>
        <v>0</v>
      </c>
      <c r="BK27" s="190">
        <f t="shared" si="15"/>
        <v>0</v>
      </c>
      <c r="BL27" s="190">
        <f t="shared" si="16"/>
        <v>0</v>
      </c>
      <c r="BM27" s="190">
        <f t="shared" si="17"/>
        <v>0</v>
      </c>
      <c r="BN27" s="190"/>
      <c r="BO27" s="170">
        <f t="shared" si="18"/>
        <v>0</v>
      </c>
      <c r="BP27" s="71">
        <f t="shared" si="19"/>
        <v>0</v>
      </c>
      <c r="BQ27" s="112">
        <f t="shared" si="20"/>
        <v>0</v>
      </c>
      <c r="BR27" s="112">
        <f t="shared" si="21"/>
        <v>0</v>
      </c>
      <c r="BS27" s="112">
        <f t="shared" si="22"/>
        <v>0</v>
      </c>
      <c r="BT27" s="112">
        <f t="shared" si="23"/>
        <v>0</v>
      </c>
      <c r="BU27" s="112">
        <f t="shared" si="24"/>
        <v>0</v>
      </c>
      <c r="BV27" s="112">
        <f t="shared" si="25"/>
        <v>0</v>
      </c>
      <c r="BW27" s="112">
        <f t="shared" si="26"/>
        <v>0</v>
      </c>
      <c r="BX27" s="112">
        <f t="shared" si="27"/>
        <v>0</v>
      </c>
      <c r="BY27" s="71">
        <f t="shared" si="28"/>
        <v>0</v>
      </c>
      <c r="BZ27" s="113">
        <f t="shared" si="29"/>
        <v>0</v>
      </c>
      <c r="CA27" s="71"/>
      <c r="CB27" s="71"/>
      <c r="CC27" s="71">
        <f t="shared" si="30"/>
        <v>0</v>
      </c>
      <c r="CD27" s="71">
        <f t="shared" si="31"/>
        <v>0</v>
      </c>
      <c r="CE27" s="71">
        <f t="shared" si="32"/>
        <v>0</v>
      </c>
      <c r="CF27" s="71">
        <f t="shared" si="33"/>
        <v>0</v>
      </c>
      <c r="CG27" s="71">
        <f t="shared" si="34"/>
        <v>0</v>
      </c>
      <c r="CH27" s="166">
        <f t="shared" si="35"/>
        <v>0</v>
      </c>
      <c r="CI27" s="263">
        <f t="shared" si="36"/>
        <v>0</v>
      </c>
      <c r="CJ27" s="77"/>
      <c r="CK27" s="73"/>
      <c r="CL27" s="172"/>
      <c r="CM27" s="177"/>
      <c r="CN27" s="173"/>
      <c r="CO27" s="178"/>
      <c r="CP27" s="195"/>
      <c r="CQ27" s="179"/>
      <c r="CR27" s="140"/>
      <c r="CS27" s="52"/>
      <c r="CT27" s="309" t="str">
        <f t="shared" si="1"/>
        <v>MARIELA MARTINEZ</v>
      </c>
      <c r="CU27" s="293" t="str">
        <f>+'SEMANA DEL 2 AL 7-3-26'!CS29</f>
        <v>V-22.680.548</v>
      </c>
      <c r="CV27" s="293">
        <f t="shared" si="37"/>
        <v>0</v>
      </c>
      <c r="CW27" s="293">
        <f t="shared" si="38"/>
        <v>0</v>
      </c>
      <c r="CX27" s="293"/>
      <c r="CY27" s="293">
        <f t="shared" si="39"/>
        <v>0</v>
      </c>
      <c r="CZ27" s="307"/>
      <c r="DA27" s="307"/>
      <c r="DB27" s="304">
        <f t="shared" si="40"/>
        <v>0</v>
      </c>
      <c r="DC27" s="169">
        <f t="shared" si="41"/>
        <v>0</v>
      </c>
      <c r="DD27" s="347">
        <f t="shared" si="42"/>
        <v>0</v>
      </c>
    </row>
    <row r="28" spans="1:108" ht="18.95" customHeight="1" x14ac:dyDescent="0.25">
      <c r="A28" s="207" t="str">
        <f>+'SEMANA DEL 14 AL 21 '!A28</f>
        <v xml:space="preserve">MANUEL CONTRERAS </v>
      </c>
      <c r="B28" s="284">
        <f>+'SEMANA DEL 14 AL 21 '!AX28</f>
        <v>0</v>
      </c>
      <c r="C28" s="284">
        <f>+'SEMANA DEL 14 AL 21 '!AY28</f>
        <v>-3.9999999999977831E-3</v>
      </c>
      <c r="D28" s="284">
        <f>+'SEMANA DEL 14 AL 21 '!AZ28</f>
        <v>0</v>
      </c>
      <c r="E28" s="284">
        <f>+'SEMANA DEL 14 AL 21 '!BA28</f>
        <v>0</v>
      </c>
      <c r="F28" s="284">
        <f>+'SEMANA DEL 14 AL 21 '!BB28</f>
        <v>0</v>
      </c>
      <c r="G28" s="284">
        <f>+'SEMANA DEL 14 AL 21 '!BC28</f>
        <v>0</v>
      </c>
      <c r="H28" s="284">
        <f>+'SEMANA DEL 14 AL 21 '!BD28</f>
        <v>0</v>
      </c>
      <c r="I28" s="284">
        <f>+'SEMANA DEL 14 AL 21 '!BE28</f>
        <v>0</v>
      </c>
      <c r="J28" s="284">
        <f>+'SEMANA DEL 14 AL 21 '!BF28</f>
        <v>0</v>
      </c>
      <c r="K28" s="284">
        <f>+'SEMANA DEL 14 AL 21 '!BG28</f>
        <v>0</v>
      </c>
      <c r="L28" s="284">
        <f>+'SEMANA DEL 14 AL 21 '!BH28</f>
        <v>0</v>
      </c>
      <c r="M28" s="284">
        <f>+'SEMANA DEL 14 AL 21 '!BI28</f>
        <v>0</v>
      </c>
      <c r="N28" s="284">
        <f>+'SEMANA DEL 14 AL 21 '!BJ28</f>
        <v>0</v>
      </c>
      <c r="O28" s="284">
        <f>+'SEMANA DEL 14 AL 21 '!BK28</f>
        <v>0</v>
      </c>
      <c r="P28" s="284">
        <f>+'SEMANA DEL 14 AL 21 '!BL28</f>
        <v>0</v>
      </c>
      <c r="Q28" s="284">
        <f>+'SEMANA DEL 14 AL 21 '!BM28</f>
        <v>0</v>
      </c>
      <c r="R28" s="289"/>
      <c r="S28" s="289"/>
      <c r="T28" s="289"/>
      <c r="U28" s="289"/>
      <c r="V28" s="289"/>
      <c r="W28" s="289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289"/>
      <c r="AI28" s="289"/>
      <c r="AJ28" s="289"/>
      <c r="AK28" s="289"/>
      <c r="AL28" s="289"/>
      <c r="AM28" s="289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>
        <f t="shared" si="2"/>
        <v>0</v>
      </c>
      <c r="AY28" s="190">
        <f t="shared" si="3"/>
        <v>-3.9999999999977831E-3</v>
      </c>
      <c r="AZ28" s="190">
        <f t="shared" si="4"/>
        <v>0</v>
      </c>
      <c r="BA28" s="190">
        <f t="shared" si="5"/>
        <v>0</v>
      </c>
      <c r="BB28" s="190">
        <f t="shared" si="6"/>
        <v>0</v>
      </c>
      <c r="BC28" s="190">
        <f t="shared" si="7"/>
        <v>0</v>
      </c>
      <c r="BD28" s="190">
        <f t="shared" si="8"/>
        <v>0</v>
      </c>
      <c r="BE28" s="190">
        <f t="shared" si="9"/>
        <v>0</v>
      </c>
      <c r="BF28" s="190">
        <f t="shared" si="10"/>
        <v>0</v>
      </c>
      <c r="BG28" s="190">
        <f t="shared" si="11"/>
        <v>0</v>
      </c>
      <c r="BH28" s="190">
        <f t="shared" si="12"/>
        <v>0</v>
      </c>
      <c r="BI28" s="190">
        <f t="shared" si="13"/>
        <v>0</v>
      </c>
      <c r="BJ28" s="190">
        <f t="shared" si="14"/>
        <v>0</v>
      </c>
      <c r="BK28" s="190">
        <f t="shared" si="15"/>
        <v>0</v>
      </c>
      <c r="BL28" s="190">
        <f t="shared" si="16"/>
        <v>0</v>
      </c>
      <c r="BM28" s="190">
        <f t="shared" si="17"/>
        <v>0</v>
      </c>
      <c r="BN28" s="190"/>
      <c r="BO28" s="170">
        <f t="shared" si="18"/>
        <v>0</v>
      </c>
      <c r="BP28" s="71">
        <f t="shared" si="19"/>
        <v>0</v>
      </c>
      <c r="BQ28" s="112">
        <f t="shared" si="20"/>
        <v>0</v>
      </c>
      <c r="BR28" s="112">
        <f t="shared" si="21"/>
        <v>0</v>
      </c>
      <c r="BS28" s="112">
        <f t="shared" si="22"/>
        <v>0</v>
      </c>
      <c r="BT28" s="112">
        <f t="shared" si="23"/>
        <v>0</v>
      </c>
      <c r="BU28" s="112">
        <f t="shared" si="24"/>
        <v>0</v>
      </c>
      <c r="BV28" s="112">
        <f t="shared" si="25"/>
        <v>0</v>
      </c>
      <c r="BW28" s="112">
        <f t="shared" si="26"/>
        <v>0</v>
      </c>
      <c r="BX28" s="112">
        <f t="shared" si="27"/>
        <v>0</v>
      </c>
      <c r="BY28" s="71">
        <f t="shared" si="28"/>
        <v>0</v>
      </c>
      <c r="BZ28" s="113">
        <f t="shared" si="29"/>
        <v>0</v>
      </c>
      <c r="CA28" s="71"/>
      <c r="CB28" s="71"/>
      <c r="CC28" s="71">
        <f t="shared" si="30"/>
        <v>0</v>
      </c>
      <c r="CD28" s="71">
        <f t="shared" si="31"/>
        <v>0</v>
      </c>
      <c r="CE28" s="71">
        <f t="shared" si="32"/>
        <v>0</v>
      </c>
      <c r="CF28" s="71">
        <f t="shared" si="33"/>
        <v>0</v>
      </c>
      <c r="CG28" s="71">
        <f t="shared" si="34"/>
        <v>0</v>
      </c>
      <c r="CH28" s="166">
        <f t="shared" si="35"/>
        <v>0</v>
      </c>
      <c r="CI28" s="263">
        <f t="shared" si="36"/>
        <v>0</v>
      </c>
      <c r="CJ28" s="77"/>
      <c r="CK28" s="73"/>
      <c r="CL28" s="172"/>
      <c r="CM28" s="177"/>
      <c r="CN28" s="173"/>
      <c r="CO28" s="178"/>
      <c r="CP28" s="195"/>
      <c r="CQ28" s="179"/>
      <c r="CR28" s="140"/>
      <c r="CS28" s="52"/>
      <c r="CT28" s="309" t="str">
        <f t="shared" si="1"/>
        <v xml:space="preserve">MANUEL CONTRERAS </v>
      </c>
      <c r="CU28" s="293" t="e">
        <f>+'SEMANA DEL 2 AL 7-3-26'!#REF!</f>
        <v>#REF!</v>
      </c>
      <c r="CV28" s="293">
        <f t="shared" si="37"/>
        <v>0</v>
      </c>
      <c r="CW28" s="293">
        <f t="shared" si="38"/>
        <v>0</v>
      </c>
      <c r="CX28" s="293"/>
      <c r="CY28" s="293">
        <f t="shared" si="39"/>
        <v>0</v>
      </c>
      <c r="CZ28" s="307"/>
      <c r="DA28" s="307"/>
      <c r="DB28" s="304">
        <f t="shared" si="40"/>
        <v>0</v>
      </c>
      <c r="DC28" s="169">
        <f t="shared" si="41"/>
        <v>0</v>
      </c>
      <c r="DD28" s="347">
        <f t="shared" si="42"/>
        <v>0</v>
      </c>
    </row>
    <row r="29" spans="1:108" ht="18.95" customHeight="1" x14ac:dyDescent="0.25">
      <c r="A29" s="207" t="str">
        <f>+'SEMANA DEL 14 AL 21 '!A29</f>
        <v xml:space="preserve">MARIA MEDINA </v>
      </c>
      <c r="B29" s="284">
        <f>+'SEMANA DEL 14 AL 21 '!AX29</f>
        <v>0</v>
      </c>
      <c r="C29" s="284">
        <f>+'SEMANA DEL 14 AL 21 '!AY29</f>
        <v>-3.9999999999977831E-3</v>
      </c>
      <c r="D29" s="284">
        <f>+'SEMANA DEL 14 AL 21 '!AZ29</f>
        <v>0</v>
      </c>
      <c r="E29" s="284">
        <f>+'SEMANA DEL 14 AL 21 '!BA29</f>
        <v>0</v>
      </c>
      <c r="F29" s="284">
        <f>+'SEMANA DEL 14 AL 21 '!BB29</f>
        <v>0</v>
      </c>
      <c r="G29" s="284">
        <f>+'SEMANA DEL 14 AL 21 '!BC29</f>
        <v>0</v>
      </c>
      <c r="H29" s="284">
        <f>+'SEMANA DEL 14 AL 21 '!BD29</f>
        <v>0</v>
      </c>
      <c r="I29" s="284">
        <f>+'SEMANA DEL 14 AL 21 '!BE29</f>
        <v>0</v>
      </c>
      <c r="J29" s="284">
        <f>+'SEMANA DEL 14 AL 21 '!BF29</f>
        <v>0</v>
      </c>
      <c r="K29" s="284">
        <f>+'SEMANA DEL 14 AL 21 '!BG29</f>
        <v>0</v>
      </c>
      <c r="L29" s="284">
        <f>+'SEMANA DEL 14 AL 21 '!BH29</f>
        <v>0</v>
      </c>
      <c r="M29" s="284">
        <f>+'SEMANA DEL 14 AL 21 '!BI29</f>
        <v>0</v>
      </c>
      <c r="N29" s="284">
        <f>+'SEMANA DEL 14 AL 21 '!BJ29</f>
        <v>0</v>
      </c>
      <c r="O29" s="284">
        <f>+'SEMANA DEL 14 AL 21 '!BK29</f>
        <v>0</v>
      </c>
      <c r="P29" s="284">
        <f>+'SEMANA DEL 14 AL 21 '!BL29</f>
        <v>0</v>
      </c>
      <c r="Q29" s="284">
        <f>+'SEMANA DEL 14 AL 21 '!BM29</f>
        <v>0</v>
      </c>
      <c r="R29" s="289"/>
      <c r="S29" s="289"/>
      <c r="T29" s="289"/>
      <c r="U29" s="289"/>
      <c r="V29" s="289"/>
      <c r="W29" s="289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>
        <f t="shared" si="2"/>
        <v>0</v>
      </c>
      <c r="AY29" s="190">
        <f t="shared" si="3"/>
        <v>-3.9999999999977831E-3</v>
      </c>
      <c r="AZ29" s="190">
        <f t="shared" si="4"/>
        <v>0</v>
      </c>
      <c r="BA29" s="190">
        <f t="shared" si="5"/>
        <v>0</v>
      </c>
      <c r="BB29" s="190">
        <f t="shared" si="6"/>
        <v>0</v>
      </c>
      <c r="BC29" s="190">
        <f t="shared" si="7"/>
        <v>0</v>
      </c>
      <c r="BD29" s="190">
        <f t="shared" si="8"/>
        <v>0</v>
      </c>
      <c r="BE29" s="190">
        <f t="shared" si="9"/>
        <v>0</v>
      </c>
      <c r="BF29" s="190">
        <f t="shared" si="10"/>
        <v>0</v>
      </c>
      <c r="BG29" s="190">
        <f t="shared" si="11"/>
        <v>0</v>
      </c>
      <c r="BH29" s="190">
        <f t="shared" si="12"/>
        <v>0</v>
      </c>
      <c r="BI29" s="190">
        <f t="shared" si="13"/>
        <v>0</v>
      </c>
      <c r="BJ29" s="190">
        <f t="shared" si="14"/>
        <v>0</v>
      </c>
      <c r="BK29" s="190">
        <f t="shared" si="15"/>
        <v>0</v>
      </c>
      <c r="BL29" s="190">
        <f t="shared" si="16"/>
        <v>0</v>
      </c>
      <c r="BM29" s="190">
        <f t="shared" si="17"/>
        <v>0</v>
      </c>
      <c r="BN29" s="190"/>
      <c r="BO29" s="170">
        <f t="shared" si="18"/>
        <v>0</v>
      </c>
      <c r="BP29" s="71">
        <f t="shared" si="19"/>
        <v>0</v>
      </c>
      <c r="BQ29" s="112">
        <f t="shared" si="20"/>
        <v>0</v>
      </c>
      <c r="BR29" s="112">
        <f t="shared" si="21"/>
        <v>0</v>
      </c>
      <c r="BS29" s="112">
        <f t="shared" si="22"/>
        <v>0</v>
      </c>
      <c r="BT29" s="112">
        <f t="shared" si="23"/>
        <v>0</v>
      </c>
      <c r="BU29" s="112">
        <f t="shared" si="24"/>
        <v>0</v>
      </c>
      <c r="BV29" s="112">
        <f t="shared" si="25"/>
        <v>0</v>
      </c>
      <c r="BW29" s="112">
        <f t="shared" si="26"/>
        <v>0</v>
      </c>
      <c r="BX29" s="112">
        <f t="shared" si="27"/>
        <v>0</v>
      </c>
      <c r="BY29" s="71">
        <f t="shared" si="28"/>
        <v>0</v>
      </c>
      <c r="BZ29" s="113">
        <f t="shared" si="29"/>
        <v>0</v>
      </c>
      <c r="CA29" s="71"/>
      <c r="CB29" s="71"/>
      <c r="CC29" s="71">
        <f t="shared" si="30"/>
        <v>0</v>
      </c>
      <c r="CD29" s="71">
        <f t="shared" si="31"/>
        <v>0</v>
      </c>
      <c r="CE29" s="71">
        <f t="shared" si="32"/>
        <v>0</v>
      </c>
      <c r="CF29" s="71">
        <f t="shared" si="33"/>
        <v>0</v>
      </c>
      <c r="CG29" s="71">
        <f t="shared" si="34"/>
        <v>0</v>
      </c>
      <c r="CH29" s="166">
        <f t="shared" si="35"/>
        <v>0</v>
      </c>
      <c r="CI29" s="263">
        <f t="shared" si="36"/>
        <v>0</v>
      </c>
      <c r="CJ29" s="77"/>
      <c r="CK29" s="73"/>
      <c r="CL29" s="172"/>
      <c r="CM29" s="177"/>
      <c r="CN29" s="173"/>
      <c r="CO29" s="178"/>
      <c r="CP29" s="195"/>
      <c r="CQ29" s="179"/>
      <c r="CR29" s="140"/>
      <c r="CS29" s="52"/>
      <c r="CT29" s="309" t="str">
        <f t="shared" si="1"/>
        <v xml:space="preserve">MARIA MEDINA </v>
      </c>
      <c r="CU29" s="293" t="str">
        <f>+'SEMANA DEL 2 AL 7-3-26'!CS30</f>
        <v>V-8991.028</v>
      </c>
      <c r="CV29" s="293">
        <f t="shared" si="37"/>
        <v>0</v>
      </c>
      <c r="CW29" s="293">
        <f t="shared" si="38"/>
        <v>0</v>
      </c>
      <c r="CX29" s="293"/>
      <c r="CY29" s="293">
        <f t="shared" si="39"/>
        <v>0</v>
      </c>
      <c r="CZ29" s="307"/>
      <c r="DA29" s="307"/>
      <c r="DB29" s="304">
        <f t="shared" si="40"/>
        <v>0</v>
      </c>
      <c r="DC29" s="169">
        <f t="shared" si="41"/>
        <v>0</v>
      </c>
      <c r="DD29" s="347">
        <f t="shared" si="42"/>
        <v>0</v>
      </c>
    </row>
    <row r="30" spans="1:108" ht="18.95" customHeight="1" x14ac:dyDescent="0.25">
      <c r="A30" s="207" t="str">
        <f>+'SEMANA DEL 14 AL 21 '!A30</f>
        <v xml:space="preserve">PETTER BENAVIDES </v>
      </c>
      <c r="B30" s="284">
        <f>+'SEMANA DEL 14 AL 21 '!AX30</f>
        <v>10</v>
      </c>
      <c r="C30" s="284">
        <f>+'SEMANA DEL 14 AL 21 '!AY30</f>
        <v>18</v>
      </c>
      <c r="D30" s="284">
        <f>+'SEMANA DEL 14 AL 21 '!AZ30</f>
        <v>70</v>
      </c>
      <c r="E30" s="284">
        <f>+'SEMANA DEL 14 AL 21 '!BA30</f>
        <v>8</v>
      </c>
      <c r="F30" s="284">
        <f>+'SEMANA DEL 14 AL 21 '!BB30</f>
        <v>0</v>
      </c>
      <c r="G30" s="284">
        <f>+'SEMANA DEL 14 AL 21 '!BC30</f>
        <v>0</v>
      </c>
      <c r="H30" s="284">
        <f>+'SEMANA DEL 14 AL 21 '!BD30</f>
        <v>0</v>
      </c>
      <c r="I30" s="284">
        <f>+'SEMANA DEL 14 AL 21 '!BE30</f>
        <v>2</v>
      </c>
      <c r="J30" s="284">
        <f>+'SEMANA DEL 14 AL 21 '!BF30</f>
        <v>0</v>
      </c>
      <c r="K30" s="284">
        <f>+'SEMANA DEL 14 AL 21 '!BG30</f>
        <v>0</v>
      </c>
      <c r="L30" s="284">
        <f>+'SEMANA DEL 14 AL 21 '!BH30</f>
        <v>0</v>
      </c>
      <c r="M30" s="284">
        <f>+'SEMANA DEL 14 AL 21 '!BI30</f>
        <v>0</v>
      </c>
      <c r="N30" s="284">
        <f>+'SEMANA DEL 14 AL 21 '!BJ30</f>
        <v>0</v>
      </c>
      <c r="O30" s="284">
        <f>+'SEMANA DEL 14 AL 21 '!BK30</f>
        <v>0</v>
      </c>
      <c r="P30" s="284">
        <f>+'SEMANA DEL 14 AL 21 '!BL30</f>
        <v>0</v>
      </c>
      <c r="Q30" s="284">
        <f>+'SEMANA DEL 14 AL 21 '!BM30</f>
        <v>0</v>
      </c>
      <c r="R30" s="289"/>
      <c r="S30" s="289"/>
      <c r="T30" s="289"/>
      <c r="U30" s="289"/>
      <c r="V30" s="289"/>
      <c r="W30" s="289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289"/>
      <c r="AI30" s="289"/>
      <c r="AJ30" s="289"/>
      <c r="AK30" s="289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>
        <f t="shared" si="2"/>
        <v>10</v>
      </c>
      <c r="AY30" s="190">
        <f t="shared" si="3"/>
        <v>18</v>
      </c>
      <c r="AZ30" s="190">
        <f t="shared" si="4"/>
        <v>70</v>
      </c>
      <c r="BA30" s="190">
        <f t="shared" si="5"/>
        <v>8</v>
      </c>
      <c r="BB30" s="190">
        <f t="shared" si="6"/>
        <v>0</v>
      </c>
      <c r="BC30" s="190">
        <f t="shared" si="7"/>
        <v>0</v>
      </c>
      <c r="BD30" s="190">
        <f t="shared" si="8"/>
        <v>0</v>
      </c>
      <c r="BE30" s="190">
        <f t="shared" si="9"/>
        <v>2</v>
      </c>
      <c r="BF30" s="190">
        <f t="shared" si="10"/>
        <v>0</v>
      </c>
      <c r="BG30" s="190">
        <f t="shared" si="11"/>
        <v>0</v>
      </c>
      <c r="BH30" s="190">
        <f t="shared" si="12"/>
        <v>0</v>
      </c>
      <c r="BI30" s="190">
        <f t="shared" si="13"/>
        <v>0</v>
      </c>
      <c r="BJ30" s="190">
        <f t="shared" si="14"/>
        <v>0</v>
      </c>
      <c r="BK30" s="190">
        <f t="shared" si="15"/>
        <v>0</v>
      </c>
      <c r="BL30" s="190">
        <f t="shared" si="16"/>
        <v>0</v>
      </c>
      <c r="BM30" s="190">
        <f t="shared" si="17"/>
        <v>0</v>
      </c>
      <c r="BN30" s="190"/>
      <c r="BO30" s="170">
        <f t="shared" si="18"/>
        <v>0</v>
      </c>
      <c r="BP30" s="71">
        <f t="shared" si="19"/>
        <v>0</v>
      </c>
      <c r="BQ30" s="112">
        <f t="shared" si="20"/>
        <v>0</v>
      </c>
      <c r="BR30" s="112">
        <f t="shared" si="21"/>
        <v>0</v>
      </c>
      <c r="BS30" s="112">
        <f t="shared" si="22"/>
        <v>0</v>
      </c>
      <c r="BT30" s="112">
        <f t="shared" si="23"/>
        <v>0</v>
      </c>
      <c r="BU30" s="112">
        <f t="shared" si="24"/>
        <v>0</v>
      </c>
      <c r="BV30" s="112">
        <f t="shared" si="25"/>
        <v>0</v>
      </c>
      <c r="BW30" s="112">
        <f t="shared" si="26"/>
        <v>0</v>
      </c>
      <c r="BX30" s="112">
        <f t="shared" si="27"/>
        <v>0</v>
      </c>
      <c r="BY30" s="71">
        <f t="shared" si="28"/>
        <v>0</v>
      </c>
      <c r="BZ30" s="113">
        <f t="shared" si="29"/>
        <v>0</v>
      </c>
      <c r="CA30" s="71"/>
      <c r="CB30" s="71"/>
      <c r="CC30" s="71">
        <f t="shared" si="30"/>
        <v>0</v>
      </c>
      <c r="CD30" s="71">
        <f t="shared" si="31"/>
        <v>0</v>
      </c>
      <c r="CE30" s="71">
        <f t="shared" si="32"/>
        <v>0</v>
      </c>
      <c r="CF30" s="71">
        <f t="shared" si="33"/>
        <v>0</v>
      </c>
      <c r="CG30" s="71">
        <f t="shared" si="34"/>
        <v>0</v>
      </c>
      <c r="CH30" s="166">
        <f t="shared" si="35"/>
        <v>0</v>
      </c>
      <c r="CI30" s="263">
        <f t="shared" si="36"/>
        <v>0</v>
      </c>
      <c r="CJ30" s="77"/>
      <c r="CK30" s="73"/>
      <c r="CL30" s="172"/>
      <c r="CM30" s="177"/>
      <c r="CN30" s="173"/>
      <c r="CO30" s="178"/>
      <c r="CP30" s="195"/>
      <c r="CQ30" s="179"/>
      <c r="CR30" s="140"/>
      <c r="CS30" s="52"/>
      <c r="CT30" s="309" t="str">
        <f t="shared" si="1"/>
        <v xml:space="preserve">PETTER BENAVIDES </v>
      </c>
      <c r="CU30" s="293" t="str">
        <f>+'SEMANA DEL 2 AL 7-3-26'!CS31</f>
        <v>V-5.327.891</v>
      </c>
      <c r="CV30" s="293">
        <f t="shared" si="37"/>
        <v>0</v>
      </c>
      <c r="CW30" s="293">
        <f t="shared" si="38"/>
        <v>0</v>
      </c>
      <c r="CX30" s="293"/>
      <c r="CY30" s="293">
        <f t="shared" si="39"/>
        <v>0</v>
      </c>
      <c r="CZ30" s="307"/>
      <c r="DA30" s="307"/>
      <c r="DB30" s="304">
        <f t="shared" si="40"/>
        <v>0</v>
      </c>
      <c r="DC30" s="169">
        <f t="shared" si="41"/>
        <v>0</v>
      </c>
      <c r="DD30" s="347">
        <f t="shared" si="42"/>
        <v>0</v>
      </c>
    </row>
    <row r="31" spans="1:108" ht="18.95" customHeight="1" x14ac:dyDescent="0.25">
      <c r="A31" s="207" t="str">
        <f>+'SEMANA DEL 14 AL 21 '!A31</f>
        <v xml:space="preserve">RAMON PARRA </v>
      </c>
      <c r="B31" s="284">
        <f>+'SEMANA DEL 14 AL 21 '!AX31</f>
        <v>0</v>
      </c>
      <c r="C31" s="284">
        <f>+'SEMANA DEL 14 AL 21 '!AY31</f>
        <v>0</v>
      </c>
      <c r="D31" s="284">
        <f>+'SEMANA DEL 14 AL 21 '!AZ31</f>
        <v>0</v>
      </c>
      <c r="E31" s="284">
        <f>+'SEMANA DEL 14 AL 21 '!BA31</f>
        <v>0</v>
      </c>
      <c r="F31" s="284">
        <f>+'SEMANA DEL 14 AL 21 '!BB31</f>
        <v>0</v>
      </c>
      <c r="G31" s="284">
        <f>+'SEMANA DEL 14 AL 21 '!BC31</f>
        <v>0</v>
      </c>
      <c r="H31" s="284">
        <f>+'SEMANA DEL 14 AL 21 '!BD31</f>
        <v>0</v>
      </c>
      <c r="I31" s="284">
        <f>+'SEMANA DEL 14 AL 21 '!BE31</f>
        <v>0</v>
      </c>
      <c r="J31" s="284">
        <f>+'SEMANA DEL 14 AL 21 '!BF31</f>
        <v>0</v>
      </c>
      <c r="K31" s="284">
        <f>+'SEMANA DEL 14 AL 21 '!BG31</f>
        <v>0</v>
      </c>
      <c r="L31" s="284">
        <f>+'SEMANA DEL 14 AL 21 '!BH31</f>
        <v>0</v>
      </c>
      <c r="M31" s="284">
        <f>+'SEMANA DEL 14 AL 21 '!BI31</f>
        <v>0</v>
      </c>
      <c r="N31" s="284">
        <f>+'SEMANA DEL 14 AL 21 '!BJ31</f>
        <v>0</v>
      </c>
      <c r="O31" s="284">
        <f>+'SEMANA DEL 14 AL 21 '!BK31</f>
        <v>0</v>
      </c>
      <c r="P31" s="284">
        <f>+'SEMANA DEL 14 AL 21 '!BL31</f>
        <v>0</v>
      </c>
      <c r="Q31" s="284">
        <f>+'SEMANA DEL 14 AL 21 '!BM31</f>
        <v>0</v>
      </c>
      <c r="R31" s="289"/>
      <c r="S31" s="289"/>
      <c r="T31" s="289"/>
      <c r="U31" s="289"/>
      <c r="V31" s="289"/>
      <c r="W31" s="289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289"/>
      <c r="AI31" s="289"/>
      <c r="AJ31" s="289"/>
      <c r="AK31" s="289"/>
      <c r="AL31" s="289"/>
      <c r="AM31" s="289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>
        <f t="shared" si="2"/>
        <v>0</v>
      </c>
      <c r="AY31" s="190">
        <f t="shared" si="3"/>
        <v>0</v>
      </c>
      <c r="AZ31" s="190">
        <f t="shared" si="4"/>
        <v>0</v>
      </c>
      <c r="BA31" s="190">
        <f t="shared" si="5"/>
        <v>0</v>
      </c>
      <c r="BB31" s="190">
        <f t="shared" si="6"/>
        <v>0</v>
      </c>
      <c r="BC31" s="190">
        <f t="shared" si="7"/>
        <v>0</v>
      </c>
      <c r="BD31" s="190">
        <f t="shared" si="8"/>
        <v>0</v>
      </c>
      <c r="BE31" s="190">
        <f t="shared" si="9"/>
        <v>0</v>
      </c>
      <c r="BF31" s="190">
        <f t="shared" si="10"/>
        <v>0</v>
      </c>
      <c r="BG31" s="190">
        <f t="shared" si="11"/>
        <v>0</v>
      </c>
      <c r="BH31" s="190">
        <f t="shared" si="12"/>
        <v>0</v>
      </c>
      <c r="BI31" s="190">
        <f t="shared" si="13"/>
        <v>0</v>
      </c>
      <c r="BJ31" s="190">
        <f t="shared" si="14"/>
        <v>0</v>
      </c>
      <c r="BK31" s="190">
        <f t="shared" si="15"/>
        <v>0</v>
      </c>
      <c r="BL31" s="190">
        <f t="shared" si="16"/>
        <v>0</v>
      </c>
      <c r="BM31" s="190">
        <f t="shared" si="17"/>
        <v>0</v>
      </c>
      <c r="BN31" s="190"/>
      <c r="BO31" s="170">
        <f t="shared" si="18"/>
        <v>0</v>
      </c>
      <c r="BP31" s="71">
        <f t="shared" si="19"/>
        <v>0</v>
      </c>
      <c r="BQ31" s="112">
        <f t="shared" si="20"/>
        <v>0</v>
      </c>
      <c r="BR31" s="112">
        <f t="shared" si="21"/>
        <v>0</v>
      </c>
      <c r="BS31" s="112">
        <f t="shared" si="22"/>
        <v>0</v>
      </c>
      <c r="BT31" s="112">
        <f t="shared" si="23"/>
        <v>0</v>
      </c>
      <c r="BU31" s="112">
        <f t="shared" si="24"/>
        <v>0</v>
      </c>
      <c r="BV31" s="112">
        <f t="shared" si="25"/>
        <v>0</v>
      </c>
      <c r="BW31" s="112">
        <f t="shared" si="26"/>
        <v>0</v>
      </c>
      <c r="BX31" s="112">
        <f t="shared" si="27"/>
        <v>0</v>
      </c>
      <c r="BY31" s="71">
        <f t="shared" si="28"/>
        <v>0</v>
      </c>
      <c r="BZ31" s="113">
        <f t="shared" si="29"/>
        <v>0</v>
      </c>
      <c r="CA31" s="71"/>
      <c r="CB31" s="71"/>
      <c r="CC31" s="71">
        <f t="shared" si="30"/>
        <v>0</v>
      </c>
      <c r="CD31" s="71">
        <f t="shared" si="31"/>
        <v>0</v>
      </c>
      <c r="CE31" s="71">
        <f t="shared" si="32"/>
        <v>0</v>
      </c>
      <c r="CF31" s="71">
        <f t="shared" si="33"/>
        <v>0</v>
      </c>
      <c r="CG31" s="71">
        <f t="shared" si="34"/>
        <v>0</v>
      </c>
      <c r="CH31" s="166">
        <f t="shared" si="35"/>
        <v>0</v>
      </c>
      <c r="CI31" s="263">
        <f t="shared" si="36"/>
        <v>0</v>
      </c>
      <c r="CJ31" s="77"/>
      <c r="CK31" s="73"/>
      <c r="CL31" s="172"/>
      <c r="CM31" s="177"/>
      <c r="CN31" s="173"/>
      <c r="CO31" s="178"/>
      <c r="CP31" s="195"/>
      <c r="CQ31" s="179"/>
      <c r="CR31" s="140"/>
      <c r="CS31" s="52"/>
      <c r="CT31" s="309" t="str">
        <f t="shared" si="1"/>
        <v xml:space="preserve">RAMON PARRA </v>
      </c>
      <c r="CU31" s="293" t="str">
        <f>+'SEMANA DEL 2 AL 7-3-26'!CS32</f>
        <v>V-18.718.244</v>
      </c>
      <c r="CV31" s="293">
        <f t="shared" si="37"/>
        <v>0</v>
      </c>
      <c r="CW31" s="293">
        <f t="shared" si="38"/>
        <v>0</v>
      </c>
      <c r="CX31" s="293"/>
      <c r="CY31" s="293">
        <f t="shared" si="39"/>
        <v>0</v>
      </c>
      <c r="CZ31" s="307"/>
      <c r="DA31" s="307"/>
      <c r="DB31" s="304">
        <f t="shared" si="40"/>
        <v>0</v>
      </c>
      <c r="DC31" s="169">
        <f t="shared" si="41"/>
        <v>0</v>
      </c>
      <c r="DD31" s="347">
        <f t="shared" si="42"/>
        <v>0</v>
      </c>
    </row>
    <row r="32" spans="1:108" ht="18.95" customHeight="1" x14ac:dyDescent="0.25">
      <c r="A32" s="207" t="str">
        <f>+'SEMANA DEL 14 AL 21 '!A32</f>
        <v>SULAY ALMEIDA</v>
      </c>
      <c r="B32" s="284">
        <f>+'SEMANA DEL 14 AL 21 '!AX32</f>
        <v>1</v>
      </c>
      <c r="C32" s="284">
        <f>+'SEMANA DEL 14 AL 21 '!AY32</f>
        <v>1.8099999999999996</v>
      </c>
      <c r="D32" s="284">
        <f>+'SEMANA DEL 14 AL 21 '!AZ32</f>
        <v>6.9500000000000028</v>
      </c>
      <c r="E32" s="284">
        <f>+'SEMANA DEL 14 AL 21 '!BA32</f>
        <v>0</v>
      </c>
      <c r="F32" s="284">
        <f>+'SEMANA DEL 14 AL 21 '!BB32</f>
        <v>0</v>
      </c>
      <c r="G32" s="284">
        <f>+'SEMANA DEL 14 AL 21 '!BC32</f>
        <v>0</v>
      </c>
      <c r="H32" s="284">
        <f>+'SEMANA DEL 14 AL 21 '!BD32</f>
        <v>0</v>
      </c>
      <c r="I32" s="284">
        <f>+'SEMANA DEL 14 AL 21 '!BE32</f>
        <v>0</v>
      </c>
      <c r="J32" s="284">
        <f>+'SEMANA DEL 14 AL 21 '!BF32</f>
        <v>0</v>
      </c>
      <c r="K32" s="284">
        <f>+'SEMANA DEL 14 AL 21 '!BG32</f>
        <v>0</v>
      </c>
      <c r="L32" s="284">
        <f>+'SEMANA DEL 14 AL 21 '!BH32</f>
        <v>0</v>
      </c>
      <c r="M32" s="284">
        <f>+'SEMANA DEL 14 AL 21 '!BI32</f>
        <v>0</v>
      </c>
      <c r="N32" s="284">
        <f>+'SEMANA DEL 14 AL 21 '!BJ32</f>
        <v>0</v>
      </c>
      <c r="O32" s="284">
        <f>+'SEMANA DEL 14 AL 21 '!BK32</f>
        <v>0</v>
      </c>
      <c r="P32" s="284">
        <f>+'SEMANA DEL 14 AL 21 '!BL32</f>
        <v>0</v>
      </c>
      <c r="Q32" s="284">
        <f>+'SEMANA DEL 14 AL 21 '!BM32</f>
        <v>0</v>
      </c>
      <c r="R32" s="289"/>
      <c r="S32" s="289"/>
      <c r="T32" s="289"/>
      <c r="U32" s="289"/>
      <c r="V32" s="289"/>
      <c r="W32" s="289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289"/>
      <c r="AI32" s="289"/>
      <c r="AJ32" s="289"/>
      <c r="AK32" s="289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>
        <f t="shared" si="2"/>
        <v>1</v>
      </c>
      <c r="AY32" s="190">
        <f t="shared" si="3"/>
        <v>1.8099999999999996</v>
      </c>
      <c r="AZ32" s="190">
        <f t="shared" si="4"/>
        <v>6.9500000000000028</v>
      </c>
      <c r="BA32" s="190">
        <f t="shared" si="5"/>
        <v>0</v>
      </c>
      <c r="BB32" s="190">
        <f t="shared" si="6"/>
        <v>0</v>
      </c>
      <c r="BC32" s="190">
        <f t="shared" si="7"/>
        <v>0</v>
      </c>
      <c r="BD32" s="190">
        <f t="shared" si="8"/>
        <v>0</v>
      </c>
      <c r="BE32" s="190">
        <f t="shared" si="9"/>
        <v>0</v>
      </c>
      <c r="BF32" s="190">
        <f t="shared" si="10"/>
        <v>0</v>
      </c>
      <c r="BG32" s="190">
        <f t="shared" si="11"/>
        <v>0</v>
      </c>
      <c r="BH32" s="190">
        <f t="shared" si="12"/>
        <v>0</v>
      </c>
      <c r="BI32" s="190">
        <f t="shared" si="13"/>
        <v>0</v>
      </c>
      <c r="BJ32" s="190">
        <f t="shared" si="14"/>
        <v>0</v>
      </c>
      <c r="BK32" s="190">
        <f t="shared" si="15"/>
        <v>0</v>
      </c>
      <c r="BL32" s="190">
        <f t="shared" si="16"/>
        <v>0</v>
      </c>
      <c r="BM32" s="190">
        <f t="shared" si="17"/>
        <v>0</v>
      </c>
      <c r="BN32" s="190"/>
      <c r="BO32" s="170">
        <f t="shared" si="18"/>
        <v>0</v>
      </c>
      <c r="BP32" s="71">
        <f t="shared" si="19"/>
        <v>0</v>
      </c>
      <c r="BQ32" s="112">
        <f t="shared" si="20"/>
        <v>0</v>
      </c>
      <c r="BR32" s="112">
        <f t="shared" si="21"/>
        <v>0</v>
      </c>
      <c r="BS32" s="112">
        <f t="shared" si="22"/>
        <v>0</v>
      </c>
      <c r="BT32" s="112">
        <f t="shared" si="23"/>
        <v>0</v>
      </c>
      <c r="BU32" s="112">
        <f t="shared" si="24"/>
        <v>0</v>
      </c>
      <c r="BV32" s="112">
        <f t="shared" si="25"/>
        <v>0</v>
      </c>
      <c r="BW32" s="112">
        <f t="shared" si="26"/>
        <v>0</v>
      </c>
      <c r="BX32" s="112">
        <f t="shared" si="27"/>
        <v>0</v>
      </c>
      <c r="BY32" s="71">
        <f t="shared" si="28"/>
        <v>0</v>
      </c>
      <c r="BZ32" s="113">
        <f t="shared" si="29"/>
        <v>0</v>
      </c>
      <c r="CA32" s="71"/>
      <c r="CB32" s="71"/>
      <c r="CC32" s="71">
        <f t="shared" si="30"/>
        <v>0</v>
      </c>
      <c r="CD32" s="71">
        <f t="shared" si="31"/>
        <v>0</v>
      </c>
      <c r="CE32" s="71">
        <f t="shared" si="32"/>
        <v>0</v>
      </c>
      <c r="CF32" s="71">
        <f t="shared" si="33"/>
        <v>0</v>
      </c>
      <c r="CG32" s="71">
        <f t="shared" si="34"/>
        <v>0</v>
      </c>
      <c r="CH32" s="166">
        <f t="shared" si="35"/>
        <v>0</v>
      </c>
      <c r="CI32" s="263">
        <f t="shared" si="36"/>
        <v>0</v>
      </c>
      <c r="CJ32" s="77"/>
      <c r="CK32" s="73"/>
      <c r="CL32" s="172" t="s">
        <v>114</v>
      </c>
      <c r="CM32" s="177" t="e">
        <f>+'SEMANA DEL 14 AL 21 '!#REF!</f>
        <v>#REF!</v>
      </c>
      <c r="CN32" s="173" t="e">
        <f>+#REF!</f>
        <v>#REF!</v>
      </c>
      <c r="CO32" s="178" t="e">
        <f>+CM32+CN32</f>
        <v>#REF!</v>
      </c>
      <c r="CP32" s="195">
        <f>+AM46</f>
        <v>0</v>
      </c>
      <c r="CQ32" s="179" t="e">
        <f>CO32-CP32</f>
        <v>#REF!</v>
      </c>
      <c r="CR32" s="140"/>
      <c r="CS32" s="52"/>
      <c r="CT32" s="309" t="str">
        <f t="shared" si="1"/>
        <v>SULAY ALMEIDA</v>
      </c>
      <c r="CU32" s="293" t="str">
        <f>+'SEMANA DEL 2 AL 7-3-26'!CS33</f>
        <v>V-21.033.815</v>
      </c>
      <c r="CV32" s="293">
        <f t="shared" si="37"/>
        <v>0</v>
      </c>
      <c r="CW32" s="293">
        <f t="shared" si="38"/>
        <v>0</v>
      </c>
      <c r="CX32" s="293"/>
      <c r="CY32" s="293">
        <f t="shared" si="39"/>
        <v>0</v>
      </c>
      <c r="CZ32" s="307"/>
      <c r="DA32" s="307"/>
      <c r="DB32" s="304">
        <f t="shared" si="40"/>
        <v>0</v>
      </c>
      <c r="DC32" s="169">
        <f t="shared" si="41"/>
        <v>0</v>
      </c>
      <c r="DD32" s="347">
        <f t="shared" si="42"/>
        <v>0</v>
      </c>
    </row>
    <row r="33" spans="1:108" ht="18.75" customHeight="1" x14ac:dyDescent="0.25">
      <c r="A33" s="207" t="str">
        <f>+'SEMANA DEL 14 AL 21 '!A33</f>
        <v xml:space="preserve">RENE ALMEIDA </v>
      </c>
      <c r="B33" s="284">
        <f>+'SEMANA DEL 14 AL 21 '!AX33</f>
        <v>3.8999999999999995</v>
      </c>
      <c r="C33" s="284">
        <f>+'SEMANA DEL 14 AL 21 '!AY33</f>
        <v>4.5200000000000005</v>
      </c>
      <c r="D33" s="284">
        <f>+'SEMANA DEL 14 AL 21 '!AZ33</f>
        <v>24.6</v>
      </c>
      <c r="E33" s="284">
        <f>+'SEMANA DEL 14 AL 21 '!BA33</f>
        <v>2</v>
      </c>
      <c r="F33" s="284">
        <f>+'SEMANA DEL 14 AL 21 '!BB33</f>
        <v>0</v>
      </c>
      <c r="G33" s="284">
        <f>+'SEMANA DEL 14 AL 21 '!BC33</f>
        <v>0</v>
      </c>
      <c r="H33" s="284">
        <f>+'SEMANA DEL 14 AL 21 '!BD33</f>
        <v>0</v>
      </c>
      <c r="I33" s="284">
        <f>+'SEMANA DEL 14 AL 21 '!BE33</f>
        <v>0</v>
      </c>
      <c r="J33" s="284">
        <f>+'SEMANA DEL 14 AL 21 '!BF33</f>
        <v>0</v>
      </c>
      <c r="K33" s="284">
        <f>+'SEMANA DEL 14 AL 21 '!BG33</f>
        <v>0</v>
      </c>
      <c r="L33" s="284">
        <f>+'SEMANA DEL 14 AL 21 '!BH33</f>
        <v>0</v>
      </c>
      <c r="M33" s="284">
        <f>+'SEMANA DEL 14 AL 21 '!BI33</f>
        <v>0</v>
      </c>
      <c r="N33" s="284">
        <f>+'SEMANA DEL 14 AL 21 '!BJ33</f>
        <v>0</v>
      </c>
      <c r="O33" s="284">
        <f>+'SEMANA DEL 14 AL 21 '!BK33</f>
        <v>0</v>
      </c>
      <c r="P33" s="284">
        <f>+'SEMANA DEL 14 AL 21 '!BL33</f>
        <v>0</v>
      </c>
      <c r="Q33" s="284">
        <f>+'SEMANA DEL 14 AL 21 '!BM33</f>
        <v>0</v>
      </c>
      <c r="R33" s="289"/>
      <c r="S33" s="289"/>
      <c r="T33" s="289"/>
      <c r="U33" s="289"/>
      <c r="V33" s="289"/>
      <c r="W33" s="289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>
        <f t="shared" si="2"/>
        <v>3.8999999999999995</v>
      </c>
      <c r="AY33" s="190">
        <f t="shared" si="3"/>
        <v>4.5200000000000005</v>
      </c>
      <c r="AZ33" s="190">
        <f t="shared" si="4"/>
        <v>24.6</v>
      </c>
      <c r="BA33" s="190">
        <f t="shared" si="5"/>
        <v>2</v>
      </c>
      <c r="BB33" s="190">
        <f t="shared" si="6"/>
        <v>0</v>
      </c>
      <c r="BC33" s="190">
        <f t="shared" si="7"/>
        <v>0</v>
      </c>
      <c r="BD33" s="190">
        <f t="shared" si="8"/>
        <v>0</v>
      </c>
      <c r="BE33" s="190">
        <f t="shared" si="9"/>
        <v>0</v>
      </c>
      <c r="BF33" s="190">
        <f t="shared" si="10"/>
        <v>0</v>
      </c>
      <c r="BG33" s="190">
        <f t="shared" si="11"/>
        <v>0</v>
      </c>
      <c r="BH33" s="190">
        <f t="shared" si="12"/>
        <v>0</v>
      </c>
      <c r="BI33" s="190">
        <f t="shared" si="13"/>
        <v>0</v>
      </c>
      <c r="BJ33" s="190">
        <f t="shared" si="14"/>
        <v>0</v>
      </c>
      <c r="BK33" s="190">
        <f t="shared" si="15"/>
        <v>0</v>
      </c>
      <c r="BL33" s="190">
        <f t="shared" si="16"/>
        <v>0</v>
      </c>
      <c r="BM33" s="190">
        <f t="shared" si="17"/>
        <v>0</v>
      </c>
      <c r="BN33" s="190"/>
      <c r="BO33" s="170">
        <f t="shared" si="18"/>
        <v>0</v>
      </c>
      <c r="BP33" s="71">
        <f t="shared" si="19"/>
        <v>0</v>
      </c>
      <c r="BQ33" s="112">
        <f t="shared" si="20"/>
        <v>0</v>
      </c>
      <c r="BR33" s="112">
        <f t="shared" si="21"/>
        <v>0</v>
      </c>
      <c r="BS33" s="112">
        <f t="shared" si="22"/>
        <v>0</v>
      </c>
      <c r="BT33" s="112">
        <f t="shared" si="23"/>
        <v>0</v>
      </c>
      <c r="BU33" s="112">
        <f t="shared" si="24"/>
        <v>0</v>
      </c>
      <c r="BV33" s="112">
        <f t="shared" si="25"/>
        <v>0</v>
      </c>
      <c r="BW33" s="112">
        <f t="shared" si="26"/>
        <v>0</v>
      </c>
      <c r="BX33" s="112">
        <f t="shared" si="27"/>
        <v>0</v>
      </c>
      <c r="BY33" s="71">
        <f t="shared" si="28"/>
        <v>0</v>
      </c>
      <c r="BZ33" s="113">
        <f t="shared" si="29"/>
        <v>0</v>
      </c>
      <c r="CA33" s="71"/>
      <c r="CB33" s="71"/>
      <c r="CC33" s="71">
        <f t="shared" si="30"/>
        <v>0</v>
      </c>
      <c r="CD33" s="71">
        <f t="shared" si="31"/>
        <v>0</v>
      </c>
      <c r="CE33" s="71">
        <f t="shared" si="32"/>
        <v>0</v>
      </c>
      <c r="CF33" s="71">
        <f t="shared" si="33"/>
        <v>0</v>
      </c>
      <c r="CG33" s="71">
        <f t="shared" si="34"/>
        <v>0</v>
      </c>
      <c r="CH33" s="166">
        <f t="shared" si="35"/>
        <v>0</v>
      </c>
      <c r="CI33" s="263">
        <f t="shared" si="36"/>
        <v>0</v>
      </c>
      <c r="CJ33" s="77"/>
      <c r="CK33" s="73"/>
      <c r="CL33" s="172"/>
      <c r="CM33" s="177"/>
      <c r="CN33" s="173"/>
      <c r="CO33" s="178"/>
      <c r="CP33" s="195"/>
      <c r="CQ33" s="179"/>
      <c r="CR33" s="140"/>
      <c r="CS33" s="52"/>
      <c r="CT33" s="309" t="str">
        <f t="shared" si="1"/>
        <v xml:space="preserve">RENE ALMEIDA </v>
      </c>
      <c r="CU33" s="293" t="str">
        <f>+'SEMANA DEL 2 AL 7-3-26'!CS34</f>
        <v>CC-60.412.324</v>
      </c>
      <c r="CV33" s="293">
        <f>+BN33</f>
        <v>0</v>
      </c>
      <c r="CW33" s="293">
        <f>+AW33</f>
        <v>0</v>
      </c>
      <c r="CX33" s="293"/>
      <c r="CY33" s="293">
        <f t="shared" si="39"/>
        <v>0</v>
      </c>
      <c r="CZ33" s="307"/>
      <c r="DA33" s="307"/>
      <c r="DB33" s="304">
        <f>+CZ33*6500+DA33*3500</f>
        <v>0</v>
      </c>
      <c r="DC33" s="169">
        <f>+CI33</f>
        <v>0</v>
      </c>
      <c r="DD33" s="347">
        <f>+DB33+DC33+CY33</f>
        <v>0</v>
      </c>
    </row>
    <row r="34" spans="1:108" ht="18.95" customHeight="1" x14ac:dyDescent="0.25">
      <c r="A34" s="207" t="str">
        <f>+'SEMANA DEL 14 AL 21 '!A34</f>
        <v>RUBIELA MARTINEZ</v>
      </c>
      <c r="B34" s="284">
        <f>+'SEMANA DEL 14 AL 21 '!AX34</f>
        <v>11</v>
      </c>
      <c r="C34" s="284">
        <f>+'SEMANA DEL 14 AL 21 '!AY34</f>
        <v>20.36</v>
      </c>
      <c r="D34" s="284">
        <f>+'SEMANA DEL 14 AL 21 '!AZ34</f>
        <v>76.99799999999999</v>
      </c>
      <c r="E34" s="284">
        <f>+'SEMANA DEL 14 AL 21 '!BA34</f>
        <v>9</v>
      </c>
      <c r="F34" s="284">
        <f>+'SEMANA DEL 14 AL 21 '!BB34</f>
        <v>0</v>
      </c>
      <c r="G34" s="284">
        <f>+'SEMANA DEL 14 AL 21 '!BC34</f>
        <v>0</v>
      </c>
      <c r="H34" s="284">
        <f>+'SEMANA DEL 14 AL 21 '!BD34</f>
        <v>0</v>
      </c>
      <c r="I34" s="284">
        <f>+'SEMANA DEL 14 AL 21 '!BE34</f>
        <v>2</v>
      </c>
      <c r="J34" s="284">
        <f>+'SEMANA DEL 14 AL 21 '!BF34</f>
        <v>0</v>
      </c>
      <c r="K34" s="284">
        <f>+'SEMANA DEL 14 AL 21 '!BG34</f>
        <v>0</v>
      </c>
      <c r="L34" s="284">
        <f>+'SEMANA DEL 14 AL 21 '!BH34</f>
        <v>0</v>
      </c>
      <c r="M34" s="284">
        <f>+'SEMANA DEL 14 AL 21 '!BI34</f>
        <v>0</v>
      </c>
      <c r="N34" s="284">
        <f>+'SEMANA DEL 14 AL 21 '!BJ34</f>
        <v>0</v>
      </c>
      <c r="O34" s="284">
        <f>+'SEMANA DEL 14 AL 21 '!BK34</f>
        <v>0</v>
      </c>
      <c r="P34" s="284">
        <f>+'SEMANA DEL 14 AL 21 '!BL34</f>
        <v>0</v>
      </c>
      <c r="Q34" s="284">
        <f>+'SEMANA DEL 14 AL 21 '!BM34</f>
        <v>0</v>
      </c>
      <c r="R34" s="289"/>
      <c r="S34" s="289"/>
      <c r="T34" s="289"/>
      <c r="U34" s="289"/>
      <c r="V34" s="289"/>
      <c r="W34" s="289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289"/>
      <c r="AI34" s="289"/>
      <c r="AJ34" s="289"/>
      <c r="AK34" s="289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>
        <f t="shared" si="2"/>
        <v>11</v>
      </c>
      <c r="AY34" s="190">
        <f t="shared" si="3"/>
        <v>20.36</v>
      </c>
      <c r="AZ34" s="190">
        <f t="shared" si="4"/>
        <v>76.99799999999999</v>
      </c>
      <c r="BA34" s="190">
        <f t="shared" si="5"/>
        <v>9</v>
      </c>
      <c r="BB34" s="190">
        <f t="shared" si="6"/>
        <v>0</v>
      </c>
      <c r="BC34" s="190">
        <f t="shared" si="7"/>
        <v>0</v>
      </c>
      <c r="BD34" s="190">
        <f t="shared" si="8"/>
        <v>0</v>
      </c>
      <c r="BE34" s="190">
        <f t="shared" si="9"/>
        <v>2</v>
      </c>
      <c r="BF34" s="190">
        <f t="shared" si="10"/>
        <v>0</v>
      </c>
      <c r="BG34" s="190">
        <f t="shared" si="11"/>
        <v>0</v>
      </c>
      <c r="BH34" s="190">
        <f t="shared" si="12"/>
        <v>0</v>
      </c>
      <c r="BI34" s="190">
        <f t="shared" si="13"/>
        <v>0</v>
      </c>
      <c r="BJ34" s="190">
        <f t="shared" si="14"/>
        <v>0</v>
      </c>
      <c r="BK34" s="190">
        <f t="shared" si="15"/>
        <v>0</v>
      </c>
      <c r="BL34" s="190">
        <f t="shared" si="16"/>
        <v>0</v>
      </c>
      <c r="BM34" s="190">
        <f t="shared" si="17"/>
        <v>0</v>
      </c>
      <c r="BN34" s="190"/>
      <c r="BO34" s="170">
        <f t="shared" si="18"/>
        <v>0</v>
      </c>
      <c r="BP34" s="71">
        <f t="shared" si="19"/>
        <v>0</v>
      </c>
      <c r="BQ34" s="112">
        <f t="shared" si="20"/>
        <v>0</v>
      </c>
      <c r="BR34" s="112">
        <f t="shared" si="21"/>
        <v>0</v>
      </c>
      <c r="BS34" s="112">
        <f t="shared" si="22"/>
        <v>0</v>
      </c>
      <c r="BT34" s="112">
        <f t="shared" si="23"/>
        <v>0</v>
      </c>
      <c r="BU34" s="112">
        <f t="shared" si="24"/>
        <v>0</v>
      </c>
      <c r="BV34" s="112">
        <f t="shared" si="25"/>
        <v>0</v>
      </c>
      <c r="BW34" s="112">
        <f t="shared" si="26"/>
        <v>0</v>
      </c>
      <c r="BX34" s="112">
        <f t="shared" si="27"/>
        <v>0</v>
      </c>
      <c r="BY34" s="71">
        <f t="shared" si="28"/>
        <v>0</v>
      </c>
      <c r="BZ34" s="113">
        <f t="shared" si="29"/>
        <v>0</v>
      </c>
      <c r="CA34" s="71"/>
      <c r="CB34" s="71"/>
      <c r="CC34" s="71">
        <f t="shared" si="30"/>
        <v>0</v>
      </c>
      <c r="CD34" s="71">
        <f t="shared" si="31"/>
        <v>0</v>
      </c>
      <c r="CE34" s="71">
        <f t="shared" si="32"/>
        <v>0</v>
      </c>
      <c r="CF34" s="71">
        <f t="shared" si="33"/>
        <v>0</v>
      </c>
      <c r="CG34" s="71">
        <f t="shared" si="34"/>
        <v>0</v>
      </c>
      <c r="CH34" s="166">
        <f t="shared" si="35"/>
        <v>0</v>
      </c>
      <c r="CI34" s="263">
        <f t="shared" si="36"/>
        <v>0</v>
      </c>
      <c r="CJ34" s="77"/>
      <c r="CK34" s="73"/>
      <c r="CL34" s="172"/>
      <c r="CM34" s="177" t="e">
        <f>+'SEMANA DEL 14 AL 21 '!CP31</f>
        <v>#REF!</v>
      </c>
      <c r="CN34" s="173"/>
      <c r="CO34" s="178"/>
      <c r="CP34" s="195">
        <f>+AM47</f>
        <v>0</v>
      </c>
      <c r="CQ34" s="179"/>
      <c r="CR34" s="140"/>
      <c r="CS34" s="52"/>
      <c r="CT34" s="309" t="str">
        <f t="shared" si="1"/>
        <v>RUBIELA MARTINEZ</v>
      </c>
      <c r="CU34" s="293" t="str">
        <f>+'SEMANA DEL 2 AL 7-3-26'!CS35</f>
        <v>CC-37.543.611</v>
      </c>
      <c r="CV34" s="293">
        <f t="shared" si="37"/>
        <v>0</v>
      </c>
      <c r="CW34" s="293">
        <f t="shared" si="38"/>
        <v>0</v>
      </c>
      <c r="CX34" s="293"/>
      <c r="CY34" s="293">
        <f t="shared" si="39"/>
        <v>0</v>
      </c>
      <c r="CZ34" s="307"/>
      <c r="DA34" s="307"/>
      <c r="DB34" s="304">
        <f t="shared" si="40"/>
        <v>0</v>
      </c>
      <c r="DC34" s="169">
        <f t="shared" si="41"/>
        <v>0</v>
      </c>
      <c r="DD34" s="347">
        <f t="shared" si="42"/>
        <v>0</v>
      </c>
    </row>
    <row r="35" spans="1:108" ht="18.95" customHeight="1" x14ac:dyDescent="0.25">
      <c r="A35" s="207" t="str">
        <f>+'SEMANA DEL 14 AL 21 '!A35</f>
        <v xml:space="preserve">ROSMIRA DURAN </v>
      </c>
      <c r="B35" s="284">
        <f>+'SEMANA DEL 14 AL 21 '!AX35</f>
        <v>4.9960000000000004</v>
      </c>
      <c r="C35" s="284">
        <f>+'SEMANA DEL 14 AL 21 '!AY35</f>
        <v>9</v>
      </c>
      <c r="D35" s="284">
        <f>+'SEMANA DEL 14 AL 21 '!AZ35</f>
        <v>35</v>
      </c>
      <c r="E35" s="284">
        <f>+'SEMANA DEL 14 AL 21 '!BA35</f>
        <v>4</v>
      </c>
      <c r="F35" s="284">
        <f>+'SEMANA DEL 14 AL 21 '!BB35</f>
        <v>0</v>
      </c>
      <c r="G35" s="284">
        <f>+'SEMANA DEL 14 AL 21 '!BC35</f>
        <v>0</v>
      </c>
      <c r="H35" s="284">
        <f>+'SEMANA DEL 14 AL 21 '!BD35</f>
        <v>0</v>
      </c>
      <c r="I35" s="284">
        <f>+'SEMANA DEL 14 AL 21 '!BE35</f>
        <v>1</v>
      </c>
      <c r="J35" s="284">
        <f>+'SEMANA DEL 14 AL 21 '!BF35</f>
        <v>0</v>
      </c>
      <c r="K35" s="284">
        <f>+'SEMANA DEL 14 AL 21 '!BG35</f>
        <v>0</v>
      </c>
      <c r="L35" s="284">
        <f>+'SEMANA DEL 14 AL 21 '!BH35</f>
        <v>0</v>
      </c>
      <c r="M35" s="284">
        <f>+'SEMANA DEL 14 AL 21 '!BI35</f>
        <v>0</v>
      </c>
      <c r="N35" s="284">
        <f>+'SEMANA DEL 14 AL 21 '!BJ35</f>
        <v>0</v>
      </c>
      <c r="O35" s="284">
        <f>+'SEMANA DEL 14 AL 21 '!BK35</f>
        <v>0</v>
      </c>
      <c r="P35" s="284">
        <f>+'SEMANA DEL 14 AL 21 '!BL35</f>
        <v>0</v>
      </c>
      <c r="Q35" s="284">
        <f>+'SEMANA DEL 14 AL 21 '!BM35</f>
        <v>0</v>
      </c>
      <c r="R35" s="289"/>
      <c r="S35" s="289"/>
      <c r="T35" s="289"/>
      <c r="U35" s="289"/>
      <c r="V35" s="289"/>
      <c r="W35" s="289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289"/>
      <c r="AI35" s="289"/>
      <c r="AJ35" s="289"/>
      <c r="AK35" s="289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>
        <f t="shared" si="2"/>
        <v>4.9960000000000004</v>
      </c>
      <c r="AY35" s="190">
        <f t="shared" si="3"/>
        <v>9</v>
      </c>
      <c r="AZ35" s="190">
        <f t="shared" si="4"/>
        <v>35</v>
      </c>
      <c r="BA35" s="190">
        <f t="shared" si="5"/>
        <v>4</v>
      </c>
      <c r="BB35" s="190">
        <f t="shared" si="6"/>
        <v>0</v>
      </c>
      <c r="BC35" s="190">
        <f t="shared" si="7"/>
        <v>0</v>
      </c>
      <c r="BD35" s="190">
        <f t="shared" si="8"/>
        <v>0</v>
      </c>
      <c r="BE35" s="190">
        <f t="shared" si="9"/>
        <v>1</v>
      </c>
      <c r="BF35" s="190">
        <f t="shared" si="10"/>
        <v>0</v>
      </c>
      <c r="BG35" s="190">
        <f t="shared" si="11"/>
        <v>0</v>
      </c>
      <c r="BH35" s="190">
        <f t="shared" si="12"/>
        <v>0</v>
      </c>
      <c r="BI35" s="190">
        <f t="shared" si="13"/>
        <v>0</v>
      </c>
      <c r="BJ35" s="190">
        <f t="shared" si="14"/>
        <v>0</v>
      </c>
      <c r="BK35" s="190">
        <f t="shared" si="15"/>
        <v>0</v>
      </c>
      <c r="BL35" s="190">
        <f t="shared" si="16"/>
        <v>0</v>
      </c>
      <c r="BM35" s="190">
        <f t="shared" si="17"/>
        <v>0</v>
      </c>
      <c r="BN35" s="190"/>
      <c r="BO35" s="170">
        <f t="shared" si="18"/>
        <v>0</v>
      </c>
      <c r="BP35" s="71">
        <f t="shared" si="19"/>
        <v>0</v>
      </c>
      <c r="BQ35" s="112">
        <f t="shared" si="20"/>
        <v>0</v>
      </c>
      <c r="BR35" s="112">
        <f t="shared" si="21"/>
        <v>0</v>
      </c>
      <c r="BS35" s="112">
        <f t="shared" si="22"/>
        <v>0</v>
      </c>
      <c r="BT35" s="112">
        <f t="shared" si="23"/>
        <v>0</v>
      </c>
      <c r="BU35" s="112">
        <f t="shared" si="24"/>
        <v>0</v>
      </c>
      <c r="BV35" s="112">
        <f t="shared" si="25"/>
        <v>0</v>
      </c>
      <c r="BW35" s="112">
        <f t="shared" si="26"/>
        <v>0</v>
      </c>
      <c r="BX35" s="112">
        <f t="shared" si="27"/>
        <v>0</v>
      </c>
      <c r="BY35" s="71">
        <f t="shared" si="28"/>
        <v>0</v>
      </c>
      <c r="BZ35" s="113">
        <f t="shared" si="29"/>
        <v>0</v>
      </c>
      <c r="CA35" s="71"/>
      <c r="CB35" s="71"/>
      <c r="CC35" s="71">
        <f t="shared" si="30"/>
        <v>0</v>
      </c>
      <c r="CD35" s="71">
        <f t="shared" si="31"/>
        <v>0</v>
      </c>
      <c r="CE35" s="71">
        <f t="shared" si="32"/>
        <v>0</v>
      </c>
      <c r="CF35" s="71">
        <f t="shared" si="33"/>
        <v>0</v>
      </c>
      <c r="CG35" s="71">
        <f t="shared" si="34"/>
        <v>0</v>
      </c>
      <c r="CH35" s="166">
        <f t="shared" si="35"/>
        <v>0</v>
      </c>
      <c r="CI35" s="263">
        <f t="shared" si="36"/>
        <v>0</v>
      </c>
      <c r="CJ35" s="77"/>
      <c r="CK35" s="73"/>
      <c r="CL35" s="172"/>
      <c r="CM35" s="177"/>
      <c r="CN35" s="173"/>
      <c r="CO35" s="178"/>
      <c r="CP35" s="195"/>
      <c r="CQ35" s="179"/>
      <c r="CR35" s="140"/>
      <c r="CS35" s="52"/>
      <c r="CT35" s="309" t="str">
        <f t="shared" si="1"/>
        <v xml:space="preserve">ROSMIRA DURAN </v>
      </c>
      <c r="CU35" s="293" t="str">
        <f>+'SEMANA DEL 2 AL 7-3-26'!CS36</f>
        <v>CC-37.221.293</v>
      </c>
      <c r="CV35" s="293">
        <f t="shared" si="37"/>
        <v>0</v>
      </c>
      <c r="CW35" s="293">
        <f t="shared" si="38"/>
        <v>0</v>
      </c>
      <c r="CX35" s="293"/>
      <c r="CY35" s="293">
        <f t="shared" si="39"/>
        <v>0</v>
      </c>
      <c r="CZ35" s="307"/>
      <c r="DA35" s="307"/>
      <c r="DB35" s="304">
        <f t="shared" si="40"/>
        <v>0</v>
      </c>
      <c r="DC35" s="169">
        <f t="shared" si="41"/>
        <v>0</v>
      </c>
      <c r="DD35" s="347">
        <f t="shared" si="42"/>
        <v>0</v>
      </c>
    </row>
    <row r="36" spans="1:108" ht="18.95" customHeight="1" x14ac:dyDescent="0.25">
      <c r="A36" s="207" t="str">
        <f>+'SEMANA DEL 14 AL 21 '!A36</f>
        <v xml:space="preserve">ROSALBA MATAGIRA </v>
      </c>
      <c r="B36" s="284">
        <f>+'SEMANA DEL 14 AL 21 '!AX36</f>
        <v>11</v>
      </c>
      <c r="C36" s="284">
        <f>+'SEMANA DEL 14 AL 21 '!AY36</f>
        <v>19.8</v>
      </c>
      <c r="D36" s="284">
        <f>+'SEMANA DEL 14 AL 21 '!AZ36</f>
        <v>77</v>
      </c>
      <c r="E36" s="284">
        <f>+'SEMANA DEL 14 AL 21 '!BA36</f>
        <v>9</v>
      </c>
      <c r="F36" s="284">
        <f>+'SEMANA DEL 14 AL 21 '!BB36</f>
        <v>0</v>
      </c>
      <c r="G36" s="284">
        <f>+'SEMANA DEL 14 AL 21 '!BC36</f>
        <v>0</v>
      </c>
      <c r="H36" s="284">
        <f>+'SEMANA DEL 14 AL 21 '!BD36</f>
        <v>0</v>
      </c>
      <c r="I36" s="284">
        <f>+'SEMANA DEL 14 AL 21 '!BE36</f>
        <v>0</v>
      </c>
      <c r="J36" s="284">
        <f>+'SEMANA DEL 14 AL 21 '!BF36</f>
        <v>0</v>
      </c>
      <c r="K36" s="284">
        <f>+'SEMANA DEL 14 AL 21 '!BG36</f>
        <v>0</v>
      </c>
      <c r="L36" s="284">
        <f>+'SEMANA DEL 14 AL 21 '!BH36</f>
        <v>0</v>
      </c>
      <c r="M36" s="284">
        <f>+'SEMANA DEL 14 AL 21 '!BI36</f>
        <v>0</v>
      </c>
      <c r="N36" s="284">
        <f>+'SEMANA DEL 14 AL 21 '!BJ36</f>
        <v>0</v>
      </c>
      <c r="O36" s="284">
        <f>+'SEMANA DEL 14 AL 21 '!BK36</f>
        <v>0</v>
      </c>
      <c r="P36" s="284">
        <f>+'SEMANA DEL 14 AL 21 '!BL36</f>
        <v>0</v>
      </c>
      <c r="Q36" s="284">
        <f>+'SEMANA DEL 14 AL 21 '!BM36</f>
        <v>0</v>
      </c>
      <c r="R36" s="289"/>
      <c r="S36" s="289"/>
      <c r="T36" s="289"/>
      <c r="U36" s="289"/>
      <c r="V36" s="289"/>
      <c r="W36" s="289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289"/>
      <c r="AI36" s="289"/>
      <c r="AJ36" s="289"/>
      <c r="AK36" s="289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>
        <f t="shared" si="2"/>
        <v>11</v>
      </c>
      <c r="AY36" s="190">
        <f t="shared" si="3"/>
        <v>19.8</v>
      </c>
      <c r="AZ36" s="190">
        <f t="shared" si="4"/>
        <v>77</v>
      </c>
      <c r="BA36" s="190">
        <f t="shared" si="5"/>
        <v>9</v>
      </c>
      <c r="BB36" s="190">
        <f t="shared" si="6"/>
        <v>0</v>
      </c>
      <c r="BC36" s="190">
        <f t="shared" si="7"/>
        <v>0</v>
      </c>
      <c r="BD36" s="190">
        <f t="shared" si="8"/>
        <v>0</v>
      </c>
      <c r="BE36" s="190">
        <f t="shared" si="9"/>
        <v>0</v>
      </c>
      <c r="BF36" s="190">
        <f t="shared" si="10"/>
        <v>0</v>
      </c>
      <c r="BG36" s="190">
        <f t="shared" si="11"/>
        <v>0</v>
      </c>
      <c r="BH36" s="190">
        <f t="shared" si="12"/>
        <v>0</v>
      </c>
      <c r="BI36" s="190">
        <f t="shared" si="13"/>
        <v>0</v>
      </c>
      <c r="BJ36" s="190">
        <f t="shared" si="14"/>
        <v>0</v>
      </c>
      <c r="BK36" s="190">
        <f t="shared" si="15"/>
        <v>0</v>
      </c>
      <c r="BL36" s="190">
        <f t="shared" si="16"/>
        <v>0</v>
      </c>
      <c r="BM36" s="190">
        <f t="shared" si="17"/>
        <v>0</v>
      </c>
      <c r="BN36" s="190"/>
      <c r="BO36" s="170">
        <f t="shared" si="18"/>
        <v>0</v>
      </c>
      <c r="BP36" s="71">
        <f t="shared" si="19"/>
        <v>0</v>
      </c>
      <c r="BQ36" s="112">
        <f t="shared" si="20"/>
        <v>0</v>
      </c>
      <c r="BR36" s="112">
        <f t="shared" si="21"/>
        <v>0</v>
      </c>
      <c r="BS36" s="112">
        <f t="shared" si="22"/>
        <v>0</v>
      </c>
      <c r="BT36" s="112">
        <f t="shared" si="23"/>
        <v>0</v>
      </c>
      <c r="BU36" s="112">
        <f t="shared" si="24"/>
        <v>0</v>
      </c>
      <c r="BV36" s="112">
        <f t="shared" si="25"/>
        <v>0</v>
      </c>
      <c r="BW36" s="112">
        <f t="shared" si="26"/>
        <v>0</v>
      </c>
      <c r="BX36" s="112">
        <f t="shared" si="27"/>
        <v>0</v>
      </c>
      <c r="BY36" s="71">
        <f t="shared" si="28"/>
        <v>0</v>
      </c>
      <c r="BZ36" s="113">
        <f t="shared" si="29"/>
        <v>0</v>
      </c>
      <c r="CA36" s="71"/>
      <c r="CB36" s="71"/>
      <c r="CC36" s="71">
        <f t="shared" si="30"/>
        <v>0</v>
      </c>
      <c r="CD36" s="71">
        <f t="shared" si="31"/>
        <v>0</v>
      </c>
      <c r="CE36" s="71">
        <f t="shared" si="32"/>
        <v>0</v>
      </c>
      <c r="CF36" s="71">
        <f t="shared" si="33"/>
        <v>0</v>
      </c>
      <c r="CG36" s="71">
        <f t="shared" si="34"/>
        <v>0</v>
      </c>
      <c r="CH36" s="166">
        <f t="shared" si="35"/>
        <v>0</v>
      </c>
      <c r="CI36" s="263">
        <f t="shared" si="36"/>
        <v>0</v>
      </c>
      <c r="CJ36" s="77"/>
      <c r="CK36" s="73"/>
      <c r="CL36" s="172"/>
      <c r="CM36" s="177"/>
      <c r="CN36" s="173"/>
      <c r="CO36" s="178"/>
      <c r="CP36" s="195"/>
      <c r="CQ36" s="179"/>
      <c r="CR36" s="140"/>
      <c r="CS36" s="52"/>
      <c r="CT36" s="309" t="str">
        <f t="shared" si="1"/>
        <v xml:space="preserve">ROSALBA MATAGIRA </v>
      </c>
      <c r="CU36" s="293" t="str">
        <f>+'SEMANA DEL 2 AL 7-3-26'!CS37</f>
        <v>V-11.021.592</v>
      </c>
      <c r="CV36" s="293">
        <f t="shared" si="37"/>
        <v>0</v>
      </c>
      <c r="CW36" s="293">
        <f t="shared" si="38"/>
        <v>0</v>
      </c>
      <c r="CX36" s="293"/>
      <c r="CY36" s="293">
        <f t="shared" si="39"/>
        <v>0</v>
      </c>
      <c r="CZ36" s="307"/>
      <c r="DA36" s="307"/>
      <c r="DB36" s="304">
        <f t="shared" si="40"/>
        <v>0</v>
      </c>
      <c r="DC36" s="169">
        <f t="shared" si="41"/>
        <v>0</v>
      </c>
      <c r="DD36" s="347">
        <f t="shared" si="42"/>
        <v>0</v>
      </c>
    </row>
    <row r="37" spans="1:108" ht="18.95" customHeight="1" x14ac:dyDescent="0.25">
      <c r="A37" s="207" t="str">
        <f>+'SEMANA DEL 14 AL 21 '!A37</f>
        <v>STELLA SILVA</v>
      </c>
      <c r="B37" s="284">
        <f>+'SEMANA DEL 14 AL 21 '!AX37</f>
        <v>4</v>
      </c>
      <c r="C37" s="284">
        <f>+'SEMANA DEL 14 AL 21 '!AY37</f>
        <v>7.2</v>
      </c>
      <c r="D37" s="284">
        <f>+'SEMANA DEL 14 AL 21 '!AZ37</f>
        <v>28</v>
      </c>
      <c r="E37" s="284">
        <f>+'SEMANA DEL 14 AL 21 '!BA37</f>
        <v>3</v>
      </c>
      <c r="F37" s="284">
        <f>+'SEMANA DEL 14 AL 21 '!BB37</f>
        <v>0</v>
      </c>
      <c r="G37" s="284">
        <f>+'SEMANA DEL 14 AL 21 '!BC37</f>
        <v>0</v>
      </c>
      <c r="H37" s="284">
        <f>+'SEMANA DEL 14 AL 21 '!BD37</f>
        <v>0</v>
      </c>
      <c r="I37" s="284">
        <f>+'SEMANA DEL 14 AL 21 '!BE37</f>
        <v>0</v>
      </c>
      <c r="J37" s="284">
        <f>+'SEMANA DEL 14 AL 21 '!BF37</f>
        <v>0</v>
      </c>
      <c r="K37" s="284">
        <f>+'SEMANA DEL 14 AL 21 '!BG37</f>
        <v>0</v>
      </c>
      <c r="L37" s="284">
        <f>+'SEMANA DEL 14 AL 21 '!BH37</f>
        <v>0</v>
      </c>
      <c r="M37" s="284">
        <f>+'SEMANA DEL 14 AL 21 '!BI37</f>
        <v>0</v>
      </c>
      <c r="N37" s="284">
        <f>+'SEMANA DEL 14 AL 21 '!BJ37</f>
        <v>0</v>
      </c>
      <c r="O37" s="284">
        <f>+'SEMANA DEL 14 AL 21 '!BK37</f>
        <v>0</v>
      </c>
      <c r="P37" s="284">
        <f>+'SEMANA DEL 14 AL 21 '!BL37</f>
        <v>0</v>
      </c>
      <c r="Q37" s="284">
        <f>+'SEMANA DEL 14 AL 21 '!BM37</f>
        <v>0</v>
      </c>
      <c r="R37" s="289"/>
      <c r="S37" s="289"/>
      <c r="T37" s="289"/>
      <c r="U37" s="289"/>
      <c r="V37" s="289"/>
      <c r="W37" s="289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289"/>
      <c r="AI37" s="289"/>
      <c r="AJ37" s="289"/>
      <c r="AK37" s="289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>
        <f t="shared" si="2"/>
        <v>4</v>
      </c>
      <c r="AY37" s="190">
        <f t="shared" si="3"/>
        <v>7.2</v>
      </c>
      <c r="AZ37" s="190">
        <f t="shared" si="4"/>
        <v>28</v>
      </c>
      <c r="BA37" s="190">
        <f t="shared" si="5"/>
        <v>3</v>
      </c>
      <c r="BB37" s="190">
        <f t="shared" si="6"/>
        <v>0</v>
      </c>
      <c r="BC37" s="190">
        <f t="shared" si="7"/>
        <v>0</v>
      </c>
      <c r="BD37" s="190">
        <f t="shared" si="8"/>
        <v>0</v>
      </c>
      <c r="BE37" s="190">
        <f t="shared" si="9"/>
        <v>0</v>
      </c>
      <c r="BF37" s="190">
        <f t="shared" si="10"/>
        <v>0</v>
      </c>
      <c r="BG37" s="190">
        <f t="shared" si="11"/>
        <v>0</v>
      </c>
      <c r="BH37" s="190">
        <f t="shared" si="12"/>
        <v>0</v>
      </c>
      <c r="BI37" s="190">
        <f t="shared" si="13"/>
        <v>0</v>
      </c>
      <c r="BJ37" s="190">
        <f t="shared" si="14"/>
        <v>0</v>
      </c>
      <c r="BK37" s="190">
        <f t="shared" si="15"/>
        <v>0</v>
      </c>
      <c r="BL37" s="190">
        <f t="shared" si="16"/>
        <v>0</v>
      </c>
      <c r="BM37" s="190">
        <f t="shared" si="17"/>
        <v>0</v>
      </c>
      <c r="BN37" s="190"/>
      <c r="BO37" s="170">
        <f t="shared" si="18"/>
        <v>0</v>
      </c>
      <c r="BP37" s="71">
        <f t="shared" si="19"/>
        <v>0</v>
      </c>
      <c r="BQ37" s="112">
        <f t="shared" si="20"/>
        <v>0</v>
      </c>
      <c r="BR37" s="112">
        <f t="shared" si="21"/>
        <v>0</v>
      </c>
      <c r="BS37" s="112">
        <f t="shared" si="22"/>
        <v>0</v>
      </c>
      <c r="BT37" s="112">
        <f t="shared" si="23"/>
        <v>0</v>
      </c>
      <c r="BU37" s="112">
        <f t="shared" si="24"/>
        <v>0</v>
      </c>
      <c r="BV37" s="112">
        <f t="shared" si="25"/>
        <v>0</v>
      </c>
      <c r="BW37" s="112">
        <f t="shared" si="26"/>
        <v>0</v>
      </c>
      <c r="BX37" s="112">
        <f t="shared" si="27"/>
        <v>0</v>
      </c>
      <c r="BY37" s="71">
        <f t="shared" si="28"/>
        <v>0</v>
      </c>
      <c r="BZ37" s="113">
        <f t="shared" si="29"/>
        <v>0</v>
      </c>
      <c r="CA37" s="71"/>
      <c r="CB37" s="71"/>
      <c r="CC37" s="71">
        <f t="shared" si="30"/>
        <v>0</v>
      </c>
      <c r="CD37" s="71">
        <f t="shared" si="31"/>
        <v>0</v>
      </c>
      <c r="CE37" s="71">
        <f t="shared" si="32"/>
        <v>0</v>
      </c>
      <c r="CF37" s="71">
        <f t="shared" si="33"/>
        <v>0</v>
      </c>
      <c r="CG37" s="71">
        <f t="shared" si="34"/>
        <v>0</v>
      </c>
      <c r="CH37" s="166">
        <f t="shared" si="35"/>
        <v>0</v>
      </c>
      <c r="CI37" s="263">
        <f t="shared" si="36"/>
        <v>0</v>
      </c>
      <c r="CJ37" s="77"/>
      <c r="CK37" s="73"/>
      <c r="CL37" s="172"/>
      <c r="CM37" s="177"/>
      <c r="CN37" s="173"/>
      <c r="CO37" s="178"/>
      <c r="CP37" s="195"/>
      <c r="CQ37" s="179"/>
      <c r="CR37" s="140"/>
      <c r="CS37" s="52"/>
      <c r="CT37" s="309" t="str">
        <f t="shared" si="1"/>
        <v>STELLA SILVA</v>
      </c>
      <c r="CU37" s="293" t="str">
        <f>+'SEMANA DEL 2 AL 7-3-26'!CS38</f>
        <v>CC-1.102.348.573</v>
      </c>
      <c r="CV37" s="293">
        <f t="shared" si="37"/>
        <v>0</v>
      </c>
      <c r="CW37" s="293">
        <f t="shared" si="38"/>
        <v>0</v>
      </c>
      <c r="CX37" s="293"/>
      <c r="CY37" s="293">
        <f t="shared" si="39"/>
        <v>0</v>
      </c>
      <c r="CZ37" s="307"/>
      <c r="DA37" s="307"/>
      <c r="DB37" s="304">
        <f t="shared" si="40"/>
        <v>0</v>
      </c>
      <c r="DC37" s="169">
        <f>+CI37</f>
        <v>0</v>
      </c>
      <c r="DD37" s="347">
        <f>+DB37+DC37+CY37</f>
        <v>0</v>
      </c>
    </row>
    <row r="38" spans="1:108" ht="18.95" customHeight="1" x14ac:dyDescent="0.25">
      <c r="A38" s="207" t="str">
        <f>+'SEMANA DEL 14 AL 21 '!A38</f>
        <v>SANDRA MILENA ANTOLINES</v>
      </c>
      <c r="B38" s="284">
        <f>+'SEMANA DEL 14 AL 21 '!AX38</f>
        <v>10</v>
      </c>
      <c r="C38" s="284">
        <f>+'SEMANA DEL 14 AL 21 '!AY38</f>
        <v>18</v>
      </c>
      <c r="D38" s="284">
        <f>+'SEMANA DEL 14 AL 21 '!AZ38</f>
        <v>70</v>
      </c>
      <c r="E38" s="284">
        <f>+'SEMANA DEL 14 AL 21 '!BA38</f>
        <v>8</v>
      </c>
      <c r="F38" s="284">
        <f>+'SEMANA DEL 14 AL 21 '!BB38</f>
        <v>0</v>
      </c>
      <c r="G38" s="284">
        <f>+'SEMANA DEL 14 AL 21 '!BC38</f>
        <v>0</v>
      </c>
      <c r="H38" s="284">
        <f>+'SEMANA DEL 14 AL 21 '!BD38</f>
        <v>0</v>
      </c>
      <c r="I38" s="284">
        <f>+'SEMANA DEL 14 AL 21 '!BE38</f>
        <v>2</v>
      </c>
      <c r="J38" s="284">
        <f>+'SEMANA DEL 14 AL 21 '!BF38</f>
        <v>0</v>
      </c>
      <c r="K38" s="284">
        <f>+'SEMANA DEL 14 AL 21 '!BG38</f>
        <v>0</v>
      </c>
      <c r="L38" s="284">
        <f>+'SEMANA DEL 14 AL 21 '!BH38</f>
        <v>0</v>
      </c>
      <c r="M38" s="284">
        <f>+'SEMANA DEL 14 AL 21 '!BI38</f>
        <v>0</v>
      </c>
      <c r="N38" s="284">
        <f>+'SEMANA DEL 14 AL 21 '!BJ38</f>
        <v>0</v>
      </c>
      <c r="O38" s="284">
        <f>+'SEMANA DEL 14 AL 21 '!BK38</f>
        <v>0</v>
      </c>
      <c r="P38" s="284">
        <f>+'SEMANA DEL 14 AL 21 '!BL38</f>
        <v>0</v>
      </c>
      <c r="Q38" s="284">
        <f>+'SEMANA DEL 14 AL 21 '!BM38</f>
        <v>0</v>
      </c>
      <c r="R38" s="289"/>
      <c r="S38" s="289"/>
      <c r="T38" s="289"/>
      <c r="U38" s="289"/>
      <c r="V38" s="289"/>
      <c r="W38" s="289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289"/>
      <c r="AI38" s="289"/>
      <c r="AJ38" s="289"/>
      <c r="AK38" s="289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 s="190"/>
      <c r="AX38" s="190">
        <f t="shared" si="2"/>
        <v>10</v>
      </c>
      <c r="AY38" s="190">
        <f t="shared" si="3"/>
        <v>18</v>
      </c>
      <c r="AZ38" s="190">
        <f t="shared" si="4"/>
        <v>70</v>
      </c>
      <c r="BA38" s="190">
        <f t="shared" si="5"/>
        <v>8</v>
      </c>
      <c r="BB38" s="190">
        <f t="shared" si="6"/>
        <v>0</v>
      </c>
      <c r="BC38" s="190">
        <f t="shared" si="7"/>
        <v>0</v>
      </c>
      <c r="BD38" s="190">
        <f t="shared" si="8"/>
        <v>0</v>
      </c>
      <c r="BE38" s="190">
        <f t="shared" si="9"/>
        <v>2</v>
      </c>
      <c r="BF38" s="190">
        <f t="shared" si="10"/>
        <v>0</v>
      </c>
      <c r="BG38" s="190">
        <f t="shared" si="11"/>
        <v>0</v>
      </c>
      <c r="BH38" s="190">
        <f t="shared" si="12"/>
        <v>0</v>
      </c>
      <c r="BI38" s="190">
        <f t="shared" si="13"/>
        <v>0</v>
      </c>
      <c r="BJ38" s="190">
        <f t="shared" si="14"/>
        <v>0</v>
      </c>
      <c r="BK38" s="190">
        <f t="shared" si="15"/>
        <v>0</v>
      </c>
      <c r="BL38" s="190">
        <f t="shared" si="16"/>
        <v>0</v>
      </c>
      <c r="BM38" s="190">
        <f t="shared" si="17"/>
        <v>0</v>
      </c>
      <c r="BN38" s="190"/>
      <c r="BO38" s="170">
        <f t="shared" si="18"/>
        <v>0</v>
      </c>
      <c r="BP38" s="71">
        <f t="shared" si="19"/>
        <v>0</v>
      </c>
      <c r="BQ38" s="112">
        <f t="shared" si="20"/>
        <v>0</v>
      </c>
      <c r="BR38" s="112">
        <f t="shared" si="21"/>
        <v>0</v>
      </c>
      <c r="BS38" s="112">
        <f t="shared" si="22"/>
        <v>0</v>
      </c>
      <c r="BT38" s="112">
        <f t="shared" si="23"/>
        <v>0</v>
      </c>
      <c r="BU38" s="112">
        <f t="shared" si="24"/>
        <v>0</v>
      </c>
      <c r="BV38" s="112">
        <f t="shared" si="25"/>
        <v>0</v>
      </c>
      <c r="BW38" s="112">
        <f t="shared" si="26"/>
        <v>0</v>
      </c>
      <c r="BX38" s="112">
        <f t="shared" si="27"/>
        <v>0</v>
      </c>
      <c r="BY38" s="71">
        <f t="shared" si="28"/>
        <v>0</v>
      </c>
      <c r="BZ38" s="113">
        <f t="shared" si="29"/>
        <v>0</v>
      </c>
      <c r="CA38" s="71"/>
      <c r="CB38" s="71"/>
      <c r="CC38" s="71">
        <f t="shared" si="30"/>
        <v>0</v>
      </c>
      <c r="CD38" s="71">
        <f t="shared" si="31"/>
        <v>0</v>
      </c>
      <c r="CE38" s="71">
        <f t="shared" si="32"/>
        <v>0</v>
      </c>
      <c r="CF38" s="71">
        <f t="shared" si="33"/>
        <v>0</v>
      </c>
      <c r="CG38" s="71">
        <f t="shared" si="34"/>
        <v>0</v>
      </c>
      <c r="CH38" s="166">
        <f t="shared" si="35"/>
        <v>0</v>
      </c>
      <c r="CI38" s="263">
        <f t="shared" si="36"/>
        <v>0</v>
      </c>
      <c r="CJ38" s="77"/>
      <c r="CK38" s="73"/>
      <c r="CL38" s="172"/>
      <c r="CM38" s="177"/>
      <c r="CN38" s="173"/>
      <c r="CO38" s="178"/>
      <c r="CP38" s="195"/>
      <c r="CQ38" s="179"/>
      <c r="CR38" s="140"/>
      <c r="CS38" s="52"/>
      <c r="CT38" s="309" t="str">
        <f t="shared" si="1"/>
        <v>SANDRA MILENA ANTOLINES</v>
      </c>
      <c r="CU38" s="293" t="str">
        <f>+'SEMANA DEL 2 AL 7-3-26'!CS39</f>
        <v>V-18.355.048</v>
      </c>
      <c r="CV38" s="293">
        <f t="shared" si="37"/>
        <v>0</v>
      </c>
      <c r="CW38" s="293">
        <f t="shared" si="38"/>
        <v>0</v>
      </c>
      <c r="CX38" s="293"/>
      <c r="CY38" s="293">
        <f t="shared" si="39"/>
        <v>0</v>
      </c>
      <c r="CZ38" s="307"/>
      <c r="DA38" s="307"/>
      <c r="DB38" s="304">
        <f t="shared" si="40"/>
        <v>0</v>
      </c>
      <c r="DC38" s="169">
        <f>+CI38</f>
        <v>0</v>
      </c>
      <c r="DD38" s="347">
        <f>+DB38+DC38+CY38</f>
        <v>0</v>
      </c>
    </row>
    <row r="39" spans="1:108" ht="18.95" customHeight="1" x14ac:dyDescent="0.25">
      <c r="A39" s="207" t="str">
        <f>+'SEMANA DEL 14 AL 21 '!A39</f>
        <v xml:space="preserve">SANDRA MORENO </v>
      </c>
      <c r="B39" s="284">
        <f>+'SEMANA DEL 14 AL 21 '!AX39</f>
        <v>10.75</v>
      </c>
      <c r="C39" s="284">
        <f>+'SEMANA DEL 14 AL 21 '!AY39</f>
        <v>18.450000000000003</v>
      </c>
      <c r="D39" s="284">
        <f>+'SEMANA DEL 14 AL 21 '!AZ39</f>
        <v>71.75</v>
      </c>
      <c r="E39" s="284">
        <f>+'SEMANA DEL 14 AL 21 '!BA39</f>
        <v>8</v>
      </c>
      <c r="F39" s="284">
        <f>+'SEMANA DEL 14 AL 21 '!BB39</f>
        <v>0</v>
      </c>
      <c r="G39" s="284">
        <f>+'SEMANA DEL 14 AL 21 '!BC39</f>
        <v>0</v>
      </c>
      <c r="H39" s="284">
        <f>+'SEMANA DEL 14 AL 21 '!BD39</f>
        <v>0</v>
      </c>
      <c r="I39" s="284">
        <f>+'SEMANA DEL 14 AL 21 '!BE39</f>
        <v>0</v>
      </c>
      <c r="J39" s="284">
        <f>+'SEMANA DEL 14 AL 21 '!BF39</f>
        <v>0</v>
      </c>
      <c r="K39" s="284">
        <f>+'SEMANA DEL 14 AL 21 '!BG39</f>
        <v>0</v>
      </c>
      <c r="L39" s="284">
        <f>+'SEMANA DEL 14 AL 21 '!BH39</f>
        <v>0</v>
      </c>
      <c r="M39" s="284">
        <f>+'SEMANA DEL 14 AL 21 '!BI39</f>
        <v>0</v>
      </c>
      <c r="N39" s="284">
        <f>+'SEMANA DEL 14 AL 21 '!BJ39</f>
        <v>0</v>
      </c>
      <c r="O39" s="284">
        <f>+'SEMANA DEL 14 AL 21 '!BK39</f>
        <v>0</v>
      </c>
      <c r="P39" s="284">
        <f>+'SEMANA DEL 14 AL 21 '!BL39</f>
        <v>0</v>
      </c>
      <c r="Q39" s="284">
        <f>+'SEMANA DEL 14 AL 21 '!BM39</f>
        <v>0</v>
      </c>
      <c r="R39" s="289"/>
      <c r="S39" s="289"/>
      <c r="T39" s="289"/>
      <c r="U39" s="289"/>
      <c r="V39" s="289"/>
      <c r="W39" s="289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289"/>
      <c r="AI39" s="289"/>
      <c r="AJ39" s="289"/>
      <c r="AK39" s="289"/>
      <c r="AL39" s="289"/>
      <c r="AM39" s="190"/>
      <c r="AN39" s="190"/>
      <c r="AO39" s="190"/>
      <c r="AP39" s="190"/>
      <c r="AQ39" s="190"/>
      <c r="AR39" s="190"/>
      <c r="AS39" s="190"/>
      <c r="AT39" s="190"/>
      <c r="AU39" s="190"/>
      <c r="AV39" s="190"/>
      <c r="AW39" s="190"/>
      <c r="AX39" s="190">
        <f t="shared" si="2"/>
        <v>10.75</v>
      </c>
      <c r="AY39" s="190">
        <f t="shared" si="3"/>
        <v>18.450000000000003</v>
      </c>
      <c r="AZ39" s="190">
        <f t="shared" si="4"/>
        <v>71.75</v>
      </c>
      <c r="BA39" s="190">
        <f t="shared" si="5"/>
        <v>8</v>
      </c>
      <c r="BB39" s="190">
        <f t="shared" si="6"/>
        <v>0</v>
      </c>
      <c r="BC39" s="190">
        <f t="shared" si="7"/>
        <v>0</v>
      </c>
      <c r="BD39" s="190">
        <f t="shared" si="8"/>
        <v>0</v>
      </c>
      <c r="BE39" s="190">
        <f t="shared" si="9"/>
        <v>0</v>
      </c>
      <c r="BF39" s="190">
        <f t="shared" si="10"/>
        <v>0</v>
      </c>
      <c r="BG39" s="190">
        <f t="shared" si="11"/>
        <v>0</v>
      </c>
      <c r="BH39" s="190">
        <f t="shared" si="12"/>
        <v>0</v>
      </c>
      <c r="BI39" s="190">
        <f t="shared" si="13"/>
        <v>0</v>
      </c>
      <c r="BJ39" s="190">
        <f t="shared" si="14"/>
        <v>0</v>
      </c>
      <c r="BK39" s="190">
        <f t="shared" si="15"/>
        <v>0</v>
      </c>
      <c r="BL39" s="190">
        <f t="shared" si="16"/>
        <v>0</v>
      </c>
      <c r="BM39" s="190">
        <f t="shared" si="17"/>
        <v>0</v>
      </c>
      <c r="BN39" s="190"/>
      <c r="BO39" s="170">
        <f t="shared" si="18"/>
        <v>0</v>
      </c>
      <c r="BP39" s="71">
        <f t="shared" si="19"/>
        <v>0</v>
      </c>
      <c r="BQ39" s="112">
        <f t="shared" si="20"/>
        <v>0</v>
      </c>
      <c r="BR39" s="112">
        <f t="shared" si="21"/>
        <v>0</v>
      </c>
      <c r="BS39" s="112">
        <f t="shared" si="22"/>
        <v>0</v>
      </c>
      <c r="BT39" s="112">
        <f t="shared" si="23"/>
        <v>0</v>
      </c>
      <c r="BU39" s="112">
        <f t="shared" si="24"/>
        <v>0</v>
      </c>
      <c r="BV39" s="112">
        <f t="shared" si="25"/>
        <v>0</v>
      </c>
      <c r="BW39" s="112">
        <f t="shared" si="26"/>
        <v>0</v>
      </c>
      <c r="BX39" s="112">
        <f t="shared" si="27"/>
        <v>0</v>
      </c>
      <c r="BY39" s="71">
        <f t="shared" si="28"/>
        <v>0</v>
      </c>
      <c r="BZ39" s="113">
        <f t="shared" si="29"/>
        <v>0</v>
      </c>
      <c r="CA39" s="71"/>
      <c r="CB39" s="71"/>
      <c r="CC39" s="71">
        <f t="shared" si="30"/>
        <v>0</v>
      </c>
      <c r="CD39" s="71">
        <f t="shared" si="31"/>
        <v>0</v>
      </c>
      <c r="CE39" s="71">
        <f t="shared" si="32"/>
        <v>0</v>
      </c>
      <c r="CF39" s="71">
        <f t="shared" si="33"/>
        <v>0</v>
      </c>
      <c r="CG39" s="71">
        <f t="shared" si="34"/>
        <v>0</v>
      </c>
      <c r="CH39" s="166">
        <f t="shared" si="35"/>
        <v>0</v>
      </c>
      <c r="CI39" s="263">
        <f t="shared" si="36"/>
        <v>0</v>
      </c>
      <c r="CJ39" s="77"/>
      <c r="CK39" s="73"/>
      <c r="CL39" s="172"/>
      <c r="CM39" s="177"/>
      <c r="CN39" s="173"/>
      <c r="CO39" s="178"/>
      <c r="CP39" s="195"/>
      <c r="CQ39" s="179"/>
      <c r="CR39" s="140"/>
      <c r="CS39" s="52"/>
      <c r="CT39" s="309" t="str">
        <f t="shared" si="1"/>
        <v xml:space="preserve">SANDRA MORENO </v>
      </c>
      <c r="CU39" s="293" t="str">
        <f>+'SEMANA DEL 2 AL 7-3-26'!CS40</f>
        <v>CC-1.092.340.667</v>
      </c>
      <c r="CV39" s="293">
        <f t="shared" si="37"/>
        <v>0</v>
      </c>
      <c r="CW39" s="293">
        <f t="shared" si="38"/>
        <v>0</v>
      </c>
      <c r="CX39" s="293"/>
      <c r="CY39" s="293">
        <f t="shared" si="39"/>
        <v>0</v>
      </c>
      <c r="CZ39" s="307"/>
      <c r="DA39" s="307"/>
      <c r="DB39" s="304">
        <f t="shared" si="40"/>
        <v>0</v>
      </c>
      <c r="DC39" s="169">
        <f t="shared" si="41"/>
        <v>0</v>
      </c>
      <c r="DD39" s="347">
        <f t="shared" si="42"/>
        <v>0</v>
      </c>
    </row>
    <row r="40" spans="1:108" ht="18.95" customHeight="1" x14ac:dyDescent="0.25">
      <c r="A40" s="207" t="str">
        <f>+'SEMANA DEL 14 AL 21 '!A40</f>
        <v xml:space="preserve">YENDER PADILLA </v>
      </c>
      <c r="B40" s="284">
        <f>+'SEMANA DEL 14 AL 21 '!AX40</f>
        <v>5</v>
      </c>
      <c r="C40" s="284">
        <f>+'SEMANA DEL 14 AL 21 '!AY40</f>
        <v>9</v>
      </c>
      <c r="D40" s="284">
        <f>+'SEMANA DEL 14 AL 21 '!AZ40</f>
        <v>35</v>
      </c>
      <c r="E40" s="284">
        <f>+'SEMANA DEL 14 AL 21 '!BA40</f>
        <v>4</v>
      </c>
      <c r="F40" s="284">
        <f>+'SEMANA DEL 14 AL 21 '!BB40</f>
        <v>0</v>
      </c>
      <c r="G40" s="284">
        <f>+'SEMANA DEL 14 AL 21 '!BC40</f>
        <v>0</v>
      </c>
      <c r="H40" s="284">
        <f>+'SEMANA DEL 14 AL 21 '!BD40</f>
        <v>0</v>
      </c>
      <c r="I40" s="284">
        <f>+'SEMANA DEL 14 AL 21 '!BE40</f>
        <v>0</v>
      </c>
      <c r="J40" s="284">
        <f>+'SEMANA DEL 14 AL 21 '!BF40</f>
        <v>0</v>
      </c>
      <c r="K40" s="284">
        <f>+'SEMANA DEL 14 AL 21 '!BG40</f>
        <v>0</v>
      </c>
      <c r="L40" s="284">
        <f>+'SEMANA DEL 14 AL 21 '!BH40</f>
        <v>0</v>
      </c>
      <c r="M40" s="284">
        <f>+'SEMANA DEL 14 AL 21 '!BI40</f>
        <v>0</v>
      </c>
      <c r="N40" s="284">
        <f>+'SEMANA DEL 14 AL 21 '!BJ40</f>
        <v>0</v>
      </c>
      <c r="O40" s="284">
        <f>+'SEMANA DEL 14 AL 21 '!BK40</f>
        <v>0</v>
      </c>
      <c r="P40" s="284">
        <f>+'SEMANA DEL 14 AL 21 '!BL40</f>
        <v>0</v>
      </c>
      <c r="Q40" s="284">
        <f>+'SEMANA DEL 14 AL 21 '!BM40</f>
        <v>0</v>
      </c>
      <c r="R40" s="289"/>
      <c r="S40" s="289"/>
      <c r="T40" s="289"/>
      <c r="U40" s="289"/>
      <c r="V40" s="289"/>
      <c r="W40" s="289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289"/>
      <c r="AI40" s="289"/>
      <c r="AJ40" s="289"/>
      <c r="AK40" s="289"/>
      <c r="AL40" s="289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>
        <f t="shared" si="2"/>
        <v>5</v>
      </c>
      <c r="AY40" s="190">
        <f t="shared" si="3"/>
        <v>9</v>
      </c>
      <c r="AZ40" s="190">
        <f t="shared" si="4"/>
        <v>35</v>
      </c>
      <c r="BA40" s="190">
        <f t="shared" si="5"/>
        <v>4</v>
      </c>
      <c r="BB40" s="190">
        <f t="shared" si="6"/>
        <v>0</v>
      </c>
      <c r="BC40" s="190">
        <f t="shared" si="7"/>
        <v>0</v>
      </c>
      <c r="BD40" s="190">
        <f t="shared" si="8"/>
        <v>0</v>
      </c>
      <c r="BE40" s="190">
        <f t="shared" si="9"/>
        <v>0</v>
      </c>
      <c r="BF40" s="190">
        <f t="shared" si="10"/>
        <v>0</v>
      </c>
      <c r="BG40" s="190">
        <f t="shared" si="11"/>
        <v>0</v>
      </c>
      <c r="BH40" s="190">
        <f t="shared" si="12"/>
        <v>0</v>
      </c>
      <c r="BI40" s="190">
        <f t="shared" si="13"/>
        <v>0</v>
      </c>
      <c r="BJ40" s="190">
        <f t="shared" si="14"/>
        <v>0</v>
      </c>
      <c r="BK40" s="190">
        <f t="shared" si="15"/>
        <v>0</v>
      </c>
      <c r="BL40" s="190">
        <f t="shared" si="16"/>
        <v>0</v>
      </c>
      <c r="BM40" s="190">
        <f t="shared" si="17"/>
        <v>0</v>
      </c>
      <c r="BN40" s="190"/>
      <c r="BO40" s="170">
        <f t="shared" si="18"/>
        <v>0</v>
      </c>
      <c r="BP40" s="71">
        <f t="shared" si="19"/>
        <v>0</v>
      </c>
      <c r="BQ40" s="112">
        <f t="shared" si="20"/>
        <v>0</v>
      </c>
      <c r="BR40" s="112">
        <f t="shared" si="21"/>
        <v>0</v>
      </c>
      <c r="BS40" s="112">
        <f t="shared" si="22"/>
        <v>0</v>
      </c>
      <c r="BT40" s="112">
        <f t="shared" si="23"/>
        <v>0</v>
      </c>
      <c r="BU40" s="112">
        <f t="shared" si="24"/>
        <v>0</v>
      </c>
      <c r="BV40" s="112">
        <f t="shared" si="25"/>
        <v>0</v>
      </c>
      <c r="BW40" s="112">
        <f t="shared" si="26"/>
        <v>0</v>
      </c>
      <c r="BX40" s="112">
        <f t="shared" si="27"/>
        <v>0</v>
      </c>
      <c r="BY40" s="71">
        <f t="shared" si="28"/>
        <v>0</v>
      </c>
      <c r="BZ40" s="113">
        <f t="shared" si="29"/>
        <v>0</v>
      </c>
      <c r="CA40" s="71"/>
      <c r="CB40" s="71"/>
      <c r="CC40" s="71">
        <f t="shared" si="30"/>
        <v>0</v>
      </c>
      <c r="CD40" s="71">
        <f t="shared" si="31"/>
        <v>0</v>
      </c>
      <c r="CE40" s="71">
        <f t="shared" si="32"/>
        <v>0</v>
      </c>
      <c r="CF40" s="71">
        <f t="shared" si="33"/>
        <v>0</v>
      </c>
      <c r="CG40" s="71">
        <f t="shared" si="34"/>
        <v>0</v>
      </c>
      <c r="CH40" s="166">
        <f t="shared" si="35"/>
        <v>0</v>
      </c>
      <c r="CI40" s="263">
        <f t="shared" si="36"/>
        <v>0</v>
      </c>
      <c r="CJ40" s="77"/>
      <c r="CK40" s="73"/>
      <c r="CL40" s="172" t="s">
        <v>35</v>
      </c>
      <c r="CM40" s="177">
        <f>+'SEMANA DEL 14 AL 21 '!CP36</f>
        <v>0</v>
      </c>
      <c r="CN40" s="173" t="e">
        <f>+#REF!</f>
        <v>#REF!</v>
      </c>
      <c r="CO40" s="178" t="e">
        <f>+CM40+CN40</f>
        <v>#REF!</v>
      </c>
      <c r="CP40" s="195">
        <f>+AM49</f>
        <v>0</v>
      </c>
      <c r="CQ40" s="179" t="e">
        <f>CO40-CP40</f>
        <v>#REF!</v>
      </c>
      <c r="CR40" s="140"/>
      <c r="CS40" s="52"/>
      <c r="CT40" s="309" t="str">
        <f t="shared" si="1"/>
        <v xml:space="preserve">YENDER PADILLA </v>
      </c>
      <c r="CU40" s="293" t="str">
        <f>+'SEMANA DEL 2 AL 7-3-26'!CS42</f>
        <v>V-14,975,665</v>
      </c>
      <c r="CV40" s="293">
        <f t="shared" si="37"/>
        <v>0</v>
      </c>
      <c r="CW40" s="293">
        <f t="shared" si="38"/>
        <v>0</v>
      </c>
      <c r="CX40" s="293"/>
      <c r="CY40" s="293">
        <f t="shared" si="39"/>
        <v>0</v>
      </c>
      <c r="CZ40" s="307"/>
      <c r="DA40" s="307"/>
      <c r="DB40" s="304">
        <f t="shared" si="40"/>
        <v>0</v>
      </c>
      <c r="DC40" s="169">
        <f t="shared" si="41"/>
        <v>0</v>
      </c>
      <c r="DD40" s="347">
        <f t="shared" si="42"/>
        <v>0</v>
      </c>
    </row>
    <row r="41" spans="1:108" ht="18.95" customHeight="1" x14ac:dyDescent="0.25">
      <c r="A41" s="207" t="str">
        <f>+'SEMANA DEL 14 AL 21 '!A41</f>
        <v xml:space="preserve">YEFERSON CONTRERAS </v>
      </c>
      <c r="B41" s="284">
        <f>+'SEMANA DEL 14 AL 21 '!AX41</f>
        <v>5</v>
      </c>
      <c r="C41" s="284">
        <f>+'SEMANA DEL 14 AL 21 '!AY41</f>
        <v>9</v>
      </c>
      <c r="D41" s="284">
        <f>+'SEMANA DEL 14 AL 21 '!AZ41</f>
        <v>35</v>
      </c>
      <c r="E41" s="284">
        <f>+'SEMANA DEL 14 AL 21 '!BA41</f>
        <v>4</v>
      </c>
      <c r="F41" s="284">
        <f>+'SEMANA DEL 14 AL 21 '!BB41</f>
        <v>0</v>
      </c>
      <c r="G41" s="284">
        <f>+'SEMANA DEL 14 AL 21 '!BC41</f>
        <v>0</v>
      </c>
      <c r="H41" s="284">
        <f>+'SEMANA DEL 14 AL 21 '!BD41</f>
        <v>0</v>
      </c>
      <c r="I41" s="284">
        <f>+'SEMANA DEL 14 AL 21 '!BE41</f>
        <v>0</v>
      </c>
      <c r="J41" s="284">
        <f>+'SEMANA DEL 14 AL 21 '!BF41</f>
        <v>0</v>
      </c>
      <c r="K41" s="284">
        <f>+'SEMANA DEL 14 AL 21 '!BG41</f>
        <v>0</v>
      </c>
      <c r="L41" s="284">
        <f>+'SEMANA DEL 14 AL 21 '!BH41</f>
        <v>0</v>
      </c>
      <c r="M41" s="284">
        <f>+'SEMANA DEL 14 AL 21 '!BI41</f>
        <v>0</v>
      </c>
      <c r="N41" s="284">
        <f>+'SEMANA DEL 14 AL 21 '!BJ41</f>
        <v>0</v>
      </c>
      <c r="O41" s="284">
        <f>+'SEMANA DEL 14 AL 21 '!BK41</f>
        <v>0</v>
      </c>
      <c r="P41" s="284">
        <f>+'SEMANA DEL 14 AL 21 '!BL41</f>
        <v>0</v>
      </c>
      <c r="Q41" s="284">
        <f>+'SEMANA DEL 14 AL 21 '!BM41</f>
        <v>0</v>
      </c>
      <c r="R41" s="289"/>
      <c r="S41" s="289"/>
      <c r="T41" s="289"/>
      <c r="U41" s="289"/>
      <c r="V41" s="289"/>
      <c r="W41" s="289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289"/>
      <c r="AI41" s="289"/>
      <c r="AJ41" s="289"/>
      <c r="AK41" s="289"/>
      <c r="AL41" s="289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0"/>
      <c r="AX41" s="190">
        <f t="shared" si="2"/>
        <v>5</v>
      </c>
      <c r="AY41" s="190">
        <f t="shared" si="3"/>
        <v>9</v>
      </c>
      <c r="AZ41" s="190">
        <f t="shared" si="4"/>
        <v>35</v>
      </c>
      <c r="BA41" s="190">
        <f t="shared" si="5"/>
        <v>4</v>
      </c>
      <c r="BB41" s="190">
        <f t="shared" si="6"/>
        <v>0</v>
      </c>
      <c r="BC41" s="190">
        <f t="shared" si="7"/>
        <v>0</v>
      </c>
      <c r="BD41" s="190">
        <f t="shared" si="8"/>
        <v>0</v>
      </c>
      <c r="BE41" s="190">
        <f t="shared" si="9"/>
        <v>0</v>
      </c>
      <c r="BF41" s="190">
        <f t="shared" si="10"/>
        <v>0</v>
      </c>
      <c r="BG41" s="190">
        <f t="shared" si="11"/>
        <v>0</v>
      </c>
      <c r="BH41" s="190">
        <f t="shared" si="12"/>
        <v>0</v>
      </c>
      <c r="BI41" s="190">
        <f t="shared" si="13"/>
        <v>0</v>
      </c>
      <c r="BJ41" s="190">
        <f t="shared" si="14"/>
        <v>0</v>
      </c>
      <c r="BK41" s="190">
        <f t="shared" si="15"/>
        <v>0</v>
      </c>
      <c r="BL41" s="190">
        <f t="shared" si="16"/>
        <v>0</v>
      </c>
      <c r="BM41" s="190">
        <f t="shared" si="17"/>
        <v>0</v>
      </c>
      <c r="BN41" s="190"/>
      <c r="BO41" s="170">
        <f t="shared" si="18"/>
        <v>0</v>
      </c>
      <c r="BP41" s="71">
        <f t="shared" si="19"/>
        <v>0</v>
      </c>
      <c r="BQ41" s="112">
        <f t="shared" si="20"/>
        <v>0</v>
      </c>
      <c r="BR41" s="112">
        <f t="shared" si="21"/>
        <v>0</v>
      </c>
      <c r="BS41" s="112">
        <f t="shared" si="22"/>
        <v>0</v>
      </c>
      <c r="BT41" s="112">
        <f t="shared" si="23"/>
        <v>0</v>
      </c>
      <c r="BU41" s="112">
        <f t="shared" si="24"/>
        <v>0</v>
      </c>
      <c r="BV41" s="112">
        <f t="shared" si="25"/>
        <v>0</v>
      </c>
      <c r="BW41" s="112">
        <f t="shared" si="26"/>
        <v>0</v>
      </c>
      <c r="BX41" s="112">
        <f t="shared" si="27"/>
        <v>0</v>
      </c>
      <c r="BY41" s="71">
        <f t="shared" si="28"/>
        <v>0</v>
      </c>
      <c r="BZ41" s="113">
        <f t="shared" si="29"/>
        <v>0</v>
      </c>
      <c r="CA41" s="71"/>
      <c r="CB41" s="71"/>
      <c r="CC41" s="71">
        <f t="shared" si="30"/>
        <v>0</v>
      </c>
      <c r="CD41" s="71">
        <f t="shared" si="31"/>
        <v>0</v>
      </c>
      <c r="CE41" s="71">
        <f t="shared" si="32"/>
        <v>0</v>
      </c>
      <c r="CF41" s="71">
        <f t="shared" si="33"/>
        <v>0</v>
      </c>
      <c r="CG41" s="71">
        <f t="shared" si="34"/>
        <v>0</v>
      </c>
      <c r="CH41" s="166">
        <f t="shared" si="35"/>
        <v>0</v>
      </c>
      <c r="CI41" s="263">
        <f t="shared" si="36"/>
        <v>0</v>
      </c>
      <c r="CJ41" s="77"/>
      <c r="CK41" s="73"/>
      <c r="CL41" s="172"/>
      <c r="CM41" s="177"/>
      <c r="CN41" s="173"/>
      <c r="CO41" s="178"/>
      <c r="CP41" s="195"/>
      <c r="CQ41" s="179"/>
      <c r="CR41" s="140"/>
      <c r="CS41" s="52"/>
      <c r="CT41" s="309" t="str">
        <f t="shared" si="1"/>
        <v xml:space="preserve">YEFERSON CONTRERAS </v>
      </c>
      <c r="CU41" s="293" t="str">
        <f>+'SEMANA DEL 2 AL 7-3-26'!CS43</f>
        <v>V-11.017.442</v>
      </c>
      <c r="CV41" s="293">
        <f t="shared" ref="CV41" si="43">+BN41</f>
        <v>0</v>
      </c>
      <c r="CW41" s="293">
        <f t="shared" ref="CW41" si="44">+AW41</f>
        <v>0</v>
      </c>
      <c r="CX41" s="293"/>
      <c r="CY41" s="293">
        <f t="shared" si="39"/>
        <v>0</v>
      </c>
      <c r="CZ41" s="307"/>
      <c r="DA41" s="307"/>
      <c r="DB41" s="304">
        <f t="shared" ref="DB41:DB44" si="45">+CZ41*6500+DA41*3500</f>
        <v>0</v>
      </c>
      <c r="DC41" s="169">
        <f t="shared" ref="DC41:DC44" si="46">+CI41</f>
        <v>0</v>
      </c>
      <c r="DD41" s="347">
        <f t="shared" ref="DD41:DD44" si="47">+DB41+DC41+CY41</f>
        <v>0</v>
      </c>
    </row>
    <row r="42" spans="1:108" ht="18.95" customHeight="1" x14ac:dyDescent="0.25">
      <c r="A42" s="207" t="str">
        <f>+'SEMANA DEL 14 AL 21 '!A42</f>
        <v>YARIRETH ROA</v>
      </c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9"/>
      <c r="S42" s="289"/>
      <c r="T42" s="289"/>
      <c r="U42" s="289"/>
      <c r="V42" s="289"/>
      <c r="W42" s="289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289"/>
      <c r="AI42" s="289"/>
      <c r="AJ42" s="289"/>
      <c r="AK42" s="289"/>
      <c r="AL42" s="289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 s="190"/>
      <c r="AX42" s="190"/>
      <c r="AY42" s="190"/>
      <c r="AZ42" s="190"/>
      <c r="BA42" s="190"/>
      <c r="BB42" s="190"/>
      <c r="BC42" s="190"/>
      <c r="BD42" s="190"/>
      <c r="BE42" s="190"/>
      <c r="BF42" s="190"/>
      <c r="BG42" s="190"/>
      <c r="BH42" s="190"/>
      <c r="BI42" s="190"/>
      <c r="BJ42" s="190"/>
      <c r="BK42" s="190"/>
      <c r="BL42" s="190"/>
      <c r="BM42" s="190"/>
      <c r="BN42" s="190"/>
      <c r="BO42" s="170"/>
      <c r="BP42" s="71"/>
      <c r="BQ42" s="112"/>
      <c r="BR42" s="112"/>
      <c r="BS42" s="112"/>
      <c r="BT42" s="112"/>
      <c r="BU42" s="112"/>
      <c r="BV42" s="112"/>
      <c r="BW42" s="112"/>
      <c r="BX42" s="112"/>
      <c r="BY42" s="71"/>
      <c r="BZ42" s="113"/>
      <c r="CA42" s="71"/>
      <c r="CB42" s="71"/>
      <c r="CC42" s="71"/>
      <c r="CD42" s="71"/>
      <c r="CE42" s="71"/>
      <c r="CF42" s="71"/>
      <c r="CG42" s="71"/>
      <c r="CH42" s="166"/>
      <c r="CI42" s="263"/>
      <c r="CJ42" s="77"/>
      <c r="CK42" s="73"/>
      <c r="CL42" s="172"/>
      <c r="CM42" s="177"/>
      <c r="CN42" s="173"/>
      <c r="CO42" s="178"/>
      <c r="CP42" s="195"/>
      <c r="CQ42" s="179"/>
      <c r="CR42" s="140"/>
      <c r="CS42" s="52"/>
      <c r="CT42" s="309"/>
      <c r="CU42" s="293"/>
      <c r="CV42" s="293"/>
      <c r="CW42" s="293"/>
      <c r="CX42" s="293"/>
      <c r="CY42" s="293"/>
      <c r="CZ42" s="307"/>
      <c r="DA42" s="307"/>
      <c r="DB42" s="304"/>
      <c r="DC42" s="169"/>
      <c r="DD42" s="347"/>
    </row>
    <row r="43" spans="1:108" ht="18.95" customHeight="1" x14ac:dyDescent="0.25">
      <c r="A43" s="207" t="str">
        <f>+'SEMANA DEL 14 AL 21 '!A43</f>
        <v xml:space="preserve">YOLI BECERRA 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9"/>
      <c r="S43" s="289"/>
      <c r="T43" s="289"/>
      <c r="U43" s="289"/>
      <c r="V43" s="289"/>
      <c r="W43" s="289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289"/>
      <c r="AI43" s="289"/>
      <c r="AJ43" s="289"/>
      <c r="AK43" s="289"/>
      <c r="AL43" s="289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90"/>
      <c r="AX43" s="190"/>
      <c r="AY43" s="190"/>
      <c r="AZ43" s="190"/>
      <c r="BA43" s="190"/>
      <c r="BB43" s="190"/>
      <c r="BC43" s="190"/>
      <c r="BD43" s="190"/>
      <c r="BE43" s="190"/>
      <c r="BF43" s="190"/>
      <c r="BG43" s="190"/>
      <c r="BH43" s="190"/>
      <c r="BI43" s="190"/>
      <c r="BJ43" s="190"/>
      <c r="BK43" s="190"/>
      <c r="BL43" s="190"/>
      <c r="BM43" s="190"/>
      <c r="BN43" s="190"/>
      <c r="BO43" s="170"/>
      <c r="BP43" s="71"/>
      <c r="BQ43" s="112"/>
      <c r="BR43" s="112"/>
      <c r="BS43" s="112"/>
      <c r="BT43" s="112"/>
      <c r="BU43" s="112"/>
      <c r="BV43" s="112"/>
      <c r="BW43" s="112"/>
      <c r="BX43" s="112"/>
      <c r="BY43" s="71"/>
      <c r="BZ43" s="113"/>
      <c r="CA43" s="71"/>
      <c r="CB43" s="71"/>
      <c r="CC43" s="71"/>
      <c r="CD43" s="71"/>
      <c r="CE43" s="71"/>
      <c r="CF43" s="71"/>
      <c r="CG43" s="71"/>
      <c r="CH43" s="166"/>
      <c r="CI43" s="263"/>
      <c r="CJ43" s="77"/>
      <c r="CK43" s="73"/>
      <c r="CL43" s="172"/>
      <c r="CM43" s="177"/>
      <c r="CN43" s="173"/>
      <c r="CO43" s="178"/>
      <c r="CP43" s="195"/>
      <c r="CQ43" s="179"/>
      <c r="CR43" s="140"/>
      <c r="CS43" s="52"/>
      <c r="CT43" s="309"/>
      <c r="CU43" s="293"/>
      <c r="CV43" s="293"/>
      <c r="CW43" s="293"/>
      <c r="CX43" s="293"/>
      <c r="CY43" s="293"/>
      <c r="CZ43" s="307"/>
      <c r="DA43" s="307"/>
      <c r="DB43" s="304"/>
      <c r="DC43" s="169"/>
      <c r="DD43" s="347"/>
    </row>
    <row r="44" spans="1:108" ht="18.95" customHeight="1" x14ac:dyDescent="0.25">
      <c r="A44" s="207" t="str">
        <f>+'SEMANA DEL 14 AL 21 '!A44</f>
        <v xml:space="preserve">MUESTRAS SRA MARIA </v>
      </c>
      <c r="B44" s="284">
        <f>+'SEMANA DEL 14 AL 21 '!AX44</f>
        <v>0</v>
      </c>
      <c r="C44" s="284">
        <f>+'SEMANA DEL 14 AL 21 '!AY44</f>
        <v>0</v>
      </c>
      <c r="D44" s="284">
        <f>+'SEMANA DEL 14 AL 21 '!AZ44</f>
        <v>0</v>
      </c>
      <c r="E44" s="284">
        <f>+'SEMANA DEL 14 AL 21 '!BA44</f>
        <v>0</v>
      </c>
      <c r="F44" s="284">
        <f>+'SEMANA DEL 14 AL 21 '!BB44</f>
        <v>0</v>
      </c>
      <c r="G44" s="284">
        <f>+'SEMANA DEL 14 AL 21 '!BC44</f>
        <v>0</v>
      </c>
      <c r="H44" s="284">
        <f>+'SEMANA DEL 14 AL 21 '!BD44</f>
        <v>0</v>
      </c>
      <c r="I44" s="284">
        <f>+'SEMANA DEL 14 AL 21 '!BE44</f>
        <v>0</v>
      </c>
      <c r="J44" s="284">
        <f>+'SEMANA DEL 14 AL 21 '!BF44</f>
        <v>0</v>
      </c>
      <c r="K44" s="284">
        <f>+'SEMANA DEL 14 AL 21 '!BG44</f>
        <v>0</v>
      </c>
      <c r="L44" s="284">
        <f>+'SEMANA DEL 14 AL 21 '!BH44</f>
        <v>0</v>
      </c>
      <c r="M44" s="284">
        <f>+'SEMANA DEL 14 AL 21 '!BI44</f>
        <v>0</v>
      </c>
      <c r="N44" s="284">
        <f>+'SEMANA DEL 14 AL 21 '!BJ44</f>
        <v>0</v>
      </c>
      <c r="O44" s="284">
        <f>+'SEMANA DEL 14 AL 21 '!BK44</f>
        <v>0</v>
      </c>
      <c r="P44" s="284">
        <f>+'SEMANA DEL 14 AL 21 '!BL44</f>
        <v>0</v>
      </c>
      <c r="Q44" s="284">
        <f>+'SEMANA DEL 14 AL 21 '!BM44</f>
        <v>0</v>
      </c>
      <c r="R44" s="289"/>
      <c r="S44" s="289"/>
      <c r="T44" s="289"/>
      <c r="U44" s="289"/>
      <c r="V44" s="289"/>
      <c r="W44" s="289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289"/>
      <c r="AI44" s="289"/>
      <c r="AJ44" s="289"/>
      <c r="AK44" s="289"/>
      <c r="AL44" s="289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>
        <f t="shared" si="2"/>
        <v>0</v>
      </c>
      <c r="AY44" s="190">
        <f t="shared" si="3"/>
        <v>0</v>
      </c>
      <c r="AZ44" s="190">
        <f t="shared" si="4"/>
        <v>0</v>
      </c>
      <c r="BA44" s="190">
        <f t="shared" si="5"/>
        <v>0</v>
      </c>
      <c r="BB44" s="190">
        <f t="shared" si="6"/>
        <v>0</v>
      </c>
      <c r="BC44" s="190">
        <f t="shared" si="7"/>
        <v>0</v>
      </c>
      <c r="BD44" s="190">
        <f t="shared" si="8"/>
        <v>0</v>
      </c>
      <c r="BE44" s="190">
        <f t="shared" si="9"/>
        <v>0</v>
      </c>
      <c r="BF44" s="190">
        <f t="shared" si="10"/>
        <v>0</v>
      </c>
      <c r="BG44" s="190">
        <f t="shared" si="11"/>
        <v>0</v>
      </c>
      <c r="BH44" s="190">
        <f t="shared" si="12"/>
        <v>0</v>
      </c>
      <c r="BI44" s="190">
        <f t="shared" si="13"/>
        <v>0</v>
      </c>
      <c r="BJ44" s="190">
        <f t="shared" si="14"/>
        <v>0</v>
      </c>
      <c r="BK44" s="190">
        <f t="shared" si="15"/>
        <v>0</v>
      </c>
      <c r="BL44" s="190">
        <f t="shared" si="16"/>
        <v>0</v>
      </c>
      <c r="BM44" s="190">
        <f t="shared" si="17"/>
        <v>0</v>
      </c>
      <c r="BN44" s="190"/>
      <c r="BO44" s="170">
        <f t="shared" si="18"/>
        <v>0</v>
      </c>
      <c r="BP44" s="71">
        <f t="shared" si="19"/>
        <v>0</v>
      </c>
      <c r="BQ44" s="112">
        <f t="shared" si="20"/>
        <v>0</v>
      </c>
      <c r="BR44" s="112">
        <f t="shared" si="21"/>
        <v>0</v>
      </c>
      <c r="BS44" s="112">
        <f t="shared" si="22"/>
        <v>0</v>
      </c>
      <c r="BT44" s="112">
        <f t="shared" si="23"/>
        <v>0</v>
      </c>
      <c r="BU44" s="112">
        <f t="shared" si="24"/>
        <v>0</v>
      </c>
      <c r="BV44" s="112">
        <f t="shared" si="25"/>
        <v>0</v>
      </c>
      <c r="BW44" s="112">
        <f t="shared" si="26"/>
        <v>0</v>
      </c>
      <c r="BX44" s="112">
        <f t="shared" si="27"/>
        <v>0</v>
      </c>
      <c r="BY44" s="71">
        <f t="shared" si="28"/>
        <v>0</v>
      </c>
      <c r="BZ44" s="113">
        <f t="shared" si="29"/>
        <v>0</v>
      </c>
      <c r="CA44" s="71"/>
      <c r="CB44" s="71"/>
      <c r="CC44" s="71">
        <f t="shared" si="30"/>
        <v>0</v>
      </c>
      <c r="CD44" s="71">
        <f t="shared" si="31"/>
        <v>0</v>
      </c>
      <c r="CE44" s="71">
        <f t="shared" si="32"/>
        <v>0</v>
      </c>
      <c r="CF44" s="71">
        <f t="shared" si="33"/>
        <v>0</v>
      </c>
      <c r="CG44" s="71">
        <f t="shared" si="34"/>
        <v>0</v>
      </c>
      <c r="CH44" s="166">
        <f t="shared" si="35"/>
        <v>0</v>
      </c>
      <c r="CI44" s="263">
        <f t="shared" si="36"/>
        <v>0</v>
      </c>
      <c r="CJ44" s="77"/>
      <c r="CK44" s="73"/>
      <c r="CL44" s="172"/>
      <c r="CM44" s="177"/>
      <c r="CN44" s="173"/>
      <c r="CO44" s="178"/>
      <c r="CP44" s="195"/>
      <c r="CQ44" s="179"/>
      <c r="CR44" s="140"/>
      <c r="CS44" s="52"/>
      <c r="CT44" s="309" t="str">
        <f t="shared" si="1"/>
        <v xml:space="preserve">MUESTRAS SRA MARIA </v>
      </c>
      <c r="CU44" s="293">
        <f>+'SEMANA DEL 2 AL 7-3-26'!CS44</f>
        <v>0</v>
      </c>
      <c r="CV44" s="293">
        <f t="shared" ref="CV44" si="48">+BN44</f>
        <v>0</v>
      </c>
      <c r="CW44" s="293">
        <f t="shared" ref="CW44" si="49">+AW44</f>
        <v>0</v>
      </c>
      <c r="CX44" s="293"/>
      <c r="CY44" s="293">
        <f t="shared" si="39"/>
        <v>0</v>
      </c>
      <c r="CZ44" s="307"/>
      <c r="DA44" s="307"/>
      <c r="DB44" s="304">
        <f t="shared" si="45"/>
        <v>0</v>
      </c>
      <c r="DC44" s="169">
        <f t="shared" si="46"/>
        <v>0</v>
      </c>
      <c r="DD44" s="347">
        <f t="shared" si="47"/>
        <v>0</v>
      </c>
    </row>
    <row r="45" spans="1:108" ht="18.95" customHeight="1" x14ac:dyDescent="0.25">
      <c r="A45" s="207">
        <f>+'SEMANA DEL 14 AL 21 '!A45</f>
        <v>0</v>
      </c>
      <c r="B45" s="284">
        <f>+'SEMANA DEL 14 AL 21 '!AX45</f>
        <v>95.795999999999992</v>
      </c>
      <c r="C45" s="284">
        <f>+'SEMANA DEL 14 AL 21 '!AY45</f>
        <v>171.39800000000002</v>
      </c>
      <c r="D45" s="284">
        <f>+'SEMANA DEL 14 AL 21 '!AZ45</f>
        <v>695.49800000000005</v>
      </c>
      <c r="E45" s="284">
        <f>+'SEMANA DEL 14 AL 21 '!BA45</f>
        <v>75</v>
      </c>
      <c r="F45" s="284">
        <f>+'SEMANA DEL 14 AL 21 '!BB45</f>
        <v>0</v>
      </c>
      <c r="G45" s="284">
        <f>+'SEMANA DEL 14 AL 21 '!BC45</f>
        <v>0.25</v>
      </c>
      <c r="H45" s="284">
        <f>+'SEMANA DEL 14 AL 21 '!BD45</f>
        <v>0</v>
      </c>
      <c r="I45" s="284">
        <f>+'SEMANA DEL 14 AL 21 '!BE45</f>
        <v>8</v>
      </c>
      <c r="J45" s="284">
        <f>+'SEMANA DEL 14 AL 21 '!BF45</f>
        <v>0</v>
      </c>
      <c r="K45" s="284">
        <f>+'SEMANA DEL 14 AL 21 '!BG45</f>
        <v>0</v>
      </c>
      <c r="L45" s="284">
        <f>+'SEMANA DEL 14 AL 21 '!BH45</f>
        <v>0</v>
      </c>
      <c r="M45" s="284">
        <f>+'SEMANA DEL 14 AL 21 '!BI45</f>
        <v>0</v>
      </c>
      <c r="N45" s="284">
        <f>+'SEMANA DEL 14 AL 21 '!BJ45</f>
        <v>0</v>
      </c>
      <c r="O45" s="284">
        <f>+'SEMANA DEL 14 AL 21 '!BK45</f>
        <v>0</v>
      </c>
      <c r="P45" s="284">
        <f>+'SEMANA DEL 14 AL 21 '!BL45</f>
        <v>0</v>
      </c>
      <c r="Q45" s="284">
        <f>+'SEMANA DEL 14 AL 21 '!BM45</f>
        <v>0</v>
      </c>
      <c r="R45" s="289"/>
      <c r="S45" s="289"/>
      <c r="T45" s="289"/>
      <c r="U45" s="289"/>
      <c r="V45" s="289"/>
      <c r="W45" s="289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289"/>
      <c r="AI45" s="289"/>
      <c r="AJ45" s="289"/>
      <c r="AK45" s="289"/>
      <c r="AL45" s="289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0"/>
      <c r="AX45" s="190">
        <f t="shared" si="2"/>
        <v>95.795999999999992</v>
      </c>
      <c r="AY45" s="190">
        <f t="shared" si="3"/>
        <v>171.39800000000002</v>
      </c>
      <c r="AZ45" s="190">
        <f t="shared" si="4"/>
        <v>695.49800000000005</v>
      </c>
      <c r="BA45" s="190">
        <f t="shared" si="5"/>
        <v>75</v>
      </c>
      <c r="BB45" s="190">
        <f t="shared" si="6"/>
        <v>0</v>
      </c>
      <c r="BC45" s="190">
        <f t="shared" si="7"/>
        <v>0.25</v>
      </c>
      <c r="BD45" s="190">
        <f t="shared" si="8"/>
        <v>0</v>
      </c>
      <c r="BE45" s="190">
        <f t="shared" si="9"/>
        <v>8</v>
      </c>
      <c r="BF45" s="190">
        <f t="shared" si="10"/>
        <v>0</v>
      </c>
      <c r="BG45" s="190">
        <f t="shared" si="11"/>
        <v>0</v>
      </c>
      <c r="BH45" s="190">
        <f t="shared" si="12"/>
        <v>0</v>
      </c>
      <c r="BI45" s="190">
        <f t="shared" si="13"/>
        <v>0</v>
      </c>
      <c r="BJ45" s="190">
        <f t="shared" si="14"/>
        <v>0</v>
      </c>
      <c r="BK45" s="190">
        <f t="shared" si="15"/>
        <v>0</v>
      </c>
      <c r="BL45" s="190">
        <f t="shared" si="16"/>
        <v>0</v>
      </c>
      <c r="BM45" s="190">
        <f t="shared" si="17"/>
        <v>0</v>
      </c>
      <c r="BN45" s="190"/>
      <c r="BO45" s="170">
        <f t="shared" si="18"/>
        <v>0</v>
      </c>
      <c r="BP45" s="71">
        <f t="shared" si="19"/>
        <v>0</v>
      </c>
      <c r="BQ45" s="112">
        <f t="shared" si="20"/>
        <v>0</v>
      </c>
      <c r="BR45" s="112">
        <f t="shared" si="21"/>
        <v>0</v>
      </c>
      <c r="BS45" s="112">
        <f t="shared" si="22"/>
        <v>0</v>
      </c>
      <c r="BT45" s="112">
        <f t="shared" si="23"/>
        <v>0</v>
      </c>
      <c r="BU45" s="112">
        <f t="shared" si="24"/>
        <v>0</v>
      </c>
      <c r="BV45" s="112">
        <f t="shared" si="25"/>
        <v>0</v>
      </c>
      <c r="BW45" s="112">
        <f t="shared" si="26"/>
        <v>0</v>
      </c>
      <c r="BX45" s="112">
        <f t="shared" si="27"/>
        <v>0</v>
      </c>
      <c r="BY45" s="71">
        <f t="shared" si="28"/>
        <v>0</v>
      </c>
      <c r="BZ45" s="113">
        <f t="shared" si="29"/>
        <v>0</v>
      </c>
      <c r="CA45" s="71"/>
      <c r="CB45" s="71"/>
      <c r="CC45" s="71">
        <f t="shared" si="30"/>
        <v>0</v>
      </c>
      <c r="CD45" s="71">
        <f t="shared" si="31"/>
        <v>0</v>
      </c>
      <c r="CE45" s="71">
        <f t="shared" si="32"/>
        <v>0</v>
      </c>
      <c r="CF45" s="71">
        <f t="shared" si="33"/>
        <v>0</v>
      </c>
      <c r="CG45" s="71">
        <f t="shared" si="34"/>
        <v>0</v>
      </c>
      <c r="CH45" s="166">
        <f t="shared" si="35"/>
        <v>0</v>
      </c>
      <c r="CI45" s="263">
        <f t="shared" si="36"/>
        <v>0</v>
      </c>
      <c r="CJ45" s="77"/>
      <c r="CK45" s="73"/>
      <c r="CL45" s="172"/>
      <c r="CM45" s="177"/>
      <c r="CN45" s="173"/>
      <c r="CO45" s="178"/>
      <c r="CP45" s="195"/>
      <c r="CQ45" s="179"/>
      <c r="CR45" s="140"/>
      <c r="CS45" s="52"/>
      <c r="CT45" s="309">
        <f t="shared" si="1"/>
        <v>0</v>
      </c>
      <c r="CU45" s="293">
        <f>+'SEMANA DEL 2 AL 7-3-26'!CS45</f>
        <v>0</v>
      </c>
      <c r="CV45" s="293">
        <f t="shared" si="37"/>
        <v>0</v>
      </c>
      <c r="CW45" s="293">
        <f t="shared" si="38"/>
        <v>0</v>
      </c>
      <c r="CX45" s="293"/>
      <c r="CY45" s="293">
        <f t="shared" si="39"/>
        <v>0</v>
      </c>
      <c r="CZ45" s="307"/>
      <c r="DA45" s="307"/>
      <c r="DB45" s="304">
        <f t="shared" si="40"/>
        <v>0</v>
      </c>
      <c r="DC45" s="169">
        <f t="shared" si="41"/>
        <v>0</v>
      </c>
      <c r="DD45" s="347">
        <f t="shared" si="42"/>
        <v>0</v>
      </c>
    </row>
    <row r="46" spans="1:108" x14ac:dyDescent="0.2">
      <c r="S46" s="68"/>
      <c r="BM46" s="44" t="s">
        <v>78</v>
      </c>
      <c r="BN46" s="47" t="e">
        <f>+#REF!+#REF!</f>
        <v>#REF!</v>
      </c>
      <c r="CU46" s="44"/>
      <c r="CV46" s="340"/>
      <c r="CW46" s="340"/>
      <c r="CX46" s="47"/>
      <c r="CY46" s="47"/>
    </row>
    <row r="47" spans="1:108" x14ac:dyDescent="0.2">
      <c r="CV47" s="285"/>
      <c r="CW47" s="285" t="s">
        <v>2</v>
      </c>
    </row>
    <row r="48" spans="1:108" x14ac:dyDescent="0.2">
      <c r="CV48" s="285"/>
      <c r="CW48" s="285"/>
    </row>
    <row r="49" spans="100:101" x14ac:dyDescent="0.2">
      <c r="CV49" s="285"/>
      <c r="CW49" s="285"/>
    </row>
    <row r="50" spans="100:101" x14ac:dyDescent="0.2">
      <c r="CV50" s="285"/>
      <c r="CW50" s="285"/>
    </row>
    <row r="51" spans="100:101" x14ac:dyDescent="0.2">
      <c r="CV51" s="285"/>
      <c r="CW51" s="285"/>
    </row>
    <row r="52" spans="100:101" x14ac:dyDescent="0.2">
      <c r="CV52" s="285"/>
      <c r="CW52" s="285"/>
    </row>
    <row r="53" spans="100:101" x14ac:dyDescent="0.2">
      <c r="CV53" s="285"/>
      <c r="CW53" s="285"/>
    </row>
    <row r="54" spans="100:101" x14ac:dyDescent="0.2">
      <c r="CV54" s="285"/>
      <c r="CW54" s="285"/>
    </row>
    <row r="55" spans="100:101" x14ac:dyDescent="0.2">
      <c r="CV55" s="285"/>
      <c r="CW55" s="285"/>
    </row>
    <row r="56" spans="100:101" x14ac:dyDescent="0.2">
      <c r="CV56" s="285"/>
      <c r="CW56" s="285"/>
    </row>
    <row r="57" spans="100:101" x14ac:dyDescent="0.2">
      <c r="CV57" s="285"/>
      <c r="CW57" s="285"/>
    </row>
    <row r="58" spans="100:101" x14ac:dyDescent="0.2">
      <c r="CV58" s="285"/>
      <c r="CW58" s="285"/>
    </row>
    <row r="59" spans="100:101" x14ac:dyDescent="0.2">
      <c r="CV59" s="285"/>
      <c r="CW59" s="285"/>
    </row>
    <row r="60" spans="100:101" x14ac:dyDescent="0.2">
      <c r="CV60" s="285"/>
      <c r="CW60" s="285"/>
    </row>
    <row r="61" spans="100:101" x14ac:dyDescent="0.2">
      <c r="CV61" s="285"/>
      <c r="CW61" s="285"/>
    </row>
    <row r="62" spans="100:101" x14ac:dyDescent="0.2">
      <c r="CV62" s="285"/>
      <c r="CW62" s="285"/>
    </row>
    <row r="63" spans="100:101" x14ac:dyDescent="0.2">
      <c r="CV63" s="285"/>
      <c r="CW63" s="285"/>
    </row>
    <row r="64" spans="100:101" x14ac:dyDescent="0.2">
      <c r="CV64" s="285"/>
      <c r="CW64" s="285"/>
    </row>
    <row r="65" spans="100:101" x14ac:dyDescent="0.2">
      <c r="CV65" s="285"/>
      <c r="CW65" s="285"/>
    </row>
    <row r="66" spans="100:101" x14ac:dyDescent="0.2">
      <c r="CV66" s="285"/>
      <c r="CW66" s="285"/>
    </row>
    <row r="67" spans="100:101" x14ac:dyDescent="0.2">
      <c r="CV67" s="285"/>
      <c r="CW67" s="285"/>
    </row>
    <row r="68" spans="100:101" x14ac:dyDescent="0.2">
      <c r="CV68" s="285"/>
      <c r="CW68" s="285"/>
    </row>
    <row r="69" spans="100:101" x14ac:dyDescent="0.2">
      <c r="CV69" s="285"/>
      <c r="CW69" s="285"/>
    </row>
    <row r="70" spans="100:101" x14ac:dyDescent="0.2">
      <c r="CV70" s="285"/>
      <c r="CW70" s="285"/>
    </row>
    <row r="71" spans="100:101" x14ac:dyDescent="0.2">
      <c r="CV71" s="285"/>
      <c r="CW71" s="285"/>
    </row>
    <row r="72" spans="100:101" x14ac:dyDescent="0.2">
      <c r="CV72" s="285"/>
      <c r="CW72" s="285"/>
    </row>
    <row r="73" spans="100:101" x14ac:dyDescent="0.2">
      <c r="CV73" s="285"/>
      <c r="CW73" s="285"/>
    </row>
    <row r="74" spans="100:101" x14ac:dyDescent="0.2">
      <c r="CV74" s="285"/>
      <c r="CW74" s="285"/>
    </row>
    <row r="75" spans="100:101" x14ac:dyDescent="0.2">
      <c r="CV75" s="285"/>
      <c r="CW75" s="285"/>
    </row>
    <row r="76" spans="100:101" x14ac:dyDescent="0.2">
      <c r="CV76" s="285"/>
      <c r="CW76" s="285"/>
    </row>
    <row r="77" spans="100:101" x14ac:dyDescent="0.2">
      <c r="CV77" s="285"/>
      <c r="CW77" s="285"/>
    </row>
    <row r="78" spans="100:101" x14ac:dyDescent="0.2">
      <c r="CV78" s="285"/>
      <c r="CW78" s="285"/>
    </row>
    <row r="79" spans="100:101" x14ac:dyDescent="0.2">
      <c r="CV79" s="285"/>
      <c r="CW79" s="285"/>
    </row>
    <row r="80" spans="100:101" x14ac:dyDescent="0.2">
      <c r="CV80" s="285"/>
      <c r="CW80" s="285"/>
    </row>
    <row r="81" spans="100:101" x14ac:dyDescent="0.2">
      <c r="CV81" s="285"/>
      <c r="CW81" s="285"/>
    </row>
    <row r="82" spans="100:101" x14ac:dyDescent="0.2">
      <c r="CV82" s="285"/>
      <c r="CW82" s="285"/>
    </row>
    <row r="83" spans="100:101" x14ac:dyDescent="0.2">
      <c r="CV83" s="285"/>
      <c r="CW83" s="285"/>
    </row>
    <row r="84" spans="100:101" x14ac:dyDescent="0.2">
      <c r="CV84" s="285"/>
      <c r="CW84" s="285"/>
    </row>
    <row r="85" spans="100:101" x14ac:dyDescent="0.2">
      <c r="CV85" s="285"/>
      <c r="CW85" s="285"/>
    </row>
    <row r="86" spans="100:101" x14ac:dyDescent="0.2">
      <c r="CV86" s="285"/>
      <c r="CW86" s="285"/>
    </row>
    <row r="87" spans="100:101" x14ac:dyDescent="0.2">
      <c r="CV87" s="285"/>
      <c r="CW87" s="285"/>
    </row>
    <row r="88" spans="100:101" x14ac:dyDescent="0.2">
      <c r="CV88" s="285"/>
      <c r="CW88" s="285"/>
    </row>
    <row r="89" spans="100:101" x14ac:dyDescent="0.2">
      <c r="CV89" s="285"/>
      <c r="CW89" s="285"/>
    </row>
    <row r="90" spans="100:101" x14ac:dyDescent="0.2">
      <c r="CV90" s="285"/>
      <c r="CW90" s="285"/>
    </row>
    <row r="91" spans="100:101" x14ac:dyDescent="0.2">
      <c r="CV91" s="285"/>
      <c r="CW91" s="285"/>
    </row>
    <row r="92" spans="100:101" x14ac:dyDescent="0.2">
      <c r="CV92" s="285"/>
      <c r="CW92" s="285"/>
    </row>
    <row r="93" spans="100:101" x14ac:dyDescent="0.2">
      <c r="CV93" s="285"/>
      <c r="CW93" s="285"/>
    </row>
    <row r="94" spans="100:101" x14ac:dyDescent="0.2">
      <c r="CV94" s="285"/>
      <c r="CW94" s="285"/>
    </row>
    <row r="95" spans="100:101" x14ac:dyDescent="0.2">
      <c r="CV95" s="285"/>
      <c r="CW95" s="285"/>
    </row>
    <row r="96" spans="100:101" x14ac:dyDescent="0.2">
      <c r="CV96" s="285"/>
      <c r="CW96" s="285"/>
    </row>
    <row r="97" spans="100:101" x14ac:dyDescent="0.2">
      <c r="CV97" s="285"/>
      <c r="CW97" s="285"/>
    </row>
    <row r="98" spans="100:101" x14ac:dyDescent="0.2">
      <c r="CV98" s="285"/>
      <c r="CW98" s="285"/>
    </row>
    <row r="99" spans="100:101" x14ac:dyDescent="0.2">
      <c r="CV99" s="285"/>
      <c r="CW99" s="285"/>
    </row>
    <row r="100" spans="100:101" x14ac:dyDescent="0.2">
      <c r="CV100" s="285"/>
      <c r="CW100" s="285"/>
    </row>
    <row r="101" spans="100:101" x14ac:dyDescent="0.2">
      <c r="CV101" s="285"/>
      <c r="CW101" s="285"/>
    </row>
    <row r="102" spans="100:101" x14ac:dyDescent="0.2">
      <c r="CV102" s="285"/>
      <c r="CW102" s="285"/>
    </row>
    <row r="103" spans="100:101" x14ac:dyDescent="0.2">
      <c r="CV103" s="285"/>
      <c r="CW103" s="285"/>
    </row>
    <row r="104" spans="100:101" x14ac:dyDescent="0.2">
      <c r="CV104" s="285"/>
      <c r="CW104" s="285"/>
    </row>
    <row r="105" spans="100:101" x14ac:dyDescent="0.2">
      <c r="CV105" s="285"/>
      <c r="CW105" s="285"/>
    </row>
    <row r="106" spans="100:101" x14ac:dyDescent="0.2">
      <c r="CV106" s="285"/>
      <c r="CW106" s="285"/>
    </row>
    <row r="107" spans="100:101" x14ac:dyDescent="0.2">
      <c r="CV107" s="285"/>
      <c r="CW107" s="285"/>
    </row>
    <row r="108" spans="100:101" x14ac:dyDescent="0.2">
      <c r="CV108" s="285"/>
      <c r="CW108" s="285"/>
    </row>
    <row r="109" spans="100:101" x14ac:dyDescent="0.2">
      <c r="CV109" s="285"/>
      <c r="CW109" s="285"/>
    </row>
    <row r="110" spans="100:101" x14ac:dyDescent="0.2">
      <c r="CV110" s="285"/>
      <c r="CW110" s="285"/>
    </row>
    <row r="111" spans="100:101" x14ac:dyDescent="0.2">
      <c r="CV111" s="285"/>
      <c r="CW111" s="285"/>
    </row>
    <row r="112" spans="100:101" x14ac:dyDescent="0.2">
      <c r="CV112" s="285"/>
      <c r="CW112" s="285"/>
    </row>
    <row r="113" spans="100:101" x14ac:dyDescent="0.2">
      <c r="CV113" s="285"/>
      <c r="CW113" s="285"/>
    </row>
    <row r="114" spans="100:101" x14ac:dyDescent="0.2">
      <c r="CV114" s="285"/>
      <c r="CW114" s="285"/>
    </row>
    <row r="115" spans="100:101" x14ac:dyDescent="0.2">
      <c r="CV115" s="285"/>
      <c r="CW115" s="285"/>
    </row>
    <row r="116" spans="100:101" x14ac:dyDescent="0.2">
      <c r="CV116" s="285"/>
      <c r="CW116" s="285"/>
    </row>
    <row r="117" spans="100:101" x14ac:dyDescent="0.2">
      <c r="CV117" s="285"/>
      <c r="CW117" s="285"/>
    </row>
    <row r="118" spans="100:101" x14ac:dyDescent="0.2">
      <c r="CV118" s="285"/>
      <c r="CW118" s="285"/>
    </row>
    <row r="119" spans="100:101" x14ac:dyDescent="0.2">
      <c r="CV119" s="285"/>
      <c r="CW119" s="285"/>
    </row>
    <row r="120" spans="100:101" x14ac:dyDescent="0.2">
      <c r="CV120" s="285"/>
      <c r="CW120" s="285"/>
    </row>
    <row r="121" spans="100:101" x14ac:dyDescent="0.2">
      <c r="CV121" s="285"/>
      <c r="CW121" s="285"/>
    </row>
    <row r="122" spans="100:101" x14ac:dyDescent="0.2">
      <c r="CV122" s="285"/>
      <c r="CW122" s="285"/>
    </row>
    <row r="123" spans="100:101" x14ac:dyDescent="0.2">
      <c r="CV123" s="285"/>
      <c r="CW123" s="285"/>
    </row>
    <row r="124" spans="100:101" x14ac:dyDescent="0.2">
      <c r="CV124" s="285"/>
      <c r="CW124" s="285"/>
    </row>
    <row r="125" spans="100:101" x14ac:dyDescent="0.2">
      <c r="CV125" s="285"/>
      <c r="CW125" s="285"/>
    </row>
    <row r="126" spans="100:101" x14ac:dyDescent="0.2">
      <c r="CV126" s="285"/>
      <c r="CW126" s="285"/>
    </row>
    <row r="127" spans="100:101" x14ac:dyDescent="0.2">
      <c r="CV127" s="285"/>
      <c r="CW127" s="285"/>
    </row>
    <row r="128" spans="100:101" x14ac:dyDescent="0.2">
      <c r="CV128" s="285"/>
      <c r="CW128" s="285"/>
    </row>
    <row r="129" spans="99:101" x14ac:dyDescent="0.2">
      <c r="CV129" s="285"/>
      <c r="CW129" s="285"/>
    </row>
    <row r="135" spans="99:101" x14ac:dyDescent="0.2">
      <c r="CU135" t="s">
        <v>2</v>
      </c>
    </row>
    <row r="162" spans="108:108" x14ac:dyDescent="0.2">
      <c r="DD162" s="348" t="s">
        <v>2</v>
      </c>
    </row>
  </sheetData>
  <autoFilter ref="A4:CI4"/>
  <mergeCells count="1">
    <mergeCell ref="AX3:BL3"/>
  </mergeCells>
  <phoneticPr fontId="5" type="noConversion"/>
  <pageMargins left="1.0236220472440944" right="0" top="0.74803149606299213" bottom="0.74803149606299213" header="0.31496062992125984" footer="0.31496062992125984"/>
  <pageSetup scale="54" orientation="landscape" r:id="rId1"/>
  <headerFooter alignWithMargins="0"/>
  <ignoredErrors>
    <ignoredError sqref="BT5 BV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7"/>
    <pageSetUpPr fitToPage="1"/>
  </sheetPr>
  <dimension ref="A1:DF166"/>
  <sheetViews>
    <sheetView topLeftCell="CU13" workbookViewId="0">
      <selection activeCell="DC9" sqref="DC9"/>
    </sheetView>
  </sheetViews>
  <sheetFormatPr baseColWidth="10" defaultColWidth="11.42578125" defaultRowHeight="12.75" x14ac:dyDescent="0.2"/>
  <cols>
    <col min="1" max="1" width="52.5703125" customWidth="1"/>
    <col min="2" max="4" width="10.7109375" customWidth="1"/>
    <col min="5" max="15" width="10.7109375" style="26" customWidth="1"/>
    <col min="16" max="17" width="10.7109375" customWidth="1"/>
    <col min="18" max="18" width="11.28515625" customWidth="1"/>
    <col min="19" max="19" width="10.5703125" customWidth="1"/>
    <col min="20" max="20" width="12.140625" customWidth="1"/>
    <col min="21" max="21" width="10.28515625" customWidth="1"/>
    <col min="22" max="23" width="8.7109375" customWidth="1"/>
    <col min="24" max="24" width="7.85546875" customWidth="1"/>
    <col min="25" max="25" width="10.42578125" customWidth="1"/>
    <col min="26" max="26" width="9.140625" customWidth="1"/>
    <col min="27" max="27" width="8" customWidth="1"/>
    <col min="28" max="28" width="7.85546875" customWidth="1"/>
    <col min="29" max="29" width="7.5703125" customWidth="1"/>
    <col min="30" max="30" width="8.28515625" customWidth="1"/>
    <col min="31" max="31" width="9" customWidth="1"/>
    <col min="32" max="32" width="8.42578125" customWidth="1"/>
    <col min="33" max="33" width="13.140625" customWidth="1"/>
    <col min="34" max="34" width="12.85546875" customWidth="1"/>
    <col min="35" max="35" width="12.140625" style="28" customWidth="1"/>
    <col min="36" max="36" width="12.7109375" style="28" customWidth="1"/>
    <col min="37" max="45" width="12.28515625" style="28" customWidth="1"/>
    <col min="46" max="49" width="12.28515625" customWidth="1"/>
    <col min="50" max="50" width="12.140625" customWidth="1"/>
    <col min="51" max="52" width="13.5703125" customWidth="1"/>
    <col min="53" max="53" width="11.42578125" customWidth="1"/>
    <col min="54" max="54" width="9.7109375" customWidth="1"/>
    <col min="55" max="55" width="11.42578125" customWidth="1"/>
    <col min="56" max="56" width="9.85546875" customWidth="1"/>
    <col min="57" max="57" width="9" bestFit="1" customWidth="1"/>
    <col min="58" max="62" width="8.28515625" customWidth="1"/>
    <col min="63" max="65" width="14.140625" customWidth="1"/>
    <col min="66" max="66" width="18.42578125" customWidth="1"/>
    <col min="67" max="67" width="14.7109375" customWidth="1"/>
    <col min="68" max="68" width="16.28515625" customWidth="1"/>
    <col min="69" max="70" width="17.85546875" customWidth="1"/>
    <col min="71" max="71" width="17.5703125" customWidth="1"/>
    <col min="72" max="72" width="8.140625" customWidth="1"/>
    <col min="73" max="73" width="9.7109375" customWidth="1"/>
    <col min="74" max="74" width="20.7109375" customWidth="1"/>
    <col min="75" max="75" width="15.5703125" customWidth="1"/>
    <col min="76" max="76" width="13" customWidth="1"/>
    <col min="77" max="77" width="17.28515625" customWidth="1"/>
    <col min="78" max="78" width="20.7109375" customWidth="1"/>
    <col min="79" max="79" width="21.85546875" customWidth="1"/>
    <col min="80" max="80" width="25.85546875" customWidth="1"/>
    <col min="81" max="81" width="19" customWidth="1"/>
    <col min="82" max="82" width="21.5703125" customWidth="1"/>
    <col min="83" max="83" width="24.42578125" customWidth="1"/>
    <col min="84" max="84" width="20.42578125" customWidth="1"/>
    <col min="85" max="85" width="21" customWidth="1"/>
    <col min="86" max="86" width="19" customWidth="1"/>
    <col min="87" max="87" width="22.7109375" customWidth="1"/>
    <col min="88" max="88" width="12.7109375" customWidth="1"/>
    <col min="89" max="89" width="11.42578125" customWidth="1"/>
    <col min="90" max="90" width="25.5703125" customWidth="1"/>
    <col min="91" max="91" width="17.140625" customWidth="1"/>
    <col min="92" max="92" width="16.5703125" customWidth="1"/>
    <col min="93" max="93" width="11.5703125" customWidth="1"/>
    <col min="94" max="94" width="12.7109375" customWidth="1"/>
    <col min="95" max="96" width="13.28515625" customWidth="1"/>
    <col min="97" max="97" width="11.42578125" customWidth="1"/>
    <col min="98" max="98" width="66.85546875" customWidth="1"/>
    <col min="99" max="99" width="19.7109375" customWidth="1"/>
    <col min="100" max="100" width="13.42578125" customWidth="1"/>
    <col min="101" max="101" width="14.85546875" customWidth="1"/>
    <col min="102" max="102" width="13.85546875" customWidth="1"/>
    <col min="103" max="103" width="17.5703125" customWidth="1"/>
    <col min="104" max="104" width="10.7109375" customWidth="1"/>
    <col min="105" max="105" width="9.140625" customWidth="1"/>
    <col min="106" max="106" width="18.42578125" customWidth="1"/>
    <col min="107" max="107" width="17" customWidth="1"/>
    <col min="108" max="108" width="22.140625" customWidth="1"/>
  </cols>
  <sheetData>
    <row r="1" spans="1:108" ht="18.75" customHeight="1" x14ac:dyDescent="0.25">
      <c r="A1" s="208" t="s">
        <v>167</v>
      </c>
      <c r="B1" s="210"/>
      <c r="C1" s="209"/>
      <c r="D1" s="210"/>
      <c r="E1" s="211"/>
      <c r="F1" s="211"/>
      <c r="G1" s="211"/>
      <c r="H1" s="212"/>
      <c r="I1" s="212"/>
      <c r="J1" s="212"/>
      <c r="K1" s="212"/>
      <c r="L1" s="212"/>
      <c r="M1" s="212"/>
      <c r="N1" s="212"/>
      <c r="O1" s="212"/>
      <c r="P1" s="115"/>
      <c r="Q1" s="115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79" t="str">
        <f>+A1</f>
        <v>SEMANA DEL 28 AL 5 DE JULIO DEL 2025</v>
      </c>
      <c r="CR1" s="52"/>
      <c r="CS1" s="52"/>
      <c r="CT1" s="324" t="str">
        <f>+CL1</f>
        <v>SEMANA DEL 28 AL 5 DE JULIO DEL 2025</v>
      </c>
      <c r="CU1" s="324"/>
      <c r="CV1" s="325"/>
      <c r="CW1" s="325"/>
      <c r="CX1" s="325"/>
      <c r="CY1" s="325"/>
      <c r="CZ1" s="325"/>
      <c r="DA1" s="325"/>
      <c r="DB1" s="326"/>
      <c r="DC1" s="326"/>
      <c r="DD1" s="326"/>
    </row>
    <row r="2" spans="1:108" ht="18.75" customHeight="1" thickBot="1" x14ac:dyDescent="0.3">
      <c r="A2" s="208" t="s">
        <v>168</v>
      </c>
      <c r="B2" s="210"/>
      <c r="C2" s="209"/>
      <c r="D2" s="210"/>
      <c r="E2" s="211"/>
      <c r="F2" s="211"/>
      <c r="G2" s="211"/>
      <c r="H2" s="212"/>
      <c r="I2" s="212"/>
      <c r="J2" s="212"/>
      <c r="K2" s="212"/>
      <c r="L2" s="212"/>
      <c r="M2" s="212"/>
      <c r="N2" s="212"/>
      <c r="O2" s="212"/>
      <c r="P2" s="115"/>
      <c r="Q2" s="115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273" t="str">
        <f>+A2</f>
        <v>FABRIQUINES SEMANA # 26</v>
      </c>
      <c r="CR2" s="52"/>
      <c r="CS2" s="52"/>
      <c r="CT2" s="324"/>
      <c r="CU2" s="327" t="str">
        <f>+CL2</f>
        <v>FABRIQUINES SEMANA # 26</v>
      </c>
      <c r="CV2" s="325"/>
      <c r="CW2" s="325"/>
      <c r="CX2" s="325"/>
      <c r="CY2" s="325"/>
      <c r="CZ2" s="325"/>
      <c r="DA2" s="325"/>
      <c r="DB2" s="326"/>
      <c r="DC2" s="326"/>
      <c r="DD2" s="326"/>
    </row>
    <row r="3" spans="1:108" ht="18.75" customHeight="1" thickBot="1" x14ac:dyDescent="0.3">
      <c r="A3" s="272" t="s">
        <v>169</v>
      </c>
      <c r="B3" s="208" t="s">
        <v>0</v>
      </c>
      <c r="C3" s="209"/>
      <c r="D3" s="210"/>
      <c r="E3" s="211"/>
      <c r="F3" s="211"/>
      <c r="G3" s="211"/>
      <c r="H3" s="212"/>
      <c r="I3" s="212"/>
      <c r="J3" s="212"/>
      <c r="K3" s="212"/>
      <c r="L3" s="212"/>
      <c r="M3" s="212"/>
      <c r="N3" s="212"/>
      <c r="O3" s="212"/>
      <c r="P3" s="115"/>
      <c r="Q3" s="115"/>
      <c r="R3" s="80" t="s">
        <v>1</v>
      </c>
      <c r="S3" s="81"/>
      <c r="T3" s="81"/>
      <c r="U3" s="81"/>
      <c r="V3" s="81"/>
      <c r="W3" s="81"/>
      <c r="X3" s="81"/>
      <c r="Y3" s="81"/>
      <c r="Z3" s="81"/>
      <c r="AA3" s="81"/>
      <c r="AB3" s="81"/>
      <c r="AC3" s="81" t="s">
        <v>2</v>
      </c>
      <c r="AD3" s="81"/>
      <c r="AE3" s="81"/>
      <c r="AF3" s="82"/>
      <c r="AG3" s="81"/>
      <c r="AH3" s="83" t="s">
        <v>3</v>
      </c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416" t="s">
        <v>4</v>
      </c>
      <c r="AY3" s="416"/>
      <c r="AZ3" s="416"/>
      <c r="BA3" s="416"/>
      <c r="BB3" s="416"/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163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273" t="str">
        <f>+A3</f>
        <v>PRODUCCION # 25</v>
      </c>
      <c r="CM3" s="79"/>
      <c r="CR3" s="52"/>
      <c r="CS3" s="52"/>
      <c r="CT3" s="324"/>
      <c r="CU3" s="327" t="str">
        <f>+CL3</f>
        <v>PRODUCCION # 25</v>
      </c>
      <c r="CV3" s="325"/>
      <c r="CW3" s="325"/>
      <c r="CX3" s="325"/>
      <c r="CY3" s="325"/>
      <c r="CZ3" s="325"/>
      <c r="DA3" s="325"/>
      <c r="DB3" s="326"/>
      <c r="DC3" s="326"/>
      <c r="DD3" s="326"/>
    </row>
    <row r="4" spans="1:108" ht="18.95" customHeight="1" x14ac:dyDescent="0.25">
      <c r="A4" s="205" t="s">
        <v>53</v>
      </c>
      <c r="B4" s="206" t="s">
        <v>6</v>
      </c>
      <c r="C4" s="206" t="s">
        <v>7</v>
      </c>
      <c r="D4" s="206" t="s">
        <v>115</v>
      </c>
      <c r="E4" s="206" t="s">
        <v>48</v>
      </c>
      <c r="F4" s="206" t="s">
        <v>71</v>
      </c>
      <c r="G4" s="206" t="s">
        <v>66</v>
      </c>
      <c r="H4" s="206" t="s">
        <v>9</v>
      </c>
      <c r="I4" s="206" t="s">
        <v>10</v>
      </c>
      <c r="J4" s="206" t="s">
        <v>11</v>
      </c>
      <c r="K4" s="206" t="s">
        <v>12</v>
      </c>
      <c r="L4" s="206" t="s">
        <v>13</v>
      </c>
      <c r="M4" s="206" t="s">
        <v>14</v>
      </c>
      <c r="N4" s="206" t="s">
        <v>124</v>
      </c>
      <c r="O4" s="206" t="s">
        <v>16</v>
      </c>
      <c r="P4" s="206" t="s">
        <v>17</v>
      </c>
      <c r="Q4" s="206" t="s">
        <v>103</v>
      </c>
      <c r="R4" s="98" t="s">
        <v>18</v>
      </c>
      <c r="S4" s="98" t="s">
        <v>19</v>
      </c>
      <c r="T4" s="98" t="s">
        <v>20</v>
      </c>
      <c r="U4" s="217" t="s">
        <v>48</v>
      </c>
      <c r="V4" s="217" t="s">
        <v>71</v>
      </c>
      <c r="W4" s="217" t="s">
        <v>66</v>
      </c>
      <c r="X4" s="217" t="s">
        <v>9</v>
      </c>
      <c r="Y4" s="217" t="s">
        <v>10</v>
      </c>
      <c r="Z4" s="217" t="s">
        <v>11</v>
      </c>
      <c r="AA4" s="217" t="s">
        <v>12</v>
      </c>
      <c r="AB4" s="217" t="s">
        <v>13</v>
      </c>
      <c r="AC4" s="217" t="s">
        <v>14</v>
      </c>
      <c r="AD4" s="217" t="s">
        <v>156</v>
      </c>
      <c r="AE4" s="217" t="s">
        <v>16</v>
      </c>
      <c r="AF4" s="217" t="s">
        <v>158</v>
      </c>
      <c r="AG4" s="217" t="s">
        <v>103</v>
      </c>
      <c r="AH4" s="99" t="s">
        <v>18</v>
      </c>
      <c r="AI4" s="99" t="s">
        <v>19</v>
      </c>
      <c r="AJ4" s="99" t="s">
        <v>20</v>
      </c>
      <c r="AK4" s="215" t="s">
        <v>48</v>
      </c>
      <c r="AL4" s="215" t="s">
        <v>71</v>
      </c>
      <c r="AM4" s="215" t="s">
        <v>66</v>
      </c>
      <c r="AN4" s="215" t="s">
        <v>9</v>
      </c>
      <c r="AO4" s="215" t="s">
        <v>10</v>
      </c>
      <c r="AP4" s="215" t="s">
        <v>11</v>
      </c>
      <c r="AQ4" s="215" t="s">
        <v>12</v>
      </c>
      <c r="AR4" s="215" t="s">
        <v>13</v>
      </c>
      <c r="AS4" s="215" t="s">
        <v>14</v>
      </c>
      <c r="AT4" s="215" t="s">
        <v>157</v>
      </c>
      <c r="AU4" s="215" t="s">
        <v>16</v>
      </c>
      <c r="AV4" s="215" t="s">
        <v>158</v>
      </c>
      <c r="AW4" s="215" t="s">
        <v>103</v>
      </c>
      <c r="AX4" s="100" t="s">
        <v>21</v>
      </c>
      <c r="AY4" s="101" t="s">
        <v>22</v>
      </c>
      <c r="AZ4" s="101" t="s">
        <v>20</v>
      </c>
      <c r="BA4" s="225" t="s">
        <v>48</v>
      </c>
      <c r="BB4" s="225" t="s">
        <v>71</v>
      </c>
      <c r="BC4" s="225" t="s">
        <v>66</v>
      </c>
      <c r="BD4" s="225" t="s">
        <v>9</v>
      </c>
      <c r="BE4" s="225" t="s">
        <v>10</v>
      </c>
      <c r="BF4" s="225" t="s">
        <v>11</v>
      </c>
      <c r="BG4" s="225" t="s">
        <v>12</v>
      </c>
      <c r="BH4" s="225" t="s">
        <v>13</v>
      </c>
      <c r="BI4" s="225" t="s">
        <v>14</v>
      </c>
      <c r="BJ4" s="225" t="s">
        <v>157</v>
      </c>
      <c r="BK4" s="225" t="s">
        <v>16</v>
      </c>
      <c r="BL4" s="225" t="s">
        <v>158</v>
      </c>
      <c r="BM4" s="225" t="s">
        <v>103</v>
      </c>
      <c r="BN4" s="129" t="s">
        <v>23</v>
      </c>
      <c r="BO4" s="97" t="s">
        <v>71</v>
      </c>
      <c r="BP4" s="97" t="s">
        <v>66</v>
      </c>
      <c r="BQ4" s="97" t="s">
        <v>9</v>
      </c>
      <c r="BR4" s="97" t="s">
        <v>10</v>
      </c>
      <c r="BS4" s="97" t="s">
        <v>11</v>
      </c>
      <c r="BT4" s="97" t="s">
        <v>12</v>
      </c>
      <c r="BU4" s="97" t="s">
        <v>13</v>
      </c>
      <c r="BV4" s="97" t="s">
        <v>14</v>
      </c>
      <c r="BW4" s="97" t="s">
        <v>157</v>
      </c>
      <c r="BX4" s="97" t="s">
        <v>16</v>
      </c>
      <c r="BY4" s="97" t="s">
        <v>151</v>
      </c>
      <c r="BZ4" s="97" t="s">
        <v>103</v>
      </c>
      <c r="CA4" s="103" t="s">
        <v>109</v>
      </c>
      <c r="CB4" s="104" t="s">
        <v>45</v>
      </c>
      <c r="CC4" s="106" t="s">
        <v>38</v>
      </c>
      <c r="CD4" s="107" t="s">
        <v>39</v>
      </c>
      <c r="CE4" s="107" t="s">
        <v>40</v>
      </c>
      <c r="CF4" s="107" t="s">
        <v>60</v>
      </c>
      <c r="CG4" s="108" t="s">
        <v>41</v>
      </c>
      <c r="CH4" s="152" t="s">
        <v>62</v>
      </c>
      <c r="CI4" s="108" t="s">
        <v>105</v>
      </c>
      <c r="CJ4" s="128"/>
      <c r="CK4" s="128"/>
      <c r="CL4" s="79" t="s">
        <v>28</v>
      </c>
      <c r="CM4" s="79"/>
      <c r="CN4" s="202">
        <f>+CV47+CW47+CX47</f>
        <v>0</v>
      </c>
      <c r="CO4" s="52"/>
      <c r="CP4" s="52"/>
      <c r="CQ4" s="52"/>
      <c r="CR4" s="96"/>
      <c r="CS4" s="52"/>
      <c r="CT4" s="308" t="s">
        <v>53</v>
      </c>
      <c r="CU4" s="308" t="s">
        <v>86</v>
      </c>
      <c r="CV4" s="309" t="s">
        <v>63</v>
      </c>
      <c r="CW4" s="309" t="s">
        <v>102</v>
      </c>
      <c r="CX4" s="309" t="s">
        <v>112</v>
      </c>
      <c r="CY4" s="309" t="s">
        <v>118</v>
      </c>
      <c r="CZ4" s="309" t="s">
        <v>27</v>
      </c>
      <c r="DA4" s="309" t="s">
        <v>26</v>
      </c>
      <c r="DB4" s="309" t="s">
        <v>85</v>
      </c>
      <c r="DC4" s="309" t="s">
        <v>87</v>
      </c>
      <c r="DD4" s="309" t="s">
        <v>42</v>
      </c>
    </row>
    <row r="5" spans="1:108" ht="18.95" customHeight="1" x14ac:dyDescent="0.25">
      <c r="A5" s="50" t="str">
        <f>+'SEMANA DEL 14 AL 21 '!A5</f>
        <v xml:space="preserve">ALCIDES CORREA </v>
      </c>
      <c r="B5" s="284">
        <f>+'SEMANA DEL 21AL 28-3'!AX5</f>
        <v>10</v>
      </c>
      <c r="C5" s="284">
        <f>+'SEMANA DEL 21AL 28-3'!AY5</f>
        <v>18</v>
      </c>
      <c r="D5" s="284">
        <f>+'SEMANA DEL 21AL 28-3'!AZ5</f>
        <v>70</v>
      </c>
      <c r="E5" s="284">
        <f>+'SEMANA DEL 21AL 28-3'!BA5</f>
        <v>8</v>
      </c>
      <c r="F5" s="284">
        <f>+'SEMANA DEL 21AL 28-3'!BB5</f>
        <v>0</v>
      </c>
      <c r="G5" s="284">
        <f>+'SEMANA DEL 21AL 28-3'!BC5</f>
        <v>0.25</v>
      </c>
      <c r="H5" s="284">
        <f>+'SEMANA DEL 21AL 28-3'!BD5</f>
        <v>0</v>
      </c>
      <c r="I5" s="284">
        <f>+'SEMANA DEL 21AL 28-3'!BE5</f>
        <v>0</v>
      </c>
      <c r="J5" s="284">
        <f>+'SEMANA DEL 21AL 28-3'!BF5</f>
        <v>0</v>
      </c>
      <c r="K5" s="284">
        <f>+'SEMANA DEL 21AL 28-3'!BG5</f>
        <v>0</v>
      </c>
      <c r="L5" s="284">
        <f>+'SEMANA DEL 21AL 28-3'!BH5</f>
        <v>0</v>
      </c>
      <c r="M5" s="284">
        <f>+'SEMANA DEL 21AL 28-3'!BI5</f>
        <v>0</v>
      </c>
      <c r="N5" s="284">
        <f>+'SEMANA DEL 21AL 28-3'!BJ5</f>
        <v>0</v>
      </c>
      <c r="O5" s="284">
        <f>+'SEMANA DEL 21AL 28-3'!BK5</f>
        <v>0</v>
      </c>
      <c r="P5" s="284">
        <f>+'SEMANA DEL 21AL 28-3'!BL5</f>
        <v>0</v>
      </c>
      <c r="Q5" s="284">
        <f>+'SEMANA DEL 21AL 28-3'!BM5</f>
        <v>0</v>
      </c>
      <c r="R5" s="190"/>
      <c r="S5" s="190"/>
      <c r="T5" s="190"/>
      <c r="U5" s="190"/>
      <c r="V5" s="190"/>
      <c r="W5" s="190"/>
      <c r="X5" s="190"/>
      <c r="Y5" s="264"/>
      <c r="Z5" s="264"/>
      <c r="AA5" s="264"/>
      <c r="AB5" s="264"/>
      <c r="AC5" s="264"/>
      <c r="AD5" s="264"/>
      <c r="AE5" s="264"/>
      <c r="AF5" s="264"/>
      <c r="AG5" s="190"/>
      <c r="AH5" s="190"/>
      <c r="AI5" s="190"/>
      <c r="AJ5" s="190"/>
      <c r="AK5" s="190"/>
      <c r="AL5" s="190"/>
      <c r="AM5" s="190"/>
      <c r="AN5" s="190"/>
      <c r="AO5" s="264"/>
      <c r="AP5" s="264"/>
      <c r="AQ5" s="264"/>
      <c r="AR5" s="264"/>
      <c r="AS5" s="264"/>
      <c r="AT5" s="264"/>
      <c r="AU5" s="264"/>
      <c r="AV5" s="264"/>
      <c r="AW5" s="190"/>
      <c r="AX5" s="190">
        <f t="shared" ref="AX5:BM21" si="0">+B5+R5-AH5</f>
        <v>10</v>
      </c>
      <c r="AY5" s="190">
        <f t="shared" si="0"/>
        <v>18</v>
      </c>
      <c r="AZ5" s="190">
        <f t="shared" si="0"/>
        <v>70</v>
      </c>
      <c r="BA5" s="190">
        <f t="shared" si="0"/>
        <v>8</v>
      </c>
      <c r="BB5" s="190">
        <f t="shared" si="0"/>
        <v>0</v>
      </c>
      <c r="BC5" s="190">
        <f t="shared" si="0"/>
        <v>0.25</v>
      </c>
      <c r="BD5" s="190">
        <f t="shared" si="0"/>
        <v>0</v>
      </c>
      <c r="BE5" s="190">
        <f t="shared" si="0"/>
        <v>0</v>
      </c>
      <c r="BF5" s="190">
        <f t="shared" si="0"/>
        <v>0</v>
      </c>
      <c r="BG5" s="190">
        <f t="shared" si="0"/>
        <v>0</v>
      </c>
      <c r="BH5" s="190">
        <f t="shared" si="0"/>
        <v>0</v>
      </c>
      <c r="BI5" s="190">
        <f t="shared" si="0"/>
        <v>0</v>
      </c>
      <c r="BJ5" s="190">
        <f t="shared" si="0"/>
        <v>0</v>
      </c>
      <c r="BK5" s="190">
        <f t="shared" si="0"/>
        <v>0</v>
      </c>
      <c r="BL5" s="190">
        <f t="shared" si="0"/>
        <v>0</v>
      </c>
      <c r="BM5" s="190">
        <f t="shared" si="0"/>
        <v>0</v>
      </c>
      <c r="BN5" s="190"/>
      <c r="BO5" s="170">
        <f>+AL5*2500</f>
        <v>0</v>
      </c>
      <c r="BP5" s="71">
        <f>+AM5*60000</f>
        <v>0</v>
      </c>
      <c r="BQ5" s="112">
        <f>+AN5*5500</f>
        <v>0</v>
      </c>
      <c r="BR5" s="112">
        <f>+AO5*5500</f>
        <v>0</v>
      </c>
      <c r="BS5" s="112">
        <f>+AP5*8000</f>
        <v>0</v>
      </c>
      <c r="BT5" s="112">
        <f>+AQ5*12000</f>
        <v>0</v>
      </c>
      <c r="BU5" s="112">
        <f>+AR5*150000</f>
        <v>0</v>
      </c>
      <c r="BV5" s="112">
        <f>+AS5*3000</f>
        <v>0</v>
      </c>
      <c r="BW5" s="112">
        <f>+AT5*8000</f>
        <v>0</v>
      </c>
      <c r="BX5" s="112">
        <f>+AU5*200000</f>
        <v>0</v>
      </c>
      <c r="BY5" s="71">
        <f>+AV5*100000</f>
        <v>0</v>
      </c>
      <c r="BZ5" s="113">
        <f>+AW5*1.5</f>
        <v>0</v>
      </c>
      <c r="CA5" s="71"/>
      <c r="CB5" s="71"/>
      <c r="CC5" s="71">
        <f>+AH5*16</f>
        <v>0</v>
      </c>
      <c r="CD5" s="71">
        <f>+AI5*12</f>
        <v>0</v>
      </c>
      <c r="CE5" s="71">
        <f>+AJ5*3</f>
        <v>0</v>
      </c>
      <c r="CF5" s="71">
        <f>+CC5+CD5+CE5</f>
        <v>0</v>
      </c>
      <c r="CG5" s="71">
        <f>+BN5*75061/1000</f>
        <v>0</v>
      </c>
      <c r="CH5" s="166">
        <f>+BO5+BP5+BQ5+BR5+BS5+BT5+BU5+BV5+BW5+BX5+BY5+CA5+CB5</f>
        <v>0</v>
      </c>
      <c r="CI5" s="263">
        <f>+CG5-CF5-CH5</f>
        <v>0</v>
      </c>
      <c r="CJ5" s="79"/>
      <c r="CK5" s="79"/>
      <c r="CL5" s="41" t="str">
        <f>+'SEMANA DEL 14 AL 21 '!CL5</f>
        <v>SALDO INI</v>
      </c>
      <c r="CM5" s="41" t="str">
        <f>+'SEMANA DEL 14 AL 21 '!CM5</f>
        <v>LLEVAN</v>
      </c>
      <c r="CN5" s="41" t="str">
        <f>+'SEMANA DEL 14 AL 21 '!CN5</f>
        <v>TOTAL</v>
      </c>
      <c r="CO5" s="41" t="str">
        <f>+'SEMANA DEL 14 AL 21 '!CO5</f>
        <v>PAGA</v>
      </c>
      <c r="CP5" s="41" t="str">
        <f>+'SEMANA DEL 14 AL 21 '!CP5</f>
        <v>SALDO</v>
      </c>
      <c r="CQ5" s="240">
        <f>+'SEMANA DEL 14 AL 21 '!CQ5</f>
        <v>0</v>
      </c>
      <c r="CR5" s="79"/>
      <c r="CS5" s="79"/>
      <c r="CT5" s="309" t="str">
        <f t="shared" ref="CT5:CT48" si="1">+A5</f>
        <v xml:space="preserve">ALCIDES CORREA </v>
      </c>
      <c r="CU5" s="293" t="str">
        <f>+'SEMANA DEL 2 AL 7-3-26'!CS5</f>
        <v>CC-88.193.514</v>
      </c>
      <c r="CV5" s="293">
        <f>+BN5</f>
        <v>0</v>
      </c>
      <c r="CW5" s="293">
        <f>+AW5</f>
        <v>0</v>
      </c>
      <c r="CX5" s="293"/>
      <c r="CY5" s="293">
        <f>+CX5*230</f>
        <v>0</v>
      </c>
      <c r="CZ5" s="307"/>
      <c r="DA5" s="307"/>
      <c r="DB5" s="304">
        <f>+CZ5*6500+DA5*3500</f>
        <v>0</v>
      </c>
      <c r="DC5" s="169">
        <f>+CI5</f>
        <v>0</v>
      </c>
      <c r="DD5" s="319">
        <f>+DB5+DC5+CY5</f>
        <v>0</v>
      </c>
    </row>
    <row r="6" spans="1:108" ht="18.95" customHeight="1" x14ac:dyDescent="0.25">
      <c r="A6" s="50" t="str">
        <f>+'SEMANA DEL 14 AL 21 '!A6</f>
        <v xml:space="preserve">ALBA SANABRIA </v>
      </c>
      <c r="B6" s="284">
        <f>+'SEMANA DEL 21AL 28-3'!AX7</f>
        <v>0</v>
      </c>
      <c r="C6" s="284">
        <f>+'SEMANA DEL 21AL 28-3'!AY7</f>
        <v>0</v>
      </c>
      <c r="D6" s="284">
        <f>+'SEMANA DEL 21AL 28-3'!AZ7</f>
        <v>0</v>
      </c>
      <c r="E6" s="284">
        <f>+'SEMANA DEL 21AL 28-3'!BA7</f>
        <v>0</v>
      </c>
      <c r="F6" s="284">
        <f>+'SEMANA DEL 21AL 28-3'!BB7</f>
        <v>0</v>
      </c>
      <c r="G6" s="284">
        <f>+'SEMANA DEL 21AL 28-3'!BC7</f>
        <v>0</v>
      </c>
      <c r="H6" s="284">
        <f>+'SEMANA DEL 21AL 28-3'!BD7</f>
        <v>0</v>
      </c>
      <c r="I6" s="284">
        <f>+'SEMANA DEL 21AL 28-3'!BE7</f>
        <v>0</v>
      </c>
      <c r="J6" s="284">
        <f>+'SEMANA DEL 21AL 28-3'!BF7</f>
        <v>0</v>
      </c>
      <c r="K6" s="284">
        <f>+'SEMANA DEL 21AL 28-3'!BG7</f>
        <v>0</v>
      </c>
      <c r="L6" s="284">
        <f>+'SEMANA DEL 21AL 28-3'!BH7</f>
        <v>0</v>
      </c>
      <c r="M6" s="284">
        <f>+'SEMANA DEL 21AL 28-3'!BI7</f>
        <v>0</v>
      </c>
      <c r="N6" s="284">
        <f>+'SEMANA DEL 21AL 28-3'!BJ7</f>
        <v>0</v>
      </c>
      <c r="O6" s="284">
        <f>+'SEMANA DEL 21AL 28-3'!BK7</f>
        <v>0</v>
      </c>
      <c r="P6" s="284">
        <f>+'SEMANA DEL 21AL 28-3'!BL7</f>
        <v>0</v>
      </c>
      <c r="Q6" s="284">
        <f>+'SEMANA DEL 21AL 28-3'!BM7</f>
        <v>0</v>
      </c>
      <c r="R6" s="190"/>
      <c r="S6" s="190"/>
      <c r="T6" s="190"/>
      <c r="U6" s="190"/>
      <c r="V6" s="190"/>
      <c r="W6" s="190"/>
      <c r="X6" s="190"/>
      <c r="Y6" s="264"/>
      <c r="Z6" s="264"/>
      <c r="AA6" s="264"/>
      <c r="AB6" s="264"/>
      <c r="AC6" s="264"/>
      <c r="AD6" s="264"/>
      <c r="AE6" s="264"/>
      <c r="AF6" s="264"/>
      <c r="AG6" s="190"/>
      <c r="AH6" s="190"/>
      <c r="AI6" s="190"/>
      <c r="AJ6" s="190"/>
      <c r="AK6" s="190"/>
      <c r="AL6" s="264"/>
      <c r="AM6" s="190"/>
      <c r="AN6" s="264"/>
      <c r="AO6" s="264"/>
      <c r="AP6" s="264"/>
      <c r="AQ6" s="264"/>
      <c r="AR6" s="264"/>
      <c r="AS6" s="264"/>
      <c r="AT6" s="264"/>
      <c r="AU6" s="264"/>
      <c r="AV6" s="264"/>
      <c r="AW6" s="190"/>
      <c r="AX6" s="190">
        <f t="shared" si="0"/>
        <v>0</v>
      </c>
      <c r="AY6" s="190">
        <f t="shared" si="0"/>
        <v>0</v>
      </c>
      <c r="AZ6" s="190">
        <f t="shared" si="0"/>
        <v>0</v>
      </c>
      <c r="BA6" s="190">
        <f t="shared" si="0"/>
        <v>0</v>
      </c>
      <c r="BB6" s="190">
        <f t="shared" si="0"/>
        <v>0</v>
      </c>
      <c r="BC6" s="190">
        <f t="shared" si="0"/>
        <v>0</v>
      </c>
      <c r="BD6" s="190">
        <f t="shared" si="0"/>
        <v>0</v>
      </c>
      <c r="BE6" s="190">
        <f t="shared" si="0"/>
        <v>0</v>
      </c>
      <c r="BF6" s="190">
        <f t="shared" si="0"/>
        <v>0</v>
      </c>
      <c r="BG6" s="190">
        <f t="shared" si="0"/>
        <v>0</v>
      </c>
      <c r="BH6" s="190">
        <f t="shared" si="0"/>
        <v>0</v>
      </c>
      <c r="BI6" s="190">
        <f t="shared" si="0"/>
        <v>0</v>
      </c>
      <c r="BJ6" s="190">
        <f t="shared" si="0"/>
        <v>0</v>
      </c>
      <c r="BK6" s="190">
        <f t="shared" si="0"/>
        <v>0</v>
      </c>
      <c r="BL6" s="190">
        <f t="shared" si="0"/>
        <v>0</v>
      </c>
      <c r="BM6" s="190">
        <f t="shared" si="0"/>
        <v>0</v>
      </c>
      <c r="BN6" s="190"/>
      <c r="BO6" s="170">
        <f t="shared" ref="BO6:BO46" si="2">+AL6*2500</f>
        <v>0</v>
      </c>
      <c r="BP6" s="71">
        <f t="shared" ref="BP6:BP46" si="3">+AM6*60000</f>
        <v>0</v>
      </c>
      <c r="BQ6" s="112">
        <f t="shared" ref="BQ6:BR46" si="4">+AN6*5500</f>
        <v>0</v>
      </c>
      <c r="BR6" s="112">
        <f t="shared" si="4"/>
        <v>0</v>
      </c>
      <c r="BS6" s="112">
        <f t="shared" ref="BS6:BS46" si="5">+AP6*8000</f>
        <v>0</v>
      </c>
      <c r="BT6" s="112">
        <f t="shared" ref="BT6:BT46" si="6">+AQ6*12000</f>
        <v>0</v>
      </c>
      <c r="BU6" s="112">
        <f t="shared" ref="BU6:BU46" si="7">+AR6*150000</f>
        <v>0</v>
      </c>
      <c r="BV6" s="112">
        <f t="shared" ref="BV6:BV46" si="8">+AS6*3000</f>
        <v>0</v>
      </c>
      <c r="BW6" s="112">
        <f t="shared" ref="BW6:BW46" si="9">+AT6*8000</f>
        <v>0</v>
      </c>
      <c r="BX6" s="112">
        <f t="shared" ref="BX6:BX46" si="10">+AU6*200000</f>
        <v>0</v>
      </c>
      <c r="BY6" s="71">
        <f t="shared" ref="BY6:BY46" si="11">+AV6*100000</f>
        <v>0</v>
      </c>
      <c r="BZ6" s="113">
        <f t="shared" ref="BZ6:BZ46" si="12">+AW6*1.5</f>
        <v>0</v>
      </c>
      <c r="CA6" s="71"/>
      <c r="CB6" s="71"/>
      <c r="CC6" s="71">
        <f t="shared" ref="CC6:CC46" si="13">+AH6*16</f>
        <v>0</v>
      </c>
      <c r="CD6" s="71">
        <f t="shared" ref="CD6:CD46" si="14">+AI6*12</f>
        <v>0</v>
      </c>
      <c r="CE6" s="71">
        <f t="shared" ref="CE6:CE46" si="15">+AJ6*3</f>
        <v>0</v>
      </c>
      <c r="CF6" s="71">
        <f t="shared" ref="CF6:CF46" si="16">+CC6+CD6+CE6</f>
        <v>0</v>
      </c>
      <c r="CG6" s="71">
        <f t="shared" ref="CG6:CG46" si="17">+BN6*75061/1000</f>
        <v>0</v>
      </c>
      <c r="CH6" s="166">
        <f t="shared" ref="CH6:CH46" si="18">+BO6+BP6+BQ6+BR6+BS6+BT6+BU6+BV6+BW6+BX6+BY6+CA6+CB6</f>
        <v>0</v>
      </c>
      <c r="CI6" s="263">
        <f t="shared" ref="CI6:CI46" si="19">+CG6-CF6-CH6</f>
        <v>0</v>
      </c>
      <c r="CJ6" s="79"/>
      <c r="CK6" s="79"/>
      <c r="CL6" s="41"/>
      <c r="CM6" s="129"/>
      <c r="CN6" s="129"/>
      <c r="CO6" s="129"/>
      <c r="CP6" s="41"/>
      <c r="CQ6" s="283"/>
      <c r="CR6" s="79"/>
      <c r="CS6" s="79"/>
      <c r="CT6" s="309" t="str">
        <f t="shared" si="1"/>
        <v xml:space="preserve">ALBA SANABRIA </v>
      </c>
      <c r="CU6" s="293" t="str">
        <f>+'SEMANA DEL 2 AL 7-3-26'!CS7</f>
        <v>CC.60.402,510</v>
      </c>
      <c r="CV6" s="293">
        <f t="shared" ref="CV6:CV46" si="20">+BN6</f>
        <v>0</v>
      </c>
      <c r="CW6" s="293">
        <f t="shared" ref="CW6:CW46" si="21">+AW6</f>
        <v>0</v>
      </c>
      <c r="CX6" s="293"/>
      <c r="CY6" s="293">
        <f t="shared" ref="CY6:CY46" si="22">+CX6*230</f>
        <v>0</v>
      </c>
      <c r="CZ6" s="307"/>
      <c r="DA6" s="307"/>
      <c r="DB6" s="304">
        <f t="shared" ref="DB6:DB46" si="23">+CZ6*6500+DA6*3500</f>
        <v>0</v>
      </c>
      <c r="DC6" s="169">
        <f t="shared" ref="DC6:DC46" si="24">+CI6</f>
        <v>0</v>
      </c>
      <c r="DD6" s="319">
        <f t="shared" ref="DD6:DD46" si="25">+DB6+DC6+CY6</f>
        <v>0</v>
      </c>
    </row>
    <row r="7" spans="1:108" ht="18.95" customHeight="1" x14ac:dyDescent="0.25">
      <c r="A7" s="50" t="e">
        <f>+'SEMANA DEL 14 AL 21 '!#REF!</f>
        <v>#REF!</v>
      </c>
      <c r="B7" s="284">
        <f>+'SEMANA DEL 21AL 28-3'!AX8</f>
        <v>3</v>
      </c>
      <c r="C7" s="284">
        <f>+'SEMANA DEL 21AL 28-3'!AY8</f>
        <v>5.4</v>
      </c>
      <c r="D7" s="284">
        <f>+'SEMANA DEL 21AL 28-3'!AZ8</f>
        <v>21</v>
      </c>
      <c r="E7" s="284">
        <f>+'SEMANA DEL 21AL 28-3'!BA8</f>
        <v>3</v>
      </c>
      <c r="F7" s="284">
        <f>+'SEMANA DEL 21AL 28-3'!BB8</f>
        <v>0</v>
      </c>
      <c r="G7" s="284">
        <f>+'SEMANA DEL 21AL 28-3'!BC8</f>
        <v>0</v>
      </c>
      <c r="H7" s="284">
        <f>+'SEMANA DEL 21AL 28-3'!BD8</f>
        <v>0</v>
      </c>
      <c r="I7" s="284">
        <f>+'SEMANA DEL 21AL 28-3'!BE8</f>
        <v>0</v>
      </c>
      <c r="J7" s="284">
        <f>+'SEMANA DEL 21AL 28-3'!BF8</f>
        <v>0</v>
      </c>
      <c r="K7" s="284">
        <f>+'SEMANA DEL 21AL 28-3'!BG8</f>
        <v>0</v>
      </c>
      <c r="L7" s="284">
        <f>+'SEMANA DEL 21AL 28-3'!BH8</f>
        <v>0</v>
      </c>
      <c r="M7" s="284">
        <f>+'SEMANA DEL 21AL 28-3'!BI8</f>
        <v>0</v>
      </c>
      <c r="N7" s="284">
        <f>+'SEMANA DEL 21AL 28-3'!BJ8</f>
        <v>0</v>
      </c>
      <c r="O7" s="284">
        <f>+'SEMANA DEL 21AL 28-3'!BK8</f>
        <v>0</v>
      </c>
      <c r="P7" s="284">
        <f>+'SEMANA DEL 21AL 28-3'!BL8</f>
        <v>0</v>
      </c>
      <c r="Q7" s="284">
        <f>+'SEMANA DEL 21AL 28-3'!BM8</f>
        <v>0</v>
      </c>
      <c r="R7" s="190"/>
      <c r="S7" s="190"/>
      <c r="T7" s="190"/>
      <c r="U7" s="190"/>
      <c r="V7" s="190"/>
      <c r="W7" s="190"/>
      <c r="X7" s="190"/>
      <c r="Y7" s="190"/>
      <c r="Z7" s="264"/>
      <c r="AA7" s="264"/>
      <c r="AB7" s="264"/>
      <c r="AC7" s="264"/>
      <c r="AD7" s="264"/>
      <c r="AE7" s="264"/>
      <c r="AF7" s="264"/>
      <c r="AG7" s="190"/>
      <c r="AH7" s="190"/>
      <c r="AI7" s="190"/>
      <c r="AJ7" s="190"/>
      <c r="AK7" s="190"/>
      <c r="AL7" s="264"/>
      <c r="AM7" s="190"/>
      <c r="AN7" s="264"/>
      <c r="AO7" s="190"/>
      <c r="AP7" s="264"/>
      <c r="AQ7" s="264"/>
      <c r="AR7" s="264"/>
      <c r="AS7" s="264"/>
      <c r="AT7" s="264"/>
      <c r="AU7" s="264"/>
      <c r="AV7" s="264"/>
      <c r="AW7" s="190"/>
      <c r="AX7" s="190">
        <f t="shared" si="0"/>
        <v>3</v>
      </c>
      <c r="AY7" s="190">
        <f t="shared" si="0"/>
        <v>5.4</v>
      </c>
      <c r="AZ7" s="190">
        <f t="shared" si="0"/>
        <v>21</v>
      </c>
      <c r="BA7" s="190">
        <f t="shared" si="0"/>
        <v>3</v>
      </c>
      <c r="BB7" s="190">
        <f t="shared" si="0"/>
        <v>0</v>
      </c>
      <c r="BC7" s="190">
        <f t="shared" si="0"/>
        <v>0</v>
      </c>
      <c r="BD7" s="190">
        <f t="shared" si="0"/>
        <v>0</v>
      </c>
      <c r="BE7" s="190">
        <f t="shared" si="0"/>
        <v>0</v>
      </c>
      <c r="BF7" s="190">
        <f t="shared" si="0"/>
        <v>0</v>
      </c>
      <c r="BG7" s="190">
        <f t="shared" si="0"/>
        <v>0</v>
      </c>
      <c r="BH7" s="190">
        <f t="shared" si="0"/>
        <v>0</v>
      </c>
      <c r="BI7" s="190">
        <f t="shared" si="0"/>
        <v>0</v>
      </c>
      <c r="BJ7" s="190">
        <f t="shared" si="0"/>
        <v>0</v>
      </c>
      <c r="BK7" s="190">
        <f t="shared" si="0"/>
        <v>0</v>
      </c>
      <c r="BL7" s="190">
        <f t="shared" si="0"/>
        <v>0</v>
      </c>
      <c r="BM7" s="190">
        <f t="shared" si="0"/>
        <v>0</v>
      </c>
      <c r="BN7" s="190"/>
      <c r="BO7" s="170">
        <f>+AL7*2500</f>
        <v>0</v>
      </c>
      <c r="BP7" s="71">
        <f>+AM7*60000</f>
        <v>0</v>
      </c>
      <c r="BQ7" s="112">
        <f t="shared" ref="BQ7:BR10" si="26">+AN7*5500</f>
        <v>0</v>
      </c>
      <c r="BR7" s="112">
        <f t="shared" si="26"/>
        <v>0</v>
      </c>
      <c r="BS7" s="112">
        <f>+AP7*8000</f>
        <v>0</v>
      </c>
      <c r="BT7" s="112">
        <f>+AQ7*12000</f>
        <v>0</v>
      </c>
      <c r="BU7" s="112">
        <f>+AR7*150000</f>
        <v>0</v>
      </c>
      <c r="BV7" s="112">
        <f>+AS7*3000</f>
        <v>0</v>
      </c>
      <c r="BW7" s="112">
        <f>+AT7*8000</f>
        <v>0</v>
      </c>
      <c r="BX7" s="112">
        <f>+AU7*200000</f>
        <v>0</v>
      </c>
      <c r="BY7" s="71">
        <f>+AV7*100000</f>
        <v>0</v>
      </c>
      <c r="BZ7" s="113">
        <f>+AW7*1.5</f>
        <v>0</v>
      </c>
      <c r="CA7" s="71"/>
      <c r="CB7" s="71"/>
      <c r="CC7" s="71">
        <f t="shared" si="13"/>
        <v>0</v>
      </c>
      <c r="CD7" s="71">
        <f t="shared" si="14"/>
        <v>0</v>
      </c>
      <c r="CE7" s="71">
        <f t="shared" si="15"/>
        <v>0</v>
      </c>
      <c r="CF7" s="71">
        <f t="shared" si="16"/>
        <v>0</v>
      </c>
      <c r="CG7" s="71">
        <f t="shared" si="17"/>
        <v>0</v>
      </c>
      <c r="CH7" s="166">
        <f t="shared" si="18"/>
        <v>0</v>
      </c>
      <c r="CI7" s="263">
        <f t="shared" si="19"/>
        <v>0</v>
      </c>
      <c r="CJ7" s="79"/>
      <c r="CK7" s="79"/>
      <c r="CL7" s="41"/>
      <c r="CM7" s="129"/>
      <c r="CN7" s="129"/>
      <c r="CO7" s="129"/>
      <c r="CP7" s="41"/>
      <c r="CQ7" s="283"/>
      <c r="CR7" s="79"/>
      <c r="CS7" s="79"/>
      <c r="CT7" s="309" t="e">
        <f t="shared" si="1"/>
        <v>#REF!</v>
      </c>
      <c r="CU7" s="293" t="e">
        <f>+'SEMANA DEL 2 AL 7-3-26'!#REF!</f>
        <v>#REF!</v>
      </c>
      <c r="CV7" s="293">
        <f t="shared" si="20"/>
        <v>0</v>
      </c>
      <c r="CW7" s="293">
        <f>+AW7</f>
        <v>0</v>
      </c>
      <c r="CX7" s="293"/>
      <c r="CY7" s="293">
        <f t="shared" si="22"/>
        <v>0</v>
      </c>
      <c r="CZ7" s="307"/>
      <c r="DA7" s="307"/>
      <c r="DB7" s="304">
        <f>+CZ7*6500+DA7*3500</f>
        <v>0</v>
      </c>
      <c r="DC7" s="169">
        <f>+CI7</f>
        <v>0</v>
      </c>
      <c r="DD7" s="319">
        <f>+DB7+DC7+CY7</f>
        <v>0</v>
      </c>
    </row>
    <row r="8" spans="1:108" ht="18.95" customHeight="1" x14ac:dyDescent="0.25">
      <c r="A8" s="50" t="str">
        <f>+'SEMANA DEL 14 AL 21 '!A7</f>
        <v xml:space="preserve">BLANCA ALVARADO </v>
      </c>
      <c r="B8" s="284" t="e">
        <f>+'SEMANA DEL 21AL 28-3'!#REF!</f>
        <v>#REF!</v>
      </c>
      <c r="C8" s="284" t="e">
        <f>+'SEMANA DEL 21AL 28-3'!#REF!</f>
        <v>#REF!</v>
      </c>
      <c r="D8" s="284" t="e">
        <f>+'SEMANA DEL 21AL 28-3'!#REF!</f>
        <v>#REF!</v>
      </c>
      <c r="E8" s="284" t="e">
        <f>+'SEMANA DEL 21AL 28-3'!#REF!</f>
        <v>#REF!</v>
      </c>
      <c r="F8" s="284" t="e">
        <f>+'SEMANA DEL 21AL 28-3'!#REF!</f>
        <v>#REF!</v>
      </c>
      <c r="G8" s="284" t="e">
        <f>+'SEMANA DEL 21AL 28-3'!#REF!</f>
        <v>#REF!</v>
      </c>
      <c r="H8" s="284" t="e">
        <f>+'SEMANA DEL 21AL 28-3'!#REF!</f>
        <v>#REF!</v>
      </c>
      <c r="I8" s="284" t="e">
        <f>+'SEMANA DEL 21AL 28-3'!#REF!</f>
        <v>#REF!</v>
      </c>
      <c r="J8" s="284" t="e">
        <f>+'SEMANA DEL 21AL 28-3'!#REF!</f>
        <v>#REF!</v>
      </c>
      <c r="K8" s="284" t="e">
        <f>+'SEMANA DEL 21AL 28-3'!#REF!</f>
        <v>#REF!</v>
      </c>
      <c r="L8" s="284" t="e">
        <f>+'SEMANA DEL 21AL 28-3'!#REF!</f>
        <v>#REF!</v>
      </c>
      <c r="M8" s="284" t="e">
        <f>+'SEMANA DEL 21AL 28-3'!#REF!</f>
        <v>#REF!</v>
      </c>
      <c r="N8" s="284" t="e">
        <f>+'SEMANA DEL 21AL 28-3'!#REF!</f>
        <v>#REF!</v>
      </c>
      <c r="O8" s="284" t="e">
        <f>+'SEMANA DEL 21AL 28-3'!#REF!</f>
        <v>#REF!</v>
      </c>
      <c r="P8" s="284" t="e">
        <f>+'SEMANA DEL 21AL 28-3'!#REF!</f>
        <v>#REF!</v>
      </c>
      <c r="Q8" s="284" t="e">
        <f>+'SEMANA DEL 21AL 28-3'!#REF!</f>
        <v>#REF!</v>
      </c>
      <c r="R8" s="190"/>
      <c r="S8" s="190"/>
      <c r="T8" s="190"/>
      <c r="U8" s="190"/>
      <c r="V8" s="190"/>
      <c r="W8" s="190"/>
      <c r="X8" s="190"/>
      <c r="Y8" s="190"/>
      <c r="Z8" s="264"/>
      <c r="AA8" s="264"/>
      <c r="AB8" s="264"/>
      <c r="AC8" s="264"/>
      <c r="AD8" s="264"/>
      <c r="AE8" s="264"/>
      <c r="AF8" s="264"/>
      <c r="AG8" s="190"/>
      <c r="AH8" s="190"/>
      <c r="AI8" s="190"/>
      <c r="AJ8" s="190"/>
      <c r="AK8" s="190"/>
      <c r="AL8" s="264"/>
      <c r="AM8" s="190"/>
      <c r="AN8" s="264"/>
      <c r="AO8" s="190"/>
      <c r="AP8" s="264"/>
      <c r="AQ8" s="264"/>
      <c r="AR8" s="264"/>
      <c r="AS8" s="264"/>
      <c r="AT8" s="264"/>
      <c r="AU8" s="264"/>
      <c r="AV8" s="264"/>
      <c r="AW8" s="190"/>
      <c r="AX8" s="190" t="e">
        <f t="shared" ref="AX8:BM9" si="27">+B8+R8-AH8</f>
        <v>#REF!</v>
      </c>
      <c r="AY8" s="190" t="e">
        <f t="shared" si="27"/>
        <v>#REF!</v>
      </c>
      <c r="AZ8" s="190" t="e">
        <f t="shared" si="27"/>
        <v>#REF!</v>
      </c>
      <c r="BA8" s="190" t="e">
        <f t="shared" si="27"/>
        <v>#REF!</v>
      </c>
      <c r="BB8" s="190" t="e">
        <f t="shared" si="27"/>
        <v>#REF!</v>
      </c>
      <c r="BC8" s="190" t="e">
        <f t="shared" si="27"/>
        <v>#REF!</v>
      </c>
      <c r="BD8" s="190" t="e">
        <f t="shared" si="27"/>
        <v>#REF!</v>
      </c>
      <c r="BE8" s="190" t="e">
        <f t="shared" si="27"/>
        <v>#REF!</v>
      </c>
      <c r="BF8" s="190" t="e">
        <f t="shared" si="27"/>
        <v>#REF!</v>
      </c>
      <c r="BG8" s="190" t="e">
        <f t="shared" si="27"/>
        <v>#REF!</v>
      </c>
      <c r="BH8" s="190" t="e">
        <f t="shared" si="27"/>
        <v>#REF!</v>
      </c>
      <c r="BI8" s="190" t="e">
        <f t="shared" si="27"/>
        <v>#REF!</v>
      </c>
      <c r="BJ8" s="190" t="e">
        <f t="shared" si="27"/>
        <v>#REF!</v>
      </c>
      <c r="BK8" s="190" t="e">
        <f t="shared" si="27"/>
        <v>#REF!</v>
      </c>
      <c r="BL8" s="190" t="e">
        <f t="shared" si="27"/>
        <v>#REF!</v>
      </c>
      <c r="BM8" s="190" t="e">
        <f t="shared" si="27"/>
        <v>#REF!</v>
      </c>
      <c r="BN8" s="190"/>
      <c r="BO8" s="170">
        <f>+AL8*2500</f>
        <v>0</v>
      </c>
      <c r="BP8" s="71">
        <f>+AM8*60000</f>
        <v>0</v>
      </c>
      <c r="BQ8" s="112">
        <f t="shared" si="26"/>
        <v>0</v>
      </c>
      <c r="BR8" s="112">
        <f t="shared" si="26"/>
        <v>0</v>
      </c>
      <c r="BS8" s="112">
        <f>+AP8*8000</f>
        <v>0</v>
      </c>
      <c r="BT8" s="112">
        <f>+AQ8*12000</f>
        <v>0</v>
      </c>
      <c r="BU8" s="112">
        <f>+AR8*150000</f>
        <v>0</v>
      </c>
      <c r="BV8" s="112">
        <f>+AS8*3000</f>
        <v>0</v>
      </c>
      <c r="BW8" s="112">
        <f>+AT8*8000</f>
        <v>0</v>
      </c>
      <c r="BX8" s="112">
        <f>+AU8*200000</f>
        <v>0</v>
      </c>
      <c r="BY8" s="71">
        <f>+AV8*100000</f>
        <v>0</v>
      </c>
      <c r="BZ8" s="113">
        <f>+AW8*1.5</f>
        <v>0</v>
      </c>
      <c r="CA8" s="71"/>
      <c r="CB8" s="71"/>
      <c r="CC8" s="71">
        <f t="shared" si="13"/>
        <v>0</v>
      </c>
      <c r="CD8" s="71">
        <f t="shared" si="14"/>
        <v>0</v>
      </c>
      <c r="CE8" s="71">
        <f t="shared" si="15"/>
        <v>0</v>
      </c>
      <c r="CF8" s="71">
        <f t="shared" si="16"/>
        <v>0</v>
      </c>
      <c r="CG8" s="71">
        <f t="shared" si="17"/>
        <v>0</v>
      </c>
      <c r="CH8" s="166">
        <f t="shared" si="18"/>
        <v>0</v>
      </c>
      <c r="CI8" s="263">
        <f t="shared" si="19"/>
        <v>0</v>
      </c>
      <c r="CJ8" s="79"/>
      <c r="CK8" s="79"/>
      <c r="CL8" s="41"/>
      <c r="CM8" s="129"/>
      <c r="CN8" s="129"/>
      <c r="CO8" s="129"/>
      <c r="CP8" s="41"/>
      <c r="CQ8" s="283"/>
      <c r="CR8" s="79"/>
      <c r="CS8" s="79"/>
      <c r="CT8" s="309" t="str">
        <f t="shared" si="1"/>
        <v xml:space="preserve">BLANCA ALVARADO </v>
      </c>
      <c r="CU8" s="293"/>
      <c r="CV8" s="293">
        <f t="shared" si="20"/>
        <v>0</v>
      </c>
      <c r="CW8" s="293">
        <f>+AW8</f>
        <v>0</v>
      </c>
      <c r="CX8" s="293"/>
      <c r="CY8" s="293">
        <f>+CX8*230</f>
        <v>0</v>
      </c>
      <c r="CZ8" s="307"/>
      <c r="DA8" s="307"/>
      <c r="DB8" s="304">
        <f>+CZ8*6500+DA8*3500</f>
        <v>0</v>
      </c>
      <c r="DC8" s="169">
        <f>+CI8</f>
        <v>0</v>
      </c>
      <c r="DD8" s="319">
        <f>+DB8+DC8+CY8</f>
        <v>0</v>
      </c>
    </row>
    <row r="9" spans="1:108" ht="18.95" customHeight="1" x14ac:dyDescent="0.25">
      <c r="A9" s="50" t="e">
        <f>+'SEMANA DEL 14 AL 21 '!#REF!</f>
        <v>#REF!</v>
      </c>
      <c r="B9" s="284">
        <f>+'SEMANA DEL 21AL 28-3'!AX9</f>
        <v>0</v>
      </c>
      <c r="C9" s="284">
        <f>+'SEMANA DEL 21AL 28-3'!AY9</f>
        <v>0</v>
      </c>
      <c r="D9" s="284">
        <f>+'SEMANA DEL 21AL 28-3'!AZ9</f>
        <v>0</v>
      </c>
      <c r="E9" s="284">
        <f>+'SEMANA DEL 21AL 28-3'!BA9</f>
        <v>0</v>
      </c>
      <c r="F9" s="284">
        <f>+'SEMANA DEL 21AL 28-3'!BB9</f>
        <v>0</v>
      </c>
      <c r="G9" s="284">
        <f>+'SEMANA DEL 21AL 28-3'!BC9</f>
        <v>0</v>
      </c>
      <c r="H9" s="284">
        <f>+'SEMANA DEL 21AL 28-3'!BD9</f>
        <v>0</v>
      </c>
      <c r="I9" s="284">
        <f>+'SEMANA DEL 21AL 28-3'!BE9</f>
        <v>0</v>
      </c>
      <c r="J9" s="284">
        <f>+'SEMANA DEL 21AL 28-3'!BF9</f>
        <v>0</v>
      </c>
      <c r="K9" s="284">
        <f>+'SEMANA DEL 21AL 28-3'!BG9</f>
        <v>0</v>
      </c>
      <c r="L9" s="284">
        <f>+'SEMANA DEL 21AL 28-3'!BH9</f>
        <v>0</v>
      </c>
      <c r="M9" s="284">
        <f>+'SEMANA DEL 21AL 28-3'!BI9</f>
        <v>0</v>
      </c>
      <c r="N9" s="284">
        <f>+'SEMANA DEL 21AL 28-3'!BJ9</f>
        <v>0</v>
      </c>
      <c r="O9" s="284">
        <f>+'SEMANA DEL 21AL 28-3'!BK9</f>
        <v>0</v>
      </c>
      <c r="P9" s="284">
        <f>+'SEMANA DEL 21AL 28-3'!BL9</f>
        <v>0</v>
      </c>
      <c r="Q9" s="284">
        <f>+'SEMANA DEL 21AL 28-3'!BM9</f>
        <v>0</v>
      </c>
      <c r="R9" s="190"/>
      <c r="S9" s="190"/>
      <c r="T9" s="190"/>
      <c r="U9" s="190"/>
      <c r="V9" s="190"/>
      <c r="W9" s="190"/>
      <c r="X9" s="190"/>
      <c r="Y9" s="190"/>
      <c r="Z9" s="264"/>
      <c r="AA9" s="264"/>
      <c r="AB9" s="264"/>
      <c r="AC9" s="264"/>
      <c r="AD9" s="264"/>
      <c r="AE9" s="264"/>
      <c r="AF9" s="264"/>
      <c r="AG9" s="190"/>
      <c r="AH9" s="190"/>
      <c r="AI9" s="190"/>
      <c r="AJ9" s="190"/>
      <c r="AK9" s="190"/>
      <c r="AL9" s="264"/>
      <c r="AM9" s="190"/>
      <c r="AN9" s="264"/>
      <c r="AO9" s="190"/>
      <c r="AP9" s="264"/>
      <c r="AQ9" s="264"/>
      <c r="AR9" s="264"/>
      <c r="AS9" s="264"/>
      <c r="AT9" s="264"/>
      <c r="AU9" s="264"/>
      <c r="AV9" s="264"/>
      <c r="AW9" s="190"/>
      <c r="AX9" s="190">
        <f t="shared" si="27"/>
        <v>0</v>
      </c>
      <c r="AY9" s="190">
        <f t="shared" si="27"/>
        <v>0</v>
      </c>
      <c r="AZ9" s="190">
        <f t="shared" si="27"/>
        <v>0</v>
      </c>
      <c r="BA9" s="190">
        <f t="shared" si="27"/>
        <v>0</v>
      </c>
      <c r="BB9" s="190">
        <f t="shared" si="27"/>
        <v>0</v>
      </c>
      <c r="BC9" s="190">
        <f t="shared" si="27"/>
        <v>0</v>
      </c>
      <c r="BD9" s="190">
        <f t="shared" si="27"/>
        <v>0</v>
      </c>
      <c r="BE9" s="190">
        <f t="shared" si="27"/>
        <v>0</v>
      </c>
      <c r="BF9" s="190">
        <f t="shared" si="27"/>
        <v>0</v>
      </c>
      <c r="BG9" s="190">
        <f t="shared" si="27"/>
        <v>0</v>
      </c>
      <c r="BH9" s="190">
        <f t="shared" si="27"/>
        <v>0</v>
      </c>
      <c r="BI9" s="190">
        <f t="shared" si="27"/>
        <v>0</v>
      </c>
      <c r="BJ9" s="190">
        <f t="shared" si="27"/>
        <v>0</v>
      </c>
      <c r="BK9" s="190">
        <f t="shared" si="27"/>
        <v>0</v>
      </c>
      <c r="BL9" s="190">
        <f t="shared" si="27"/>
        <v>0</v>
      </c>
      <c r="BM9" s="190">
        <f t="shared" si="27"/>
        <v>0</v>
      </c>
      <c r="BN9" s="190"/>
      <c r="BO9" s="170">
        <f>+AL9*2500</f>
        <v>0</v>
      </c>
      <c r="BP9" s="71">
        <f>+AM9*60000</f>
        <v>0</v>
      </c>
      <c r="BQ9" s="112">
        <f t="shared" si="26"/>
        <v>0</v>
      </c>
      <c r="BR9" s="112">
        <f t="shared" si="26"/>
        <v>0</v>
      </c>
      <c r="BS9" s="112">
        <f>+AP9*8000</f>
        <v>0</v>
      </c>
      <c r="BT9" s="112">
        <f>+AQ9*12000</f>
        <v>0</v>
      </c>
      <c r="BU9" s="112">
        <f>+AR9*150000</f>
        <v>0</v>
      </c>
      <c r="BV9" s="112">
        <f>+AS9*3000</f>
        <v>0</v>
      </c>
      <c r="BW9" s="112">
        <f>+AT9*8000</f>
        <v>0</v>
      </c>
      <c r="BX9" s="112">
        <f>+AU9*200000</f>
        <v>0</v>
      </c>
      <c r="BY9" s="71">
        <f>+AV9*100000</f>
        <v>0</v>
      </c>
      <c r="BZ9" s="113">
        <f>+AW9*1.5</f>
        <v>0</v>
      </c>
      <c r="CA9" s="71"/>
      <c r="CB9" s="71"/>
      <c r="CC9" s="71">
        <f t="shared" si="13"/>
        <v>0</v>
      </c>
      <c r="CD9" s="71">
        <f t="shared" si="14"/>
        <v>0</v>
      </c>
      <c r="CE9" s="71">
        <f t="shared" si="15"/>
        <v>0</v>
      </c>
      <c r="CF9" s="71">
        <f t="shared" si="16"/>
        <v>0</v>
      </c>
      <c r="CG9" s="71">
        <f t="shared" si="17"/>
        <v>0</v>
      </c>
      <c r="CH9" s="166">
        <f t="shared" si="18"/>
        <v>0</v>
      </c>
      <c r="CI9" s="263">
        <f t="shared" si="19"/>
        <v>0</v>
      </c>
      <c r="CJ9" s="79"/>
      <c r="CK9" s="79"/>
      <c r="CL9" s="41"/>
      <c r="CM9" s="129"/>
      <c r="CN9" s="129"/>
      <c r="CO9" s="129"/>
      <c r="CP9" s="41"/>
      <c r="CQ9" s="239"/>
      <c r="CR9" s="140"/>
      <c r="CS9" s="52"/>
      <c r="CT9" s="309" t="e">
        <f t="shared" si="1"/>
        <v>#REF!</v>
      </c>
      <c r="CU9" s="293" t="e">
        <f>+'SEMANA DEL 2 AL 7-3-26'!#REF!</f>
        <v>#REF!</v>
      </c>
      <c r="CV9" s="293">
        <f t="shared" si="20"/>
        <v>0</v>
      </c>
      <c r="CW9" s="293">
        <f>+AW9</f>
        <v>0</v>
      </c>
      <c r="CX9" s="293"/>
      <c r="CY9" s="293">
        <f>+CX9*230</f>
        <v>0</v>
      </c>
      <c r="CZ9" s="307"/>
      <c r="DA9" s="307"/>
      <c r="DB9" s="304">
        <f>+CZ9*6500+DA9*3500</f>
        <v>0</v>
      </c>
      <c r="DC9" s="169">
        <f>+CI9</f>
        <v>0</v>
      </c>
      <c r="DD9" s="319">
        <f>+DB9+DC9+CY9</f>
        <v>0</v>
      </c>
    </row>
    <row r="10" spans="1:108" ht="18.95" customHeight="1" x14ac:dyDescent="0.25">
      <c r="A10" s="50" t="str">
        <f>+'SEMANA DEL 14 AL 21 '!A8</f>
        <v>ESPERANZA REY</v>
      </c>
      <c r="B10" s="284">
        <f>+'SEMANA DEL 21AL 28-3'!AX10</f>
        <v>0</v>
      </c>
      <c r="C10" s="284">
        <f>+'SEMANA DEL 21AL 28-3'!AY10</f>
        <v>0</v>
      </c>
      <c r="D10" s="284">
        <f>+'SEMANA DEL 21AL 28-3'!AZ10</f>
        <v>0</v>
      </c>
      <c r="E10" s="284">
        <f>+'SEMANA DEL 21AL 28-3'!BA10</f>
        <v>0</v>
      </c>
      <c r="F10" s="284">
        <f>+'SEMANA DEL 21AL 28-3'!BB10</f>
        <v>0</v>
      </c>
      <c r="G10" s="284">
        <f>+'SEMANA DEL 21AL 28-3'!BC10</f>
        <v>0</v>
      </c>
      <c r="H10" s="284">
        <f>+'SEMANA DEL 21AL 28-3'!BD10</f>
        <v>0</v>
      </c>
      <c r="I10" s="284">
        <f>+'SEMANA DEL 21AL 28-3'!BE10</f>
        <v>0</v>
      </c>
      <c r="J10" s="284">
        <f>+'SEMANA DEL 21AL 28-3'!BF10</f>
        <v>0</v>
      </c>
      <c r="K10" s="284">
        <f>+'SEMANA DEL 21AL 28-3'!BG10</f>
        <v>0</v>
      </c>
      <c r="L10" s="284">
        <f>+'SEMANA DEL 21AL 28-3'!BH10</f>
        <v>0</v>
      </c>
      <c r="M10" s="284">
        <f>+'SEMANA DEL 21AL 28-3'!BI10</f>
        <v>0</v>
      </c>
      <c r="N10" s="284">
        <f>+'SEMANA DEL 21AL 28-3'!BJ10</f>
        <v>0</v>
      </c>
      <c r="O10" s="284">
        <f>+'SEMANA DEL 21AL 28-3'!BK10</f>
        <v>0</v>
      </c>
      <c r="P10" s="284">
        <f>+'SEMANA DEL 21AL 28-3'!BL10</f>
        <v>0</v>
      </c>
      <c r="Q10" s="284">
        <f>+'SEMANA DEL 21AL 28-3'!BM10</f>
        <v>0</v>
      </c>
      <c r="R10" s="190"/>
      <c r="S10" s="190"/>
      <c r="T10" s="190"/>
      <c r="U10" s="190"/>
      <c r="V10" s="190"/>
      <c r="W10" s="190"/>
      <c r="X10" s="190"/>
      <c r="Y10" s="190"/>
      <c r="Z10" s="264"/>
      <c r="AA10" s="264"/>
      <c r="AB10" s="264"/>
      <c r="AC10" s="264"/>
      <c r="AD10" s="264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>
        <f t="shared" si="0"/>
        <v>0</v>
      </c>
      <c r="AY10" s="190">
        <f t="shared" si="0"/>
        <v>0</v>
      </c>
      <c r="AZ10" s="190">
        <f t="shared" si="0"/>
        <v>0</v>
      </c>
      <c r="BA10" s="190">
        <f t="shared" si="0"/>
        <v>0</v>
      </c>
      <c r="BB10" s="190">
        <f t="shared" si="0"/>
        <v>0</v>
      </c>
      <c r="BC10" s="190">
        <f t="shared" si="0"/>
        <v>0</v>
      </c>
      <c r="BD10" s="190">
        <f t="shared" si="0"/>
        <v>0</v>
      </c>
      <c r="BE10" s="190">
        <f t="shared" si="0"/>
        <v>0</v>
      </c>
      <c r="BF10" s="190">
        <f t="shared" si="0"/>
        <v>0</v>
      </c>
      <c r="BG10" s="190">
        <f t="shared" si="0"/>
        <v>0</v>
      </c>
      <c r="BH10" s="190">
        <f t="shared" si="0"/>
        <v>0</v>
      </c>
      <c r="BI10" s="190">
        <f t="shared" si="0"/>
        <v>0</v>
      </c>
      <c r="BJ10" s="190">
        <f t="shared" si="0"/>
        <v>0</v>
      </c>
      <c r="BK10" s="190">
        <f t="shared" si="0"/>
        <v>0</v>
      </c>
      <c r="BL10" s="190">
        <f t="shared" si="0"/>
        <v>0</v>
      </c>
      <c r="BM10" s="190">
        <f t="shared" si="0"/>
        <v>0</v>
      </c>
      <c r="BN10" s="190"/>
      <c r="BO10" s="170">
        <f>+AL10*2500</f>
        <v>0</v>
      </c>
      <c r="BP10" s="71">
        <f>+AM10*60000</f>
        <v>0</v>
      </c>
      <c r="BQ10" s="112">
        <f t="shared" si="26"/>
        <v>0</v>
      </c>
      <c r="BR10" s="112">
        <f t="shared" si="26"/>
        <v>0</v>
      </c>
      <c r="BS10" s="112">
        <f>+AP10*8000</f>
        <v>0</v>
      </c>
      <c r="BT10" s="112">
        <f>+AQ10*12000</f>
        <v>0</v>
      </c>
      <c r="BU10" s="112">
        <f>+AR10*150000</f>
        <v>0</v>
      </c>
      <c r="BV10" s="112">
        <f>+AS10*3000</f>
        <v>0</v>
      </c>
      <c r="BW10" s="112">
        <f>+AT10*8000</f>
        <v>0</v>
      </c>
      <c r="BX10" s="112">
        <f>+AU10*200000</f>
        <v>0</v>
      </c>
      <c r="BY10" s="71">
        <f>+AV10*100000</f>
        <v>0</v>
      </c>
      <c r="BZ10" s="113">
        <f>+AW10*1.5</f>
        <v>0</v>
      </c>
      <c r="CA10" s="71"/>
      <c r="CB10" s="71"/>
      <c r="CC10" s="71">
        <f t="shared" si="13"/>
        <v>0</v>
      </c>
      <c r="CD10" s="71">
        <f t="shared" si="14"/>
        <v>0</v>
      </c>
      <c r="CE10" s="71">
        <f t="shared" si="15"/>
        <v>0</v>
      </c>
      <c r="CF10" s="71">
        <f t="shared" si="16"/>
        <v>0</v>
      </c>
      <c r="CG10" s="71">
        <f t="shared" si="17"/>
        <v>0</v>
      </c>
      <c r="CH10" s="166">
        <f t="shared" si="18"/>
        <v>0</v>
      </c>
      <c r="CI10" s="263">
        <f t="shared" si="19"/>
        <v>0</v>
      </c>
      <c r="CJ10" s="79"/>
      <c r="CK10" s="79"/>
      <c r="CL10" s="41"/>
      <c r="CM10" s="129"/>
      <c r="CN10" s="129"/>
      <c r="CO10" s="129"/>
      <c r="CP10" s="41"/>
      <c r="CQ10" s="239"/>
      <c r="CR10" s="140"/>
      <c r="CS10" s="52"/>
      <c r="CT10" s="309" t="str">
        <f t="shared" si="1"/>
        <v>ESPERANZA REY</v>
      </c>
      <c r="CU10" s="293" t="str">
        <f>+'SEMANA DEL 2 AL 7-3-26'!CS9</f>
        <v>V-15.956.387</v>
      </c>
      <c r="CV10" s="293">
        <f t="shared" si="20"/>
        <v>0</v>
      </c>
      <c r="CW10" s="293">
        <f>+AW10</f>
        <v>0</v>
      </c>
      <c r="CX10" s="293"/>
      <c r="CY10" s="293">
        <f t="shared" si="22"/>
        <v>0</v>
      </c>
      <c r="CZ10" s="307"/>
      <c r="DA10" s="307"/>
      <c r="DB10" s="304">
        <f>+CZ10*6500+DA10*3500</f>
        <v>0</v>
      </c>
      <c r="DC10" s="169">
        <f>+CI10</f>
        <v>0</v>
      </c>
      <c r="DD10" s="319">
        <f>+DB10+DC10+CY10</f>
        <v>0</v>
      </c>
    </row>
    <row r="11" spans="1:108" ht="18.95" customHeight="1" x14ac:dyDescent="0.25">
      <c r="A11" s="50" t="str">
        <f>+'SEMANA DEL 14 AL 21 '!A9</f>
        <v xml:space="preserve">ELIZABETH REYES SERRANO </v>
      </c>
      <c r="B11" s="284">
        <f>+'SEMANA DEL 21AL 28-3'!AX11</f>
        <v>3.2</v>
      </c>
      <c r="C11" s="284">
        <f>+'SEMANA DEL 21AL 28-3'!AY11</f>
        <v>5.7600000000000016</v>
      </c>
      <c r="D11" s="284">
        <f>+'SEMANA DEL 21AL 28-3'!AZ11</f>
        <v>22.4</v>
      </c>
      <c r="E11" s="284">
        <f>+'SEMANA DEL 21AL 28-3'!BA11</f>
        <v>3</v>
      </c>
      <c r="F11" s="284">
        <f>+'SEMANA DEL 21AL 28-3'!BB11</f>
        <v>0</v>
      </c>
      <c r="G11" s="284">
        <f>+'SEMANA DEL 21AL 28-3'!BC11</f>
        <v>0</v>
      </c>
      <c r="H11" s="284">
        <f>+'SEMANA DEL 21AL 28-3'!BD11</f>
        <v>0</v>
      </c>
      <c r="I11" s="284">
        <f>+'SEMANA DEL 21AL 28-3'!BE11</f>
        <v>0</v>
      </c>
      <c r="J11" s="284">
        <f>+'SEMANA DEL 21AL 28-3'!BF11</f>
        <v>0</v>
      </c>
      <c r="K11" s="284">
        <f>+'SEMANA DEL 21AL 28-3'!BG11</f>
        <v>0</v>
      </c>
      <c r="L11" s="284">
        <f>+'SEMANA DEL 21AL 28-3'!BH11</f>
        <v>0</v>
      </c>
      <c r="M11" s="284">
        <f>+'SEMANA DEL 21AL 28-3'!BI11</f>
        <v>0</v>
      </c>
      <c r="N11" s="284">
        <f>+'SEMANA DEL 21AL 28-3'!BJ11</f>
        <v>0</v>
      </c>
      <c r="O11" s="284">
        <f>+'SEMANA DEL 21AL 28-3'!BK11</f>
        <v>0</v>
      </c>
      <c r="P11" s="284">
        <f>+'SEMANA DEL 21AL 28-3'!BL11</f>
        <v>0</v>
      </c>
      <c r="Q11" s="284">
        <f>+'SEMANA DEL 21AL 28-3'!BM11</f>
        <v>0</v>
      </c>
      <c r="R11" s="190"/>
      <c r="S11" s="190"/>
      <c r="T11" s="190"/>
      <c r="U11" s="190"/>
      <c r="V11" s="190"/>
      <c r="W11" s="190"/>
      <c r="X11" s="190"/>
      <c r="Y11" s="190"/>
      <c r="Z11" s="190"/>
      <c r="AA11" s="264"/>
      <c r="AB11" s="264"/>
      <c r="AC11" s="264"/>
      <c r="AD11" s="264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>
        <f t="shared" si="0"/>
        <v>3.2</v>
      </c>
      <c r="AY11" s="190">
        <f t="shared" si="0"/>
        <v>5.7600000000000016</v>
      </c>
      <c r="AZ11" s="190">
        <f t="shared" si="0"/>
        <v>22.4</v>
      </c>
      <c r="BA11" s="190">
        <f t="shared" si="0"/>
        <v>3</v>
      </c>
      <c r="BB11" s="190">
        <f t="shared" si="0"/>
        <v>0</v>
      </c>
      <c r="BC11" s="190">
        <f t="shared" si="0"/>
        <v>0</v>
      </c>
      <c r="BD11" s="190">
        <f t="shared" si="0"/>
        <v>0</v>
      </c>
      <c r="BE11" s="190">
        <f t="shared" si="0"/>
        <v>0</v>
      </c>
      <c r="BF11" s="190">
        <f t="shared" si="0"/>
        <v>0</v>
      </c>
      <c r="BG11" s="190">
        <f t="shared" si="0"/>
        <v>0</v>
      </c>
      <c r="BH11" s="190">
        <f t="shared" si="0"/>
        <v>0</v>
      </c>
      <c r="BI11" s="190">
        <f t="shared" si="0"/>
        <v>0</v>
      </c>
      <c r="BJ11" s="190">
        <f t="shared" si="0"/>
        <v>0</v>
      </c>
      <c r="BK11" s="190">
        <f t="shared" si="0"/>
        <v>0</v>
      </c>
      <c r="BL11" s="190">
        <f t="shared" si="0"/>
        <v>0</v>
      </c>
      <c r="BM11" s="190">
        <f t="shared" si="0"/>
        <v>0</v>
      </c>
      <c r="BN11" s="190"/>
      <c r="BO11" s="170">
        <f t="shared" si="2"/>
        <v>0</v>
      </c>
      <c r="BP11" s="71">
        <f t="shared" si="3"/>
        <v>0</v>
      </c>
      <c r="BQ11" s="112">
        <f t="shared" si="4"/>
        <v>0</v>
      </c>
      <c r="BR11" s="112">
        <f t="shared" si="4"/>
        <v>0</v>
      </c>
      <c r="BS11" s="112">
        <f t="shared" si="5"/>
        <v>0</v>
      </c>
      <c r="BT11" s="112">
        <f t="shared" si="6"/>
        <v>0</v>
      </c>
      <c r="BU11" s="112">
        <f t="shared" si="7"/>
        <v>0</v>
      </c>
      <c r="BV11" s="112">
        <f t="shared" si="8"/>
        <v>0</v>
      </c>
      <c r="BW11" s="112">
        <f t="shared" si="9"/>
        <v>0</v>
      </c>
      <c r="BX11" s="112">
        <f t="shared" si="10"/>
        <v>0</v>
      </c>
      <c r="BY11" s="71">
        <f t="shared" si="11"/>
        <v>0</v>
      </c>
      <c r="BZ11" s="113">
        <f t="shared" si="12"/>
        <v>0</v>
      </c>
      <c r="CA11" s="71"/>
      <c r="CB11" s="71"/>
      <c r="CC11" s="71">
        <f t="shared" si="13"/>
        <v>0</v>
      </c>
      <c r="CD11" s="71">
        <f t="shared" si="14"/>
        <v>0</v>
      </c>
      <c r="CE11" s="71">
        <f t="shared" si="15"/>
        <v>0</v>
      </c>
      <c r="CF11" s="71">
        <f t="shared" si="16"/>
        <v>0</v>
      </c>
      <c r="CG11" s="71">
        <f t="shared" si="17"/>
        <v>0</v>
      </c>
      <c r="CH11" s="166">
        <f t="shared" si="18"/>
        <v>0</v>
      </c>
      <c r="CI11" s="263">
        <f t="shared" si="19"/>
        <v>0</v>
      </c>
      <c r="CJ11" s="79"/>
      <c r="CK11" s="79"/>
      <c r="CL11" s="41"/>
      <c r="CM11" s="129"/>
      <c r="CN11" s="129"/>
      <c r="CO11" s="129"/>
      <c r="CP11" s="41"/>
      <c r="CQ11" s="239"/>
      <c r="CR11" s="140"/>
      <c r="CS11" s="52"/>
      <c r="CT11" s="309" t="str">
        <f t="shared" si="1"/>
        <v xml:space="preserve">ELIZABETH REYES SERRANO </v>
      </c>
      <c r="CU11" s="293" t="str">
        <f>+'SEMANA DEL 2 AL 7-3-26'!CS10</f>
        <v>V-29,664.726</v>
      </c>
      <c r="CV11" s="293">
        <f t="shared" si="20"/>
        <v>0</v>
      </c>
      <c r="CW11" s="293">
        <f t="shared" si="21"/>
        <v>0</v>
      </c>
      <c r="CX11" s="293"/>
      <c r="CY11" s="293">
        <f t="shared" si="22"/>
        <v>0</v>
      </c>
      <c r="CZ11" s="307"/>
      <c r="DA11" s="307"/>
      <c r="DB11" s="304">
        <f t="shared" si="23"/>
        <v>0</v>
      </c>
      <c r="DC11" s="169">
        <f t="shared" si="24"/>
        <v>0</v>
      </c>
      <c r="DD11" s="319">
        <f t="shared" si="25"/>
        <v>0</v>
      </c>
    </row>
    <row r="12" spans="1:108" ht="18.95" customHeight="1" x14ac:dyDescent="0.25">
      <c r="A12" s="50" t="str">
        <f>+'SEMANA DEL 14 AL 21 '!A10</f>
        <v>ELVIRA LOPEZ</v>
      </c>
      <c r="B12" s="284">
        <f>+'SEMANA DEL 21AL 28-3'!AX12</f>
        <v>0.34999999999999964</v>
      </c>
      <c r="C12" s="284">
        <f>+'SEMANA DEL 21AL 28-3'!AY12</f>
        <v>1.6300000000000008</v>
      </c>
      <c r="D12" s="284">
        <f>+'SEMANA DEL 21AL 28-3'!AZ12</f>
        <v>4.4500000000000028</v>
      </c>
      <c r="E12" s="284">
        <f>+'SEMANA DEL 21AL 28-3'!BA12</f>
        <v>0</v>
      </c>
      <c r="F12" s="284">
        <f>+'SEMANA DEL 21AL 28-3'!BB12</f>
        <v>0</v>
      </c>
      <c r="G12" s="284">
        <f>+'SEMANA DEL 21AL 28-3'!BC12</f>
        <v>0</v>
      </c>
      <c r="H12" s="284">
        <f>+'SEMANA DEL 21AL 28-3'!BD12</f>
        <v>0</v>
      </c>
      <c r="I12" s="284">
        <f>+'SEMANA DEL 21AL 28-3'!BE12</f>
        <v>0</v>
      </c>
      <c r="J12" s="284">
        <f>+'SEMANA DEL 21AL 28-3'!BF12</f>
        <v>0</v>
      </c>
      <c r="K12" s="284">
        <f>+'SEMANA DEL 21AL 28-3'!BG12</f>
        <v>0</v>
      </c>
      <c r="L12" s="284">
        <f>+'SEMANA DEL 21AL 28-3'!BH12</f>
        <v>0</v>
      </c>
      <c r="M12" s="284">
        <f>+'SEMANA DEL 21AL 28-3'!BI12</f>
        <v>0</v>
      </c>
      <c r="N12" s="284">
        <f>+'SEMANA DEL 21AL 28-3'!BJ12</f>
        <v>0</v>
      </c>
      <c r="O12" s="284">
        <f>+'SEMANA DEL 21AL 28-3'!BK12</f>
        <v>0</v>
      </c>
      <c r="P12" s="284">
        <f>+'SEMANA DEL 21AL 28-3'!BL12</f>
        <v>0</v>
      </c>
      <c r="Q12" s="284">
        <f>+'SEMANA DEL 21AL 28-3'!BM12</f>
        <v>0</v>
      </c>
      <c r="R12" s="190"/>
      <c r="S12" s="190"/>
      <c r="T12" s="190"/>
      <c r="U12" s="190"/>
      <c r="V12" s="190"/>
      <c r="W12" s="190"/>
      <c r="X12" s="190"/>
      <c r="Y12" s="190"/>
      <c r="Z12" s="264"/>
      <c r="AA12" s="264"/>
      <c r="AB12" s="264"/>
      <c r="AC12" s="264"/>
      <c r="AD12" s="264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>
        <f t="shared" si="0"/>
        <v>0.34999999999999964</v>
      </c>
      <c r="AY12" s="190">
        <f t="shared" si="0"/>
        <v>1.6300000000000008</v>
      </c>
      <c r="AZ12" s="190">
        <f t="shared" si="0"/>
        <v>4.4500000000000028</v>
      </c>
      <c r="BA12" s="190">
        <f t="shared" si="0"/>
        <v>0</v>
      </c>
      <c r="BB12" s="190">
        <f t="shared" si="0"/>
        <v>0</v>
      </c>
      <c r="BC12" s="190">
        <f t="shared" si="0"/>
        <v>0</v>
      </c>
      <c r="BD12" s="190">
        <f t="shared" si="0"/>
        <v>0</v>
      </c>
      <c r="BE12" s="190">
        <f t="shared" si="0"/>
        <v>0</v>
      </c>
      <c r="BF12" s="190">
        <f t="shared" si="0"/>
        <v>0</v>
      </c>
      <c r="BG12" s="190">
        <f t="shared" si="0"/>
        <v>0</v>
      </c>
      <c r="BH12" s="190">
        <f t="shared" si="0"/>
        <v>0</v>
      </c>
      <c r="BI12" s="190">
        <f t="shared" si="0"/>
        <v>0</v>
      </c>
      <c r="BJ12" s="190">
        <f t="shared" si="0"/>
        <v>0</v>
      </c>
      <c r="BK12" s="190">
        <f t="shared" si="0"/>
        <v>0</v>
      </c>
      <c r="BL12" s="190">
        <f t="shared" si="0"/>
        <v>0</v>
      </c>
      <c r="BM12" s="190">
        <f t="shared" si="0"/>
        <v>0</v>
      </c>
      <c r="BN12" s="190"/>
      <c r="BO12" s="170">
        <f t="shared" si="2"/>
        <v>0</v>
      </c>
      <c r="BP12" s="71">
        <f t="shared" si="3"/>
        <v>0</v>
      </c>
      <c r="BQ12" s="112">
        <f t="shared" si="4"/>
        <v>0</v>
      </c>
      <c r="BR12" s="112">
        <f t="shared" si="4"/>
        <v>0</v>
      </c>
      <c r="BS12" s="112">
        <f t="shared" si="5"/>
        <v>0</v>
      </c>
      <c r="BT12" s="112">
        <f t="shared" si="6"/>
        <v>0</v>
      </c>
      <c r="BU12" s="112">
        <f t="shared" si="7"/>
        <v>0</v>
      </c>
      <c r="BV12" s="112">
        <f t="shared" si="8"/>
        <v>0</v>
      </c>
      <c r="BW12" s="112">
        <f t="shared" si="9"/>
        <v>0</v>
      </c>
      <c r="BX12" s="112">
        <f t="shared" si="10"/>
        <v>0</v>
      </c>
      <c r="BY12" s="71">
        <f t="shared" si="11"/>
        <v>0</v>
      </c>
      <c r="BZ12" s="113">
        <f t="shared" si="12"/>
        <v>0</v>
      </c>
      <c r="CA12" s="71"/>
      <c r="CB12" s="71"/>
      <c r="CC12" s="71">
        <f t="shared" si="13"/>
        <v>0</v>
      </c>
      <c r="CD12" s="71">
        <f t="shared" si="14"/>
        <v>0</v>
      </c>
      <c r="CE12" s="71">
        <f t="shared" si="15"/>
        <v>0</v>
      </c>
      <c r="CF12" s="71">
        <f t="shared" si="16"/>
        <v>0</v>
      </c>
      <c r="CG12" s="71">
        <f t="shared" si="17"/>
        <v>0</v>
      </c>
      <c r="CH12" s="166">
        <f t="shared" si="18"/>
        <v>0</v>
      </c>
      <c r="CI12" s="263">
        <f t="shared" si="19"/>
        <v>0</v>
      </c>
      <c r="CJ12" s="79"/>
      <c r="CK12" s="79"/>
      <c r="CL12" s="78" t="s">
        <v>18</v>
      </c>
      <c r="CM12" s="74" t="e">
        <f>+'SEMANA DEL 14 AL 21 '!#REF!</f>
        <v>#REF!</v>
      </c>
      <c r="CN12" s="147" t="e">
        <f>+#REF!</f>
        <v>#REF!</v>
      </c>
      <c r="CO12" s="75" t="e">
        <f>+CM12+CN12</f>
        <v>#REF!</v>
      </c>
      <c r="CP12" s="175" t="e">
        <f>+#REF!</f>
        <v>#REF!</v>
      </c>
      <c r="CQ12" s="76" t="e">
        <f>CO12-CP12</f>
        <v>#REF!</v>
      </c>
      <c r="CR12" s="140"/>
      <c r="CS12" s="52"/>
      <c r="CT12" s="309" t="str">
        <f t="shared" si="1"/>
        <v>ELVIRA LOPEZ</v>
      </c>
      <c r="CU12" s="293" t="str">
        <f>+'SEMANA DEL 2 AL 7-3-26'!CS11</f>
        <v>CC-5.535.335</v>
      </c>
      <c r="CV12" s="293">
        <f t="shared" si="20"/>
        <v>0</v>
      </c>
      <c r="CW12" s="293">
        <f t="shared" si="21"/>
        <v>0</v>
      </c>
      <c r="CX12" s="293"/>
      <c r="CY12" s="293">
        <f t="shared" si="22"/>
        <v>0</v>
      </c>
      <c r="CZ12" s="307"/>
      <c r="DA12" s="307"/>
      <c r="DB12" s="304">
        <f t="shared" si="23"/>
        <v>0</v>
      </c>
      <c r="DC12" s="169">
        <f t="shared" si="24"/>
        <v>0</v>
      </c>
      <c r="DD12" s="319">
        <f t="shared" si="25"/>
        <v>0</v>
      </c>
    </row>
    <row r="13" spans="1:108" ht="18.95" customHeight="1" x14ac:dyDescent="0.25">
      <c r="A13" s="50" t="str">
        <f>+'SEMANA DEL 14 AL 21 '!A11</f>
        <v>ERNESTO REYES</v>
      </c>
      <c r="B13" s="284" t="e">
        <f>+'SEMANA DEL 21AL 28-3'!#REF!</f>
        <v>#REF!</v>
      </c>
      <c r="C13" s="284" t="e">
        <f>+'SEMANA DEL 21AL 28-3'!#REF!</f>
        <v>#REF!</v>
      </c>
      <c r="D13" s="284" t="e">
        <f>+'SEMANA DEL 21AL 28-3'!#REF!</f>
        <v>#REF!</v>
      </c>
      <c r="E13" s="284" t="e">
        <f>+'SEMANA DEL 21AL 28-3'!#REF!</f>
        <v>#REF!</v>
      </c>
      <c r="F13" s="284" t="e">
        <f>+'SEMANA DEL 21AL 28-3'!#REF!</f>
        <v>#REF!</v>
      </c>
      <c r="G13" s="284" t="e">
        <f>+'SEMANA DEL 21AL 28-3'!#REF!</f>
        <v>#REF!</v>
      </c>
      <c r="H13" s="284" t="e">
        <f>+'SEMANA DEL 21AL 28-3'!#REF!</f>
        <v>#REF!</v>
      </c>
      <c r="I13" s="284" t="e">
        <f>+'SEMANA DEL 21AL 28-3'!#REF!</f>
        <v>#REF!</v>
      </c>
      <c r="J13" s="284" t="e">
        <f>+'SEMANA DEL 21AL 28-3'!#REF!</f>
        <v>#REF!</v>
      </c>
      <c r="K13" s="284" t="e">
        <f>+'SEMANA DEL 21AL 28-3'!#REF!</f>
        <v>#REF!</v>
      </c>
      <c r="L13" s="284" t="e">
        <f>+'SEMANA DEL 21AL 28-3'!#REF!</f>
        <v>#REF!</v>
      </c>
      <c r="M13" s="284" t="e">
        <f>+'SEMANA DEL 21AL 28-3'!#REF!</f>
        <v>#REF!</v>
      </c>
      <c r="N13" s="284" t="e">
        <f>+'SEMANA DEL 21AL 28-3'!#REF!</f>
        <v>#REF!</v>
      </c>
      <c r="O13" s="284" t="e">
        <f>+'SEMANA DEL 21AL 28-3'!#REF!</f>
        <v>#REF!</v>
      </c>
      <c r="P13" s="284" t="e">
        <f>+'SEMANA DEL 21AL 28-3'!#REF!</f>
        <v>#REF!</v>
      </c>
      <c r="Q13" s="284" t="e">
        <f>+'SEMANA DEL 21AL 28-3'!#REF!</f>
        <v>#REF!</v>
      </c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 t="e">
        <f t="shared" si="0"/>
        <v>#REF!</v>
      </c>
      <c r="AY13" s="190" t="e">
        <f t="shared" si="0"/>
        <v>#REF!</v>
      </c>
      <c r="AZ13" s="190" t="e">
        <f t="shared" si="0"/>
        <v>#REF!</v>
      </c>
      <c r="BA13" s="190" t="e">
        <f t="shared" si="0"/>
        <v>#REF!</v>
      </c>
      <c r="BB13" s="190" t="e">
        <f t="shared" si="0"/>
        <v>#REF!</v>
      </c>
      <c r="BC13" s="190" t="e">
        <f t="shared" si="0"/>
        <v>#REF!</v>
      </c>
      <c r="BD13" s="190" t="e">
        <f t="shared" si="0"/>
        <v>#REF!</v>
      </c>
      <c r="BE13" s="190" t="e">
        <f t="shared" si="0"/>
        <v>#REF!</v>
      </c>
      <c r="BF13" s="190" t="e">
        <f t="shared" si="0"/>
        <v>#REF!</v>
      </c>
      <c r="BG13" s="190" t="e">
        <f t="shared" si="0"/>
        <v>#REF!</v>
      </c>
      <c r="BH13" s="190" t="e">
        <f t="shared" si="0"/>
        <v>#REF!</v>
      </c>
      <c r="BI13" s="190" t="e">
        <f t="shared" si="0"/>
        <v>#REF!</v>
      </c>
      <c r="BJ13" s="190" t="e">
        <f t="shared" si="0"/>
        <v>#REF!</v>
      </c>
      <c r="BK13" s="190" t="e">
        <f t="shared" si="0"/>
        <v>#REF!</v>
      </c>
      <c r="BL13" s="190" t="e">
        <f t="shared" si="0"/>
        <v>#REF!</v>
      </c>
      <c r="BM13" s="190" t="e">
        <f t="shared" si="0"/>
        <v>#REF!</v>
      </c>
      <c r="BN13" s="190"/>
      <c r="BO13" s="170">
        <f t="shared" si="2"/>
        <v>0</v>
      </c>
      <c r="BP13" s="71">
        <f t="shared" si="3"/>
        <v>0</v>
      </c>
      <c r="BQ13" s="112">
        <f t="shared" si="4"/>
        <v>0</v>
      </c>
      <c r="BR13" s="112">
        <f t="shared" si="4"/>
        <v>0</v>
      </c>
      <c r="BS13" s="112">
        <f t="shared" si="5"/>
        <v>0</v>
      </c>
      <c r="BT13" s="112">
        <f t="shared" si="6"/>
        <v>0</v>
      </c>
      <c r="BU13" s="112">
        <f t="shared" si="7"/>
        <v>0</v>
      </c>
      <c r="BV13" s="112">
        <f t="shared" si="8"/>
        <v>0</v>
      </c>
      <c r="BW13" s="112">
        <f t="shared" si="9"/>
        <v>0</v>
      </c>
      <c r="BX13" s="112">
        <f t="shared" si="10"/>
        <v>0</v>
      </c>
      <c r="BY13" s="71">
        <f t="shared" si="11"/>
        <v>0</v>
      </c>
      <c r="BZ13" s="113">
        <f t="shared" si="12"/>
        <v>0</v>
      </c>
      <c r="CA13" s="71"/>
      <c r="CB13" s="71"/>
      <c r="CC13" s="71">
        <f t="shared" si="13"/>
        <v>0</v>
      </c>
      <c r="CD13" s="71">
        <f t="shared" si="14"/>
        <v>0</v>
      </c>
      <c r="CE13" s="71">
        <f t="shared" si="15"/>
        <v>0</v>
      </c>
      <c r="CF13" s="71">
        <f t="shared" si="16"/>
        <v>0</v>
      </c>
      <c r="CG13" s="71">
        <f t="shared" si="17"/>
        <v>0</v>
      </c>
      <c r="CH13" s="166">
        <f t="shared" si="18"/>
        <v>0</v>
      </c>
      <c r="CI13" s="263">
        <f t="shared" si="19"/>
        <v>0</v>
      </c>
      <c r="CJ13" s="77"/>
      <c r="CK13" s="73"/>
      <c r="CL13" s="78" t="s">
        <v>108</v>
      </c>
      <c r="CM13" s="74" t="e">
        <f>+'SEMANA DEL 14 AL 21 '!#REF!</f>
        <v>#REF!</v>
      </c>
      <c r="CN13" s="147" t="e">
        <f>+#REF!</f>
        <v>#REF!</v>
      </c>
      <c r="CO13" s="75" t="e">
        <f>+CM13+CN13</f>
        <v>#REF!</v>
      </c>
      <c r="CP13" s="175" t="e">
        <f>+#REF!</f>
        <v>#REF!</v>
      </c>
      <c r="CQ13" s="76" t="e">
        <f>CO13-CP13</f>
        <v>#REF!</v>
      </c>
      <c r="CR13" s="140"/>
      <c r="CS13" s="52"/>
      <c r="CT13" s="309" t="str">
        <f t="shared" si="1"/>
        <v>ERNESTO REYES</v>
      </c>
      <c r="CU13" s="293" t="str">
        <f>+'SEMANA DEL 2 AL 7-3-26'!CS12</f>
        <v>V-5.642.663</v>
      </c>
      <c r="CV13" s="293">
        <f t="shared" si="20"/>
        <v>0</v>
      </c>
      <c r="CW13" s="293">
        <f t="shared" si="21"/>
        <v>0</v>
      </c>
      <c r="CX13" s="293"/>
      <c r="CY13" s="293">
        <f t="shared" si="22"/>
        <v>0</v>
      </c>
      <c r="CZ13" s="307"/>
      <c r="DA13" s="307"/>
      <c r="DB13" s="304">
        <f t="shared" si="23"/>
        <v>0</v>
      </c>
      <c r="DC13" s="169">
        <f t="shared" si="24"/>
        <v>0</v>
      </c>
      <c r="DD13" s="319">
        <f t="shared" si="25"/>
        <v>0</v>
      </c>
    </row>
    <row r="14" spans="1:108" ht="18.95" customHeight="1" x14ac:dyDescent="0.25">
      <c r="A14" s="50" t="str">
        <f>+'SEMANA DEL 14 AL 21 '!A12</f>
        <v xml:space="preserve">GUILLERMO ZAMBRANO </v>
      </c>
      <c r="B14" s="284">
        <f>+'SEMANA DEL 21AL 28-3'!AX13</f>
        <v>0</v>
      </c>
      <c r="C14" s="284">
        <f>+'SEMANA DEL 21AL 28-3'!AY13</f>
        <v>0</v>
      </c>
      <c r="D14" s="284">
        <f>+'SEMANA DEL 21AL 28-3'!AZ13</f>
        <v>0</v>
      </c>
      <c r="E14" s="284">
        <f>+'SEMANA DEL 21AL 28-3'!BA13</f>
        <v>0</v>
      </c>
      <c r="F14" s="284">
        <f>+'SEMANA DEL 21AL 28-3'!BB13</f>
        <v>0</v>
      </c>
      <c r="G14" s="284">
        <f>+'SEMANA DEL 21AL 28-3'!BC13</f>
        <v>0</v>
      </c>
      <c r="H14" s="284">
        <f>+'SEMANA DEL 21AL 28-3'!BD13</f>
        <v>0</v>
      </c>
      <c r="I14" s="284">
        <f>+'SEMANA DEL 21AL 28-3'!BE13</f>
        <v>0</v>
      </c>
      <c r="J14" s="284">
        <f>+'SEMANA DEL 21AL 28-3'!BF13</f>
        <v>0</v>
      </c>
      <c r="K14" s="284">
        <f>+'SEMANA DEL 21AL 28-3'!BG13</f>
        <v>0</v>
      </c>
      <c r="L14" s="284">
        <f>+'SEMANA DEL 21AL 28-3'!BH13</f>
        <v>0</v>
      </c>
      <c r="M14" s="284">
        <f>+'SEMANA DEL 21AL 28-3'!BI13</f>
        <v>0</v>
      </c>
      <c r="N14" s="284">
        <f>+'SEMANA DEL 21AL 28-3'!BJ13</f>
        <v>0</v>
      </c>
      <c r="O14" s="284">
        <f>+'SEMANA DEL 21AL 28-3'!BK13</f>
        <v>0</v>
      </c>
      <c r="P14" s="284">
        <f>+'SEMANA DEL 21AL 28-3'!BL13</f>
        <v>0</v>
      </c>
      <c r="Q14" s="284">
        <f>+'SEMANA DEL 21AL 28-3'!BM13</f>
        <v>0</v>
      </c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>
        <f t="shared" si="0"/>
        <v>0</v>
      </c>
      <c r="AY14" s="190">
        <f t="shared" si="0"/>
        <v>0</v>
      </c>
      <c r="AZ14" s="190">
        <f t="shared" si="0"/>
        <v>0</v>
      </c>
      <c r="BA14" s="190">
        <f t="shared" si="0"/>
        <v>0</v>
      </c>
      <c r="BB14" s="190">
        <f t="shared" si="0"/>
        <v>0</v>
      </c>
      <c r="BC14" s="190">
        <f t="shared" si="0"/>
        <v>0</v>
      </c>
      <c r="BD14" s="190">
        <f t="shared" si="0"/>
        <v>0</v>
      </c>
      <c r="BE14" s="190">
        <f t="shared" si="0"/>
        <v>0</v>
      </c>
      <c r="BF14" s="190">
        <f t="shared" si="0"/>
        <v>0</v>
      </c>
      <c r="BG14" s="190">
        <f t="shared" si="0"/>
        <v>0</v>
      </c>
      <c r="BH14" s="190">
        <f t="shared" si="0"/>
        <v>0</v>
      </c>
      <c r="BI14" s="190">
        <f t="shared" si="0"/>
        <v>0</v>
      </c>
      <c r="BJ14" s="190">
        <f t="shared" si="0"/>
        <v>0</v>
      </c>
      <c r="BK14" s="190">
        <f t="shared" si="0"/>
        <v>0</v>
      </c>
      <c r="BL14" s="190">
        <f t="shared" si="0"/>
        <v>0</v>
      </c>
      <c r="BM14" s="190">
        <f t="shared" si="0"/>
        <v>0</v>
      </c>
      <c r="BN14" s="190"/>
      <c r="BO14" s="170">
        <f t="shared" si="2"/>
        <v>0</v>
      </c>
      <c r="BP14" s="71">
        <f t="shared" si="3"/>
        <v>0</v>
      </c>
      <c r="BQ14" s="112">
        <f t="shared" si="4"/>
        <v>0</v>
      </c>
      <c r="BR14" s="112">
        <f t="shared" si="4"/>
        <v>0</v>
      </c>
      <c r="BS14" s="112">
        <f t="shared" si="5"/>
        <v>0</v>
      </c>
      <c r="BT14" s="112">
        <f t="shared" si="6"/>
        <v>0</v>
      </c>
      <c r="BU14" s="112">
        <f t="shared" si="7"/>
        <v>0</v>
      </c>
      <c r="BV14" s="112">
        <f t="shared" si="8"/>
        <v>0</v>
      </c>
      <c r="BW14" s="112">
        <f t="shared" si="9"/>
        <v>0</v>
      </c>
      <c r="BX14" s="112">
        <f t="shared" si="10"/>
        <v>0</v>
      </c>
      <c r="BY14" s="71">
        <f t="shared" si="11"/>
        <v>0</v>
      </c>
      <c r="BZ14" s="113">
        <f t="shared" si="12"/>
        <v>0</v>
      </c>
      <c r="CA14" s="71"/>
      <c r="CB14" s="71"/>
      <c r="CC14" s="71">
        <f t="shared" si="13"/>
        <v>0</v>
      </c>
      <c r="CD14" s="71">
        <f t="shared" si="14"/>
        <v>0</v>
      </c>
      <c r="CE14" s="71">
        <f t="shared" si="15"/>
        <v>0</v>
      </c>
      <c r="CF14" s="71">
        <f t="shared" si="16"/>
        <v>0</v>
      </c>
      <c r="CG14" s="71">
        <f t="shared" si="17"/>
        <v>0</v>
      </c>
      <c r="CH14" s="166">
        <f t="shared" si="18"/>
        <v>0</v>
      </c>
      <c r="CI14" s="263">
        <f t="shared" si="19"/>
        <v>0</v>
      </c>
      <c r="CJ14" s="77"/>
      <c r="CK14" s="73"/>
      <c r="CL14" s="78"/>
      <c r="CM14" s="74"/>
      <c r="CN14" s="147"/>
      <c r="CO14" s="75"/>
      <c r="CP14" s="175"/>
      <c r="CQ14" s="76"/>
      <c r="CR14" s="140"/>
      <c r="CS14" s="52"/>
      <c r="CT14" s="309" t="str">
        <f t="shared" si="1"/>
        <v xml:space="preserve">GUILLERMO ZAMBRANO </v>
      </c>
      <c r="CU14" s="293" t="e">
        <f>+'SEMANA DEL 2 AL 7-3-26'!#REF!</f>
        <v>#REF!</v>
      </c>
      <c r="CV14" s="293">
        <f t="shared" si="20"/>
        <v>0</v>
      </c>
      <c r="CW14" s="293">
        <f t="shared" si="21"/>
        <v>0</v>
      </c>
      <c r="CX14" s="293"/>
      <c r="CY14" s="293">
        <f t="shared" si="22"/>
        <v>0</v>
      </c>
      <c r="CZ14" s="307"/>
      <c r="DA14" s="307"/>
      <c r="DB14" s="304">
        <f t="shared" si="23"/>
        <v>0</v>
      </c>
      <c r="DC14" s="169">
        <f t="shared" si="24"/>
        <v>0</v>
      </c>
      <c r="DD14" s="319">
        <f t="shared" si="25"/>
        <v>0</v>
      </c>
    </row>
    <row r="15" spans="1:108" ht="18.95" customHeight="1" x14ac:dyDescent="0.25">
      <c r="A15" s="50" t="str">
        <f>+'SEMANA DEL 14 AL 21 '!A13</f>
        <v>HUGO ALMEIDA</v>
      </c>
      <c r="B15" s="284">
        <f>+'SEMANA DEL 21AL 28-3'!AX14</f>
        <v>1</v>
      </c>
      <c r="C15" s="284">
        <f>+'SEMANA DEL 21AL 28-3'!AY14</f>
        <v>1.8000000000000007</v>
      </c>
      <c r="D15" s="284">
        <f>+'SEMANA DEL 21AL 28-3'!AZ14</f>
        <v>7</v>
      </c>
      <c r="E15" s="284">
        <f>+'SEMANA DEL 21AL 28-3'!BA14</f>
        <v>1</v>
      </c>
      <c r="F15" s="284">
        <f>+'SEMANA DEL 21AL 28-3'!BB14</f>
        <v>0</v>
      </c>
      <c r="G15" s="284">
        <f>+'SEMANA DEL 21AL 28-3'!BC14</f>
        <v>0</v>
      </c>
      <c r="H15" s="284">
        <f>+'SEMANA DEL 21AL 28-3'!BD14</f>
        <v>0</v>
      </c>
      <c r="I15" s="284">
        <f>+'SEMANA DEL 21AL 28-3'!BE14</f>
        <v>0</v>
      </c>
      <c r="J15" s="284">
        <f>+'SEMANA DEL 21AL 28-3'!BF14</f>
        <v>0</v>
      </c>
      <c r="K15" s="284">
        <f>+'SEMANA DEL 21AL 28-3'!BG14</f>
        <v>0</v>
      </c>
      <c r="L15" s="284">
        <f>+'SEMANA DEL 21AL 28-3'!BH14</f>
        <v>0</v>
      </c>
      <c r="M15" s="284">
        <f>+'SEMANA DEL 21AL 28-3'!BI14</f>
        <v>0</v>
      </c>
      <c r="N15" s="284">
        <f>+'SEMANA DEL 21AL 28-3'!BJ14</f>
        <v>0</v>
      </c>
      <c r="O15" s="284">
        <f>+'SEMANA DEL 21AL 28-3'!BK14</f>
        <v>0</v>
      </c>
      <c r="P15" s="284">
        <f>+'SEMANA DEL 21AL 28-3'!BL14</f>
        <v>0</v>
      </c>
      <c r="Q15" s="284">
        <f>+'SEMANA DEL 21AL 28-3'!BM14</f>
        <v>0</v>
      </c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>
        <f t="shared" si="0"/>
        <v>1</v>
      </c>
      <c r="AY15" s="190">
        <f t="shared" si="0"/>
        <v>1.8000000000000007</v>
      </c>
      <c r="AZ15" s="190">
        <f t="shared" si="0"/>
        <v>7</v>
      </c>
      <c r="BA15" s="190">
        <f t="shared" si="0"/>
        <v>1</v>
      </c>
      <c r="BB15" s="190">
        <f t="shared" si="0"/>
        <v>0</v>
      </c>
      <c r="BC15" s="190">
        <f t="shared" si="0"/>
        <v>0</v>
      </c>
      <c r="BD15" s="190">
        <f t="shared" si="0"/>
        <v>0</v>
      </c>
      <c r="BE15" s="190">
        <f t="shared" si="0"/>
        <v>0</v>
      </c>
      <c r="BF15" s="190">
        <f t="shared" si="0"/>
        <v>0</v>
      </c>
      <c r="BG15" s="190">
        <f t="shared" si="0"/>
        <v>0</v>
      </c>
      <c r="BH15" s="190">
        <f t="shared" si="0"/>
        <v>0</v>
      </c>
      <c r="BI15" s="190">
        <f t="shared" si="0"/>
        <v>0</v>
      </c>
      <c r="BJ15" s="190">
        <f t="shared" si="0"/>
        <v>0</v>
      </c>
      <c r="BK15" s="190">
        <f t="shared" si="0"/>
        <v>0</v>
      </c>
      <c r="BL15" s="190">
        <f t="shared" si="0"/>
        <v>0</v>
      </c>
      <c r="BM15" s="190">
        <f t="shared" si="0"/>
        <v>0</v>
      </c>
      <c r="BN15" s="190"/>
      <c r="BO15" s="170">
        <f t="shared" si="2"/>
        <v>0</v>
      </c>
      <c r="BP15" s="71">
        <f t="shared" si="3"/>
        <v>0</v>
      </c>
      <c r="BQ15" s="112">
        <f t="shared" si="4"/>
        <v>0</v>
      </c>
      <c r="BR15" s="112">
        <f t="shared" si="4"/>
        <v>0</v>
      </c>
      <c r="BS15" s="112">
        <f t="shared" si="5"/>
        <v>0</v>
      </c>
      <c r="BT15" s="112">
        <f t="shared" si="6"/>
        <v>0</v>
      </c>
      <c r="BU15" s="112">
        <f t="shared" si="7"/>
        <v>0</v>
      </c>
      <c r="BV15" s="112">
        <f t="shared" si="8"/>
        <v>0</v>
      </c>
      <c r="BW15" s="112">
        <f t="shared" si="9"/>
        <v>0</v>
      </c>
      <c r="BX15" s="112">
        <f t="shared" si="10"/>
        <v>0</v>
      </c>
      <c r="BY15" s="71">
        <f t="shared" si="11"/>
        <v>0</v>
      </c>
      <c r="BZ15" s="113">
        <f t="shared" si="12"/>
        <v>0</v>
      </c>
      <c r="CA15" s="71"/>
      <c r="CB15" s="71"/>
      <c r="CC15" s="71">
        <f t="shared" si="13"/>
        <v>0</v>
      </c>
      <c r="CD15" s="71">
        <f t="shared" si="14"/>
        <v>0</v>
      </c>
      <c r="CE15" s="71">
        <f t="shared" si="15"/>
        <v>0</v>
      </c>
      <c r="CF15" s="71">
        <f t="shared" si="16"/>
        <v>0</v>
      </c>
      <c r="CG15" s="71">
        <f t="shared" si="17"/>
        <v>0</v>
      </c>
      <c r="CH15" s="166">
        <f t="shared" si="18"/>
        <v>0</v>
      </c>
      <c r="CI15" s="263">
        <f t="shared" si="19"/>
        <v>0</v>
      </c>
      <c r="CJ15" s="77"/>
      <c r="CK15" s="73"/>
      <c r="CL15" s="78"/>
      <c r="CM15" s="74"/>
      <c r="CN15" s="147"/>
      <c r="CO15" s="75"/>
      <c r="CP15" s="175"/>
      <c r="CQ15" s="76"/>
      <c r="CR15" s="140"/>
      <c r="CS15" s="52"/>
      <c r="CT15" s="309" t="str">
        <f t="shared" si="1"/>
        <v>HUGO ALMEIDA</v>
      </c>
      <c r="CU15" s="293" t="str">
        <f>+'SEMANA DEL 2 AL 7-3-26'!CS13</f>
        <v>V-8,988,550</v>
      </c>
      <c r="CV15" s="293">
        <f t="shared" si="20"/>
        <v>0</v>
      </c>
      <c r="CW15" s="293">
        <f t="shared" si="21"/>
        <v>0</v>
      </c>
      <c r="CX15" s="293"/>
      <c r="CY15" s="293">
        <f t="shared" si="22"/>
        <v>0</v>
      </c>
      <c r="CZ15" s="307"/>
      <c r="DA15" s="307"/>
      <c r="DB15" s="304">
        <f t="shared" si="23"/>
        <v>0</v>
      </c>
      <c r="DC15" s="169">
        <f t="shared" si="24"/>
        <v>0</v>
      </c>
      <c r="DD15" s="319">
        <f t="shared" si="25"/>
        <v>0</v>
      </c>
    </row>
    <row r="16" spans="1:108" ht="18.95" customHeight="1" x14ac:dyDescent="0.25">
      <c r="A16" s="50" t="str">
        <f>+'SEMANA DEL 14 AL 21 '!A14</f>
        <v>HILDA SERRANO</v>
      </c>
      <c r="B16" s="284">
        <f>+'SEMANA DEL 21AL 28-3'!AX15</f>
        <v>0</v>
      </c>
      <c r="C16" s="284">
        <f>+'SEMANA DEL 21AL 28-3'!AY15</f>
        <v>0</v>
      </c>
      <c r="D16" s="284">
        <f>+'SEMANA DEL 21AL 28-3'!AZ15</f>
        <v>0</v>
      </c>
      <c r="E16" s="284">
        <f>+'SEMANA DEL 21AL 28-3'!BA15</f>
        <v>0</v>
      </c>
      <c r="F16" s="284">
        <f>+'SEMANA DEL 21AL 28-3'!BB15</f>
        <v>0</v>
      </c>
      <c r="G16" s="284">
        <f>+'SEMANA DEL 21AL 28-3'!BC15</f>
        <v>0</v>
      </c>
      <c r="H16" s="284">
        <f>+'SEMANA DEL 21AL 28-3'!BD15</f>
        <v>0</v>
      </c>
      <c r="I16" s="284">
        <f>+'SEMANA DEL 21AL 28-3'!BE15</f>
        <v>0</v>
      </c>
      <c r="J16" s="284">
        <f>+'SEMANA DEL 21AL 28-3'!BF15</f>
        <v>0</v>
      </c>
      <c r="K16" s="284">
        <f>+'SEMANA DEL 21AL 28-3'!BG15</f>
        <v>0</v>
      </c>
      <c r="L16" s="284">
        <f>+'SEMANA DEL 21AL 28-3'!BH15</f>
        <v>0</v>
      </c>
      <c r="M16" s="284">
        <f>+'SEMANA DEL 21AL 28-3'!BI15</f>
        <v>0</v>
      </c>
      <c r="N16" s="284">
        <f>+'SEMANA DEL 21AL 28-3'!BJ15</f>
        <v>0</v>
      </c>
      <c r="O16" s="284">
        <f>+'SEMANA DEL 21AL 28-3'!BK15</f>
        <v>0</v>
      </c>
      <c r="P16" s="284">
        <f>+'SEMANA DEL 21AL 28-3'!BL15</f>
        <v>0</v>
      </c>
      <c r="Q16" s="284">
        <f>+'SEMANA DEL 21AL 28-3'!BM15</f>
        <v>0</v>
      </c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>
        <f t="shared" si="0"/>
        <v>0</v>
      </c>
      <c r="AY16" s="190">
        <f t="shared" si="0"/>
        <v>0</v>
      </c>
      <c r="AZ16" s="190">
        <f t="shared" si="0"/>
        <v>0</v>
      </c>
      <c r="BA16" s="190">
        <f t="shared" si="0"/>
        <v>0</v>
      </c>
      <c r="BB16" s="190">
        <f t="shared" si="0"/>
        <v>0</v>
      </c>
      <c r="BC16" s="190">
        <f t="shared" si="0"/>
        <v>0</v>
      </c>
      <c r="BD16" s="190">
        <f t="shared" si="0"/>
        <v>0</v>
      </c>
      <c r="BE16" s="190">
        <f t="shared" si="0"/>
        <v>0</v>
      </c>
      <c r="BF16" s="190">
        <f t="shared" si="0"/>
        <v>0</v>
      </c>
      <c r="BG16" s="190">
        <f t="shared" si="0"/>
        <v>0</v>
      </c>
      <c r="BH16" s="190">
        <f t="shared" si="0"/>
        <v>0</v>
      </c>
      <c r="BI16" s="190">
        <f t="shared" si="0"/>
        <v>0</v>
      </c>
      <c r="BJ16" s="190">
        <f t="shared" si="0"/>
        <v>0</v>
      </c>
      <c r="BK16" s="190">
        <f t="shared" si="0"/>
        <v>0</v>
      </c>
      <c r="BL16" s="190">
        <f t="shared" si="0"/>
        <v>0</v>
      </c>
      <c r="BM16" s="190">
        <f t="shared" si="0"/>
        <v>0</v>
      </c>
      <c r="BN16" s="190"/>
      <c r="BO16" s="170">
        <f t="shared" si="2"/>
        <v>0</v>
      </c>
      <c r="BP16" s="71">
        <f t="shared" si="3"/>
        <v>0</v>
      </c>
      <c r="BQ16" s="112">
        <f t="shared" si="4"/>
        <v>0</v>
      </c>
      <c r="BR16" s="112">
        <f t="shared" si="4"/>
        <v>0</v>
      </c>
      <c r="BS16" s="112">
        <f t="shared" si="5"/>
        <v>0</v>
      </c>
      <c r="BT16" s="112">
        <f t="shared" si="6"/>
        <v>0</v>
      </c>
      <c r="BU16" s="112">
        <f t="shared" si="7"/>
        <v>0</v>
      </c>
      <c r="BV16" s="112">
        <f t="shared" si="8"/>
        <v>0</v>
      </c>
      <c r="BW16" s="112">
        <f t="shared" si="9"/>
        <v>0</v>
      </c>
      <c r="BX16" s="112">
        <f t="shared" si="10"/>
        <v>0</v>
      </c>
      <c r="BY16" s="71">
        <f t="shared" si="11"/>
        <v>0</v>
      </c>
      <c r="BZ16" s="113">
        <f t="shared" si="12"/>
        <v>0</v>
      </c>
      <c r="CA16" s="71"/>
      <c r="CB16" s="71"/>
      <c r="CC16" s="71">
        <f t="shared" si="13"/>
        <v>0</v>
      </c>
      <c r="CD16" s="71">
        <f t="shared" si="14"/>
        <v>0</v>
      </c>
      <c r="CE16" s="71">
        <f t="shared" si="15"/>
        <v>0</v>
      </c>
      <c r="CF16" s="71">
        <f t="shared" si="16"/>
        <v>0</v>
      </c>
      <c r="CG16" s="71">
        <f t="shared" si="17"/>
        <v>0</v>
      </c>
      <c r="CH16" s="166">
        <f t="shared" si="18"/>
        <v>0</v>
      </c>
      <c r="CI16" s="263">
        <f t="shared" si="19"/>
        <v>0</v>
      </c>
      <c r="CJ16" s="77"/>
      <c r="CK16" s="73"/>
      <c r="CL16" s="78"/>
      <c r="CM16" s="74"/>
      <c r="CN16" s="147"/>
      <c r="CO16" s="75"/>
      <c r="CP16" s="175"/>
      <c r="CQ16" s="76"/>
      <c r="CR16" s="140"/>
      <c r="CS16" s="52"/>
      <c r="CT16" s="309" t="str">
        <f t="shared" si="1"/>
        <v>HILDA SERRANO</v>
      </c>
      <c r="CU16" s="293" t="str">
        <f>+'SEMANA DEL 2 AL 7-3-26'!CS14</f>
        <v>CC-60.413.802</v>
      </c>
      <c r="CV16" s="293">
        <f t="shared" si="20"/>
        <v>0</v>
      </c>
      <c r="CW16" s="293">
        <f t="shared" si="21"/>
        <v>0</v>
      </c>
      <c r="CX16" s="293"/>
      <c r="CY16" s="293">
        <f t="shared" si="22"/>
        <v>0</v>
      </c>
      <c r="CZ16" s="307"/>
      <c r="DA16" s="307"/>
      <c r="DB16" s="304">
        <f t="shared" si="23"/>
        <v>0</v>
      </c>
      <c r="DC16" s="169">
        <f t="shared" si="24"/>
        <v>0</v>
      </c>
      <c r="DD16" s="319">
        <f t="shared" si="25"/>
        <v>0</v>
      </c>
    </row>
    <row r="17" spans="1:108" ht="18.95" customHeight="1" x14ac:dyDescent="0.25">
      <c r="A17" s="50" t="str">
        <f>+'SEMANA DEL 14 AL 21 '!A15</f>
        <v xml:space="preserve">HUMBERTO LUNA </v>
      </c>
      <c r="B17" s="284">
        <f>+'SEMANA DEL 21AL 28-3'!AX16</f>
        <v>0.70000000000000018</v>
      </c>
      <c r="C17" s="284">
        <f>+'SEMANA DEL 21AL 28-3'!AY16</f>
        <v>1.2599999999999998</v>
      </c>
      <c r="D17" s="284">
        <f>+'SEMANA DEL 21AL 28-3'!AZ16</f>
        <v>4.8999999999999986</v>
      </c>
      <c r="E17" s="284">
        <f>+'SEMANA DEL 21AL 28-3'!BA16</f>
        <v>1</v>
      </c>
      <c r="F17" s="284">
        <f>+'SEMANA DEL 21AL 28-3'!BB16</f>
        <v>0</v>
      </c>
      <c r="G17" s="284">
        <f>+'SEMANA DEL 21AL 28-3'!BC16</f>
        <v>0</v>
      </c>
      <c r="H17" s="284">
        <f>+'SEMANA DEL 21AL 28-3'!BD16</f>
        <v>0</v>
      </c>
      <c r="I17" s="284">
        <f>+'SEMANA DEL 21AL 28-3'!BE16</f>
        <v>1</v>
      </c>
      <c r="J17" s="284">
        <f>+'SEMANA DEL 21AL 28-3'!BF16</f>
        <v>0</v>
      </c>
      <c r="K17" s="284">
        <f>+'SEMANA DEL 21AL 28-3'!BG16</f>
        <v>0</v>
      </c>
      <c r="L17" s="284">
        <f>+'SEMANA DEL 21AL 28-3'!BH16</f>
        <v>0</v>
      </c>
      <c r="M17" s="284">
        <f>+'SEMANA DEL 21AL 28-3'!BI16</f>
        <v>0</v>
      </c>
      <c r="N17" s="284">
        <f>+'SEMANA DEL 21AL 28-3'!BJ16</f>
        <v>0</v>
      </c>
      <c r="O17" s="284">
        <f>+'SEMANA DEL 21AL 28-3'!BK16</f>
        <v>0</v>
      </c>
      <c r="P17" s="284">
        <f>+'SEMANA DEL 21AL 28-3'!BL16</f>
        <v>0</v>
      </c>
      <c r="Q17" s="284">
        <f>+'SEMANA DEL 21AL 28-3'!BM16</f>
        <v>0</v>
      </c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>
        <f t="shared" si="0"/>
        <v>0.70000000000000018</v>
      </c>
      <c r="AY17" s="190">
        <f t="shared" si="0"/>
        <v>1.2599999999999998</v>
      </c>
      <c r="AZ17" s="190">
        <f t="shared" si="0"/>
        <v>4.8999999999999986</v>
      </c>
      <c r="BA17" s="190">
        <f t="shared" si="0"/>
        <v>1</v>
      </c>
      <c r="BB17" s="190">
        <f t="shared" si="0"/>
        <v>0</v>
      </c>
      <c r="BC17" s="190">
        <f t="shared" si="0"/>
        <v>0</v>
      </c>
      <c r="BD17" s="190">
        <f t="shared" si="0"/>
        <v>0</v>
      </c>
      <c r="BE17" s="190">
        <f t="shared" si="0"/>
        <v>1</v>
      </c>
      <c r="BF17" s="190">
        <f t="shared" si="0"/>
        <v>0</v>
      </c>
      <c r="BG17" s="190">
        <f t="shared" si="0"/>
        <v>0</v>
      </c>
      <c r="BH17" s="190">
        <f t="shared" si="0"/>
        <v>0</v>
      </c>
      <c r="BI17" s="190">
        <f t="shared" si="0"/>
        <v>0</v>
      </c>
      <c r="BJ17" s="190">
        <f t="shared" si="0"/>
        <v>0</v>
      </c>
      <c r="BK17" s="190">
        <f t="shared" si="0"/>
        <v>0</v>
      </c>
      <c r="BL17" s="190">
        <f t="shared" si="0"/>
        <v>0</v>
      </c>
      <c r="BM17" s="190">
        <f t="shared" si="0"/>
        <v>0</v>
      </c>
      <c r="BN17" s="190"/>
      <c r="BO17" s="170">
        <f>+AL17*2500</f>
        <v>0</v>
      </c>
      <c r="BP17" s="71">
        <f>+AM17*60000</f>
        <v>0</v>
      </c>
      <c r="BQ17" s="112">
        <f>+AN17*5500</f>
        <v>0</v>
      </c>
      <c r="BR17" s="112">
        <f>+AO17*5500</f>
        <v>0</v>
      </c>
      <c r="BS17" s="112">
        <f>+AP17*8000</f>
        <v>0</v>
      </c>
      <c r="BT17" s="112">
        <f>+AQ17*12000</f>
        <v>0</v>
      </c>
      <c r="BU17" s="112">
        <f>+AR17*150000</f>
        <v>0</v>
      </c>
      <c r="BV17" s="112">
        <f>+AS17*3000</f>
        <v>0</v>
      </c>
      <c r="BW17" s="112">
        <f>+AT17*8000</f>
        <v>0</v>
      </c>
      <c r="BX17" s="112">
        <f>+AU17*200000</f>
        <v>0</v>
      </c>
      <c r="BY17" s="71">
        <f>+AV17*100000</f>
        <v>0</v>
      </c>
      <c r="BZ17" s="113">
        <f>+AW17*1.5</f>
        <v>0</v>
      </c>
      <c r="CA17" s="71"/>
      <c r="CB17" s="71"/>
      <c r="CC17" s="71">
        <f t="shared" si="13"/>
        <v>0</v>
      </c>
      <c r="CD17" s="71">
        <f t="shared" si="14"/>
        <v>0</v>
      </c>
      <c r="CE17" s="71">
        <f t="shared" si="15"/>
        <v>0</v>
      </c>
      <c r="CF17" s="71">
        <f t="shared" si="16"/>
        <v>0</v>
      </c>
      <c r="CG17" s="71">
        <f t="shared" si="17"/>
        <v>0</v>
      </c>
      <c r="CH17" s="166">
        <f t="shared" si="18"/>
        <v>0</v>
      </c>
      <c r="CI17" s="263">
        <f t="shared" si="19"/>
        <v>0</v>
      </c>
      <c r="CJ17" s="77"/>
      <c r="CK17" s="73"/>
      <c r="CL17" s="78"/>
      <c r="CM17" s="74"/>
      <c r="CN17" s="147"/>
      <c r="CO17" s="75"/>
      <c r="CP17" s="175"/>
      <c r="CQ17" s="76"/>
      <c r="CR17" s="140"/>
      <c r="CS17" s="52"/>
      <c r="CT17" s="309" t="str">
        <f t="shared" si="1"/>
        <v xml:space="preserve">HUMBERTO LUNA </v>
      </c>
      <c r="CU17" s="293"/>
      <c r="CV17" s="293">
        <f t="shared" si="20"/>
        <v>0</v>
      </c>
      <c r="CW17" s="293">
        <f t="shared" si="21"/>
        <v>0</v>
      </c>
      <c r="CX17" s="293"/>
      <c r="CY17" s="293">
        <f t="shared" si="22"/>
        <v>0</v>
      </c>
      <c r="CZ17" s="307"/>
      <c r="DA17" s="307"/>
      <c r="DB17" s="304">
        <f t="shared" si="23"/>
        <v>0</v>
      </c>
      <c r="DC17" s="169">
        <f t="shared" si="24"/>
        <v>0</v>
      </c>
      <c r="DD17" s="319">
        <f t="shared" si="25"/>
        <v>0</v>
      </c>
    </row>
    <row r="18" spans="1:108" ht="18.95" customHeight="1" x14ac:dyDescent="0.25">
      <c r="A18" s="50" t="str">
        <f>+'SEMANA DEL 14 AL 21 '!A16</f>
        <v>JOSE EBLAN GIRON</v>
      </c>
      <c r="B18" s="284">
        <f>+'SEMANA DEL 21AL 28-3'!AX17</f>
        <v>0</v>
      </c>
      <c r="C18" s="284">
        <f>+'SEMANA DEL 21AL 28-3'!AY17</f>
        <v>0</v>
      </c>
      <c r="D18" s="284">
        <f>+'SEMANA DEL 21AL 28-3'!AZ17</f>
        <v>0</v>
      </c>
      <c r="E18" s="284">
        <f>+'SEMANA DEL 21AL 28-3'!BA17</f>
        <v>0</v>
      </c>
      <c r="F18" s="284">
        <f>+'SEMANA DEL 21AL 28-3'!BB17</f>
        <v>0</v>
      </c>
      <c r="G18" s="284">
        <f>+'SEMANA DEL 21AL 28-3'!BC17</f>
        <v>0</v>
      </c>
      <c r="H18" s="284">
        <f>+'SEMANA DEL 21AL 28-3'!BD17</f>
        <v>0</v>
      </c>
      <c r="I18" s="284">
        <f>+'SEMANA DEL 21AL 28-3'!BE17</f>
        <v>0</v>
      </c>
      <c r="J18" s="284">
        <f>+'SEMANA DEL 21AL 28-3'!BF17</f>
        <v>0</v>
      </c>
      <c r="K18" s="284">
        <f>+'SEMANA DEL 21AL 28-3'!BG17</f>
        <v>0</v>
      </c>
      <c r="L18" s="284">
        <f>+'SEMANA DEL 21AL 28-3'!BH17</f>
        <v>0</v>
      </c>
      <c r="M18" s="284">
        <f>+'SEMANA DEL 21AL 28-3'!BI17</f>
        <v>0</v>
      </c>
      <c r="N18" s="284">
        <f>+'SEMANA DEL 21AL 28-3'!BJ17</f>
        <v>0</v>
      </c>
      <c r="O18" s="284">
        <f>+'SEMANA DEL 21AL 28-3'!BK17</f>
        <v>0</v>
      </c>
      <c r="P18" s="284">
        <f>+'SEMANA DEL 21AL 28-3'!BL17</f>
        <v>0</v>
      </c>
      <c r="Q18" s="284">
        <f>+'SEMANA DEL 21AL 28-3'!BM17</f>
        <v>0</v>
      </c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>
        <f t="shared" si="0"/>
        <v>0</v>
      </c>
      <c r="AY18" s="190">
        <f t="shared" si="0"/>
        <v>0</v>
      </c>
      <c r="AZ18" s="190">
        <f t="shared" si="0"/>
        <v>0</v>
      </c>
      <c r="BA18" s="190">
        <f t="shared" si="0"/>
        <v>0</v>
      </c>
      <c r="BB18" s="190">
        <f t="shared" si="0"/>
        <v>0</v>
      </c>
      <c r="BC18" s="190">
        <f t="shared" si="0"/>
        <v>0</v>
      </c>
      <c r="BD18" s="190">
        <f t="shared" si="0"/>
        <v>0</v>
      </c>
      <c r="BE18" s="190">
        <f t="shared" si="0"/>
        <v>0</v>
      </c>
      <c r="BF18" s="190">
        <f t="shared" si="0"/>
        <v>0</v>
      </c>
      <c r="BG18" s="190">
        <f t="shared" si="0"/>
        <v>0</v>
      </c>
      <c r="BH18" s="190">
        <f t="shared" si="0"/>
        <v>0</v>
      </c>
      <c r="BI18" s="190">
        <f t="shared" si="0"/>
        <v>0</v>
      </c>
      <c r="BJ18" s="190">
        <f t="shared" si="0"/>
        <v>0</v>
      </c>
      <c r="BK18" s="190">
        <f t="shared" si="0"/>
        <v>0</v>
      </c>
      <c r="BL18" s="190">
        <f t="shared" si="0"/>
        <v>0</v>
      </c>
      <c r="BM18" s="190">
        <f t="shared" si="0"/>
        <v>0</v>
      </c>
      <c r="BN18" s="190"/>
      <c r="BO18" s="170">
        <f t="shared" si="2"/>
        <v>0</v>
      </c>
      <c r="BP18" s="71">
        <f t="shared" si="3"/>
        <v>0</v>
      </c>
      <c r="BQ18" s="112">
        <f t="shared" si="4"/>
        <v>0</v>
      </c>
      <c r="BR18" s="112">
        <f t="shared" si="4"/>
        <v>0</v>
      </c>
      <c r="BS18" s="112">
        <f t="shared" si="5"/>
        <v>0</v>
      </c>
      <c r="BT18" s="112">
        <f t="shared" si="6"/>
        <v>0</v>
      </c>
      <c r="BU18" s="112">
        <f t="shared" si="7"/>
        <v>0</v>
      </c>
      <c r="BV18" s="112">
        <f t="shared" si="8"/>
        <v>0</v>
      </c>
      <c r="BW18" s="112">
        <f t="shared" si="9"/>
        <v>0</v>
      </c>
      <c r="BX18" s="112">
        <f t="shared" si="10"/>
        <v>0</v>
      </c>
      <c r="BY18" s="71">
        <f t="shared" si="11"/>
        <v>0</v>
      </c>
      <c r="BZ18" s="113">
        <f t="shared" si="12"/>
        <v>0</v>
      </c>
      <c r="CA18" s="71"/>
      <c r="CB18" s="71"/>
      <c r="CC18" s="71">
        <f t="shared" si="13"/>
        <v>0</v>
      </c>
      <c r="CD18" s="71">
        <f t="shared" si="14"/>
        <v>0</v>
      </c>
      <c r="CE18" s="71">
        <f t="shared" si="15"/>
        <v>0</v>
      </c>
      <c r="CF18" s="71">
        <f t="shared" si="16"/>
        <v>0</v>
      </c>
      <c r="CG18" s="71">
        <f t="shared" si="17"/>
        <v>0</v>
      </c>
      <c r="CH18" s="166">
        <f t="shared" si="18"/>
        <v>0</v>
      </c>
      <c r="CI18" s="263">
        <f t="shared" si="19"/>
        <v>0</v>
      </c>
      <c r="CJ18" s="77"/>
      <c r="CK18" s="73"/>
      <c r="CL18" s="78"/>
      <c r="CM18" s="74"/>
      <c r="CN18" s="147"/>
      <c r="CO18" s="75"/>
      <c r="CP18" s="175"/>
      <c r="CQ18" s="76"/>
      <c r="CR18" s="140"/>
      <c r="CS18" s="52"/>
      <c r="CT18" s="309" t="str">
        <f t="shared" si="1"/>
        <v>JOSE EBLAN GIRON</v>
      </c>
      <c r="CU18" s="293" t="str">
        <f>+'SEMANA DEL 2 AL 7-3-26'!CS16</f>
        <v>V-9.130.173</v>
      </c>
      <c r="CV18" s="293">
        <f t="shared" si="20"/>
        <v>0</v>
      </c>
      <c r="CW18" s="293">
        <f t="shared" si="21"/>
        <v>0</v>
      </c>
      <c r="CX18" s="293"/>
      <c r="CY18" s="293">
        <f t="shared" si="22"/>
        <v>0</v>
      </c>
      <c r="CZ18" s="307"/>
      <c r="DA18" s="307"/>
      <c r="DB18" s="304">
        <f t="shared" si="23"/>
        <v>0</v>
      </c>
      <c r="DC18" s="169">
        <f t="shared" si="24"/>
        <v>0</v>
      </c>
      <c r="DD18" s="319">
        <f t="shared" si="25"/>
        <v>0</v>
      </c>
    </row>
    <row r="19" spans="1:108" ht="18.95" customHeight="1" x14ac:dyDescent="0.25">
      <c r="A19" s="50" t="str">
        <f>+'SEMANA DEL 14 AL 21 '!A17</f>
        <v xml:space="preserve">JOSE JURADO </v>
      </c>
      <c r="B19" s="284">
        <f>+'SEMANA DEL 21AL 28-3'!AX18</f>
        <v>0.25</v>
      </c>
      <c r="C19" s="284">
        <f>+'SEMANA DEL 21AL 28-3'!AY18</f>
        <v>0.45000000000000107</v>
      </c>
      <c r="D19" s="284">
        <f>+'SEMANA DEL 21AL 28-3'!AZ18</f>
        <v>9.1000000000000014</v>
      </c>
      <c r="E19" s="284">
        <f>+'SEMANA DEL 21AL 28-3'!BA18</f>
        <v>0</v>
      </c>
      <c r="F19" s="284">
        <f>+'SEMANA DEL 21AL 28-3'!BB18</f>
        <v>0</v>
      </c>
      <c r="G19" s="284">
        <f>+'SEMANA DEL 21AL 28-3'!BC18</f>
        <v>0</v>
      </c>
      <c r="H19" s="284">
        <f>+'SEMANA DEL 21AL 28-3'!BD18</f>
        <v>0</v>
      </c>
      <c r="I19" s="284">
        <f>+'SEMANA DEL 21AL 28-3'!BE18</f>
        <v>0</v>
      </c>
      <c r="J19" s="284">
        <f>+'SEMANA DEL 21AL 28-3'!BF18</f>
        <v>0</v>
      </c>
      <c r="K19" s="284">
        <f>+'SEMANA DEL 21AL 28-3'!BG18</f>
        <v>0</v>
      </c>
      <c r="L19" s="284">
        <f>+'SEMANA DEL 21AL 28-3'!BH18</f>
        <v>0</v>
      </c>
      <c r="M19" s="284">
        <f>+'SEMANA DEL 21AL 28-3'!BI18</f>
        <v>0</v>
      </c>
      <c r="N19" s="284">
        <f>+'SEMANA DEL 21AL 28-3'!BJ18</f>
        <v>0</v>
      </c>
      <c r="O19" s="284">
        <f>+'SEMANA DEL 21AL 28-3'!BK18</f>
        <v>0</v>
      </c>
      <c r="P19" s="284">
        <f>+'SEMANA DEL 21AL 28-3'!BL18</f>
        <v>0</v>
      </c>
      <c r="Q19" s="284">
        <f>+'SEMANA DEL 21AL 28-3'!BM18</f>
        <v>0</v>
      </c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>
        <f t="shared" si="0"/>
        <v>0.25</v>
      </c>
      <c r="AY19" s="190">
        <f t="shared" si="0"/>
        <v>0.45000000000000107</v>
      </c>
      <c r="AZ19" s="190">
        <f t="shared" si="0"/>
        <v>9.1000000000000014</v>
      </c>
      <c r="BA19" s="190">
        <f t="shared" si="0"/>
        <v>0</v>
      </c>
      <c r="BB19" s="190">
        <f t="shared" si="0"/>
        <v>0</v>
      </c>
      <c r="BC19" s="190">
        <f t="shared" si="0"/>
        <v>0</v>
      </c>
      <c r="BD19" s="190">
        <f t="shared" si="0"/>
        <v>0</v>
      </c>
      <c r="BE19" s="190">
        <f t="shared" si="0"/>
        <v>0</v>
      </c>
      <c r="BF19" s="190">
        <f t="shared" si="0"/>
        <v>0</v>
      </c>
      <c r="BG19" s="190">
        <f t="shared" si="0"/>
        <v>0</v>
      </c>
      <c r="BH19" s="190">
        <f t="shared" si="0"/>
        <v>0</v>
      </c>
      <c r="BI19" s="190">
        <f t="shared" si="0"/>
        <v>0</v>
      </c>
      <c r="BJ19" s="190">
        <f t="shared" si="0"/>
        <v>0</v>
      </c>
      <c r="BK19" s="190">
        <f t="shared" si="0"/>
        <v>0</v>
      </c>
      <c r="BL19" s="190">
        <f t="shared" si="0"/>
        <v>0</v>
      </c>
      <c r="BM19" s="190">
        <f t="shared" si="0"/>
        <v>0</v>
      </c>
      <c r="BN19" s="190"/>
      <c r="BO19" s="170">
        <f t="shared" si="2"/>
        <v>0</v>
      </c>
      <c r="BP19" s="71">
        <f t="shared" si="3"/>
        <v>0</v>
      </c>
      <c r="BQ19" s="112">
        <f t="shared" si="4"/>
        <v>0</v>
      </c>
      <c r="BR19" s="112">
        <f t="shared" si="4"/>
        <v>0</v>
      </c>
      <c r="BS19" s="112">
        <f t="shared" si="5"/>
        <v>0</v>
      </c>
      <c r="BT19" s="112">
        <f t="shared" si="6"/>
        <v>0</v>
      </c>
      <c r="BU19" s="112">
        <f t="shared" si="7"/>
        <v>0</v>
      </c>
      <c r="BV19" s="112">
        <f t="shared" si="8"/>
        <v>0</v>
      </c>
      <c r="BW19" s="112">
        <f t="shared" si="9"/>
        <v>0</v>
      </c>
      <c r="BX19" s="112">
        <f t="shared" si="10"/>
        <v>0</v>
      </c>
      <c r="BY19" s="71">
        <f t="shared" si="11"/>
        <v>0</v>
      </c>
      <c r="BZ19" s="113">
        <f t="shared" si="12"/>
        <v>0</v>
      </c>
      <c r="CA19" s="71"/>
      <c r="CB19" s="71"/>
      <c r="CC19" s="71">
        <f t="shared" si="13"/>
        <v>0</v>
      </c>
      <c r="CD19" s="71">
        <f t="shared" si="14"/>
        <v>0</v>
      </c>
      <c r="CE19" s="71">
        <f t="shared" si="15"/>
        <v>0</v>
      </c>
      <c r="CF19" s="71">
        <f t="shared" si="16"/>
        <v>0</v>
      </c>
      <c r="CG19" s="71">
        <f t="shared" si="17"/>
        <v>0</v>
      </c>
      <c r="CH19" s="166">
        <f t="shared" si="18"/>
        <v>0</v>
      </c>
      <c r="CI19" s="263">
        <f t="shared" si="19"/>
        <v>0</v>
      </c>
      <c r="CJ19" s="77"/>
      <c r="CK19" s="73"/>
      <c r="CL19" s="172"/>
      <c r="CM19" s="177"/>
      <c r="CN19" s="173"/>
      <c r="CO19" s="178"/>
      <c r="CP19" s="195"/>
      <c r="CQ19" s="179"/>
      <c r="CR19" s="140"/>
      <c r="CS19" s="52"/>
      <c r="CT19" s="309" t="str">
        <f t="shared" si="1"/>
        <v xml:space="preserve">JOSE JURADO </v>
      </c>
      <c r="CU19" s="293" t="str">
        <f>+'SEMANA DEL 2 AL 7-3-26'!CS17</f>
        <v>V-8.986.394</v>
      </c>
      <c r="CV19" s="293">
        <f t="shared" si="20"/>
        <v>0</v>
      </c>
      <c r="CW19" s="293">
        <f t="shared" si="21"/>
        <v>0</v>
      </c>
      <c r="CX19" s="293"/>
      <c r="CY19" s="293">
        <f t="shared" si="22"/>
        <v>0</v>
      </c>
      <c r="CZ19" s="307"/>
      <c r="DA19" s="307"/>
      <c r="DB19" s="304">
        <f t="shared" si="23"/>
        <v>0</v>
      </c>
      <c r="DC19" s="169">
        <f t="shared" si="24"/>
        <v>0</v>
      </c>
      <c r="DD19" s="319">
        <f t="shared" si="25"/>
        <v>0</v>
      </c>
    </row>
    <row r="20" spans="1:108" ht="18.95" customHeight="1" x14ac:dyDescent="0.25">
      <c r="A20" s="50" t="str">
        <f>+'SEMANA DEL 14 AL 21 '!A18</f>
        <v xml:space="preserve">KARINA SILVA </v>
      </c>
      <c r="B20" s="284">
        <f>+'SEMANA DEL 21AL 28-3'!AX19</f>
        <v>0</v>
      </c>
      <c r="C20" s="284">
        <f>+'SEMANA DEL 21AL 28-3'!AY19</f>
        <v>0</v>
      </c>
      <c r="D20" s="284">
        <f>+'SEMANA DEL 21AL 28-3'!AZ19</f>
        <v>0</v>
      </c>
      <c r="E20" s="284">
        <f>+'SEMANA DEL 21AL 28-3'!BA19</f>
        <v>0</v>
      </c>
      <c r="F20" s="284">
        <f>+'SEMANA DEL 21AL 28-3'!BB19</f>
        <v>0</v>
      </c>
      <c r="G20" s="284">
        <f>+'SEMANA DEL 21AL 28-3'!BC19</f>
        <v>0</v>
      </c>
      <c r="H20" s="284">
        <f>+'SEMANA DEL 21AL 28-3'!BD19</f>
        <v>0</v>
      </c>
      <c r="I20" s="284">
        <f>+'SEMANA DEL 21AL 28-3'!BE19</f>
        <v>0</v>
      </c>
      <c r="J20" s="284">
        <f>+'SEMANA DEL 21AL 28-3'!BF19</f>
        <v>0</v>
      </c>
      <c r="K20" s="284">
        <f>+'SEMANA DEL 21AL 28-3'!BG19</f>
        <v>0</v>
      </c>
      <c r="L20" s="284">
        <f>+'SEMANA DEL 21AL 28-3'!BH19</f>
        <v>0</v>
      </c>
      <c r="M20" s="284">
        <f>+'SEMANA DEL 21AL 28-3'!BI19</f>
        <v>0</v>
      </c>
      <c r="N20" s="284">
        <f>+'SEMANA DEL 21AL 28-3'!BJ19</f>
        <v>0</v>
      </c>
      <c r="O20" s="284">
        <f>+'SEMANA DEL 21AL 28-3'!BK19</f>
        <v>0</v>
      </c>
      <c r="P20" s="284">
        <f>+'SEMANA DEL 21AL 28-3'!BL19</f>
        <v>0</v>
      </c>
      <c r="Q20" s="284">
        <f>+'SEMANA DEL 21AL 28-3'!BM19</f>
        <v>0</v>
      </c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>
        <f t="shared" si="0"/>
        <v>0</v>
      </c>
      <c r="AY20" s="190">
        <f t="shared" si="0"/>
        <v>0</v>
      </c>
      <c r="AZ20" s="190">
        <f t="shared" si="0"/>
        <v>0</v>
      </c>
      <c r="BA20" s="190">
        <f t="shared" si="0"/>
        <v>0</v>
      </c>
      <c r="BB20" s="190">
        <f t="shared" si="0"/>
        <v>0</v>
      </c>
      <c r="BC20" s="190">
        <f t="shared" si="0"/>
        <v>0</v>
      </c>
      <c r="BD20" s="190">
        <f t="shared" si="0"/>
        <v>0</v>
      </c>
      <c r="BE20" s="190">
        <f t="shared" si="0"/>
        <v>0</v>
      </c>
      <c r="BF20" s="190">
        <f t="shared" si="0"/>
        <v>0</v>
      </c>
      <c r="BG20" s="190">
        <f t="shared" si="0"/>
        <v>0</v>
      </c>
      <c r="BH20" s="190">
        <f t="shared" si="0"/>
        <v>0</v>
      </c>
      <c r="BI20" s="190">
        <f t="shared" si="0"/>
        <v>0</v>
      </c>
      <c r="BJ20" s="190">
        <f t="shared" si="0"/>
        <v>0</v>
      </c>
      <c r="BK20" s="190">
        <f t="shared" si="0"/>
        <v>0</v>
      </c>
      <c r="BL20" s="190">
        <f t="shared" si="0"/>
        <v>0</v>
      </c>
      <c r="BM20" s="190">
        <f t="shared" si="0"/>
        <v>0</v>
      </c>
      <c r="BN20" s="190"/>
      <c r="BO20" s="170">
        <f>+AL20*2500</f>
        <v>0</v>
      </c>
      <c r="BP20" s="71">
        <f>+AM20*60000</f>
        <v>0</v>
      </c>
      <c r="BQ20" s="112">
        <f>+AN20*5500</f>
        <v>0</v>
      </c>
      <c r="BR20" s="112">
        <f>+AO20*5500</f>
        <v>0</v>
      </c>
      <c r="BS20" s="112">
        <f>+AP20*8000</f>
        <v>0</v>
      </c>
      <c r="BT20" s="112">
        <f>+AQ20*12000</f>
        <v>0</v>
      </c>
      <c r="BU20" s="112">
        <f>+AR20*150000</f>
        <v>0</v>
      </c>
      <c r="BV20" s="112">
        <f>+AS20*3000</f>
        <v>0</v>
      </c>
      <c r="BW20" s="112">
        <f>+AT20*8000</f>
        <v>0</v>
      </c>
      <c r="BX20" s="112">
        <f>+AU20*200000</f>
        <v>0</v>
      </c>
      <c r="BY20" s="71">
        <f>+AV20*100000</f>
        <v>0</v>
      </c>
      <c r="BZ20" s="113">
        <f>+AW20*1.5</f>
        <v>0</v>
      </c>
      <c r="CA20" s="71"/>
      <c r="CB20" s="71"/>
      <c r="CC20" s="71">
        <f t="shared" si="13"/>
        <v>0</v>
      </c>
      <c r="CD20" s="71">
        <f t="shared" si="14"/>
        <v>0</v>
      </c>
      <c r="CE20" s="71">
        <f t="shared" si="15"/>
        <v>0</v>
      </c>
      <c r="CF20" s="71">
        <f t="shared" si="16"/>
        <v>0</v>
      </c>
      <c r="CG20" s="71">
        <f t="shared" si="17"/>
        <v>0</v>
      </c>
      <c r="CH20" s="166">
        <f t="shared" si="18"/>
        <v>0</v>
      </c>
      <c r="CI20" s="263">
        <f t="shared" si="19"/>
        <v>0</v>
      </c>
      <c r="CJ20" s="77"/>
      <c r="CK20" s="73"/>
      <c r="CL20" s="172"/>
      <c r="CM20" s="177"/>
      <c r="CN20" s="173"/>
      <c r="CO20" s="178"/>
      <c r="CP20" s="195"/>
      <c r="CQ20" s="179"/>
      <c r="CR20" s="140"/>
      <c r="CS20" s="52"/>
      <c r="CT20" s="309" t="str">
        <f t="shared" si="1"/>
        <v xml:space="preserve">KARINA SILVA </v>
      </c>
      <c r="CU20" s="293"/>
      <c r="CV20" s="293">
        <f t="shared" si="20"/>
        <v>0</v>
      </c>
      <c r="CW20" s="293">
        <f t="shared" si="21"/>
        <v>0</v>
      </c>
      <c r="CX20" s="293"/>
      <c r="CY20" s="293">
        <f t="shared" si="22"/>
        <v>0</v>
      </c>
      <c r="CZ20" s="307"/>
      <c r="DA20" s="307"/>
      <c r="DB20" s="304">
        <f t="shared" si="23"/>
        <v>0</v>
      </c>
      <c r="DC20" s="169">
        <f t="shared" si="24"/>
        <v>0</v>
      </c>
      <c r="DD20" s="319">
        <f t="shared" si="25"/>
        <v>0</v>
      </c>
    </row>
    <row r="21" spans="1:108" ht="18.95" customHeight="1" x14ac:dyDescent="0.25">
      <c r="A21" s="50" t="str">
        <f>+'SEMANA DEL 14 AL 21 '!A19</f>
        <v>LUZ MERY ABAUNZA</v>
      </c>
      <c r="B21" s="284">
        <f>+'SEMANA DEL 21AL 28-3'!AX20</f>
        <v>0</v>
      </c>
      <c r="C21" s="284">
        <f>+'SEMANA DEL 21AL 28-3'!AY20</f>
        <v>0</v>
      </c>
      <c r="D21" s="284">
        <f>+'SEMANA DEL 21AL 28-3'!AZ20</f>
        <v>0</v>
      </c>
      <c r="E21" s="284">
        <f>+'SEMANA DEL 21AL 28-3'!BA20</f>
        <v>0</v>
      </c>
      <c r="F21" s="284">
        <f>+'SEMANA DEL 21AL 28-3'!BB20</f>
        <v>0</v>
      </c>
      <c r="G21" s="284">
        <f>+'SEMANA DEL 21AL 28-3'!BC20</f>
        <v>0</v>
      </c>
      <c r="H21" s="284">
        <f>+'SEMANA DEL 21AL 28-3'!BD20</f>
        <v>0</v>
      </c>
      <c r="I21" s="284">
        <f>+'SEMANA DEL 21AL 28-3'!BE20</f>
        <v>0</v>
      </c>
      <c r="J21" s="284">
        <f>+'SEMANA DEL 21AL 28-3'!BF20</f>
        <v>0</v>
      </c>
      <c r="K21" s="284">
        <f>+'SEMANA DEL 21AL 28-3'!BG20</f>
        <v>0</v>
      </c>
      <c r="L21" s="284">
        <f>+'SEMANA DEL 21AL 28-3'!BH20</f>
        <v>0</v>
      </c>
      <c r="M21" s="284">
        <f>+'SEMANA DEL 21AL 28-3'!BI20</f>
        <v>0</v>
      </c>
      <c r="N21" s="284">
        <f>+'SEMANA DEL 21AL 28-3'!BJ20</f>
        <v>0</v>
      </c>
      <c r="O21" s="284">
        <f>+'SEMANA DEL 21AL 28-3'!BK20</f>
        <v>0</v>
      </c>
      <c r="P21" s="284">
        <f>+'SEMANA DEL 21AL 28-3'!BL20</f>
        <v>0</v>
      </c>
      <c r="Q21" s="284">
        <f>+'SEMANA DEL 21AL 28-3'!BM20</f>
        <v>0</v>
      </c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>
        <f t="shared" si="0"/>
        <v>0</v>
      </c>
      <c r="AY21" s="190">
        <f t="shared" si="0"/>
        <v>0</v>
      </c>
      <c r="AZ21" s="190">
        <f t="shared" si="0"/>
        <v>0</v>
      </c>
      <c r="BA21" s="190">
        <f t="shared" si="0"/>
        <v>0</v>
      </c>
      <c r="BB21" s="190">
        <f t="shared" si="0"/>
        <v>0</v>
      </c>
      <c r="BC21" s="190">
        <f t="shared" si="0"/>
        <v>0</v>
      </c>
      <c r="BD21" s="190">
        <f t="shared" si="0"/>
        <v>0</v>
      </c>
      <c r="BE21" s="190">
        <f t="shared" si="0"/>
        <v>0</v>
      </c>
      <c r="BF21" s="190">
        <f t="shared" si="0"/>
        <v>0</v>
      </c>
      <c r="BG21" s="190">
        <f t="shared" si="0"/>
        <v>0</v>
      </c>
      <c r="BH21" s="190">
        <f t="shared" si="0"/>
        <v>0</v>
      </c>
      <c r="BI21" s="190">
        <f t="shared" si="0"/>
        <v>0</v>
      </c>
      <c r="BJ21" s="190">
        <f t="shared" si="0"/>
        <v>0</v>
      </c>
      <c r="BK21" s="190">
        <f t="shared" si="0"/>
        <v>0</v>
      </c>
      <c r="BL21" s="190">
        <f t="shared" si="0"/>
        <v>0</v>
      </c>
      <c r="BM21" s="190">
        <f t="shared" ref="BM21:BM46" si="28">+Q21+AG21-AW21</f>
        <v>0</v>
      </c>
      <c r="BN21" s="190"/>
      <c r="BO21" s="170"/>
      <c r="BP21" s="71"/>
      <c r="BQ21" s="112"/>
      <c r="BR21" s="112"/>
      <c r="BS21" s="112"/>
      <c r="BT21" s="112"/>
      <c r="BU21" s="112"/>
      <c r="BV21" s="112"/>
      <c r="BW21" s="112"/>
      <c r="BX21" s="112"/>
      <c r="BY21" s="71"/>
      <c r="BZ21" s="113">
        <f>+AW21*1.5</f>
        <v>0</v>
      </c>
      <c r="CA21" s="71"/>
      <c r="CB21" s="71"/>
      <c r="CC21" s="71">
        <f t="shared" si="13"/>
        <v>0</v>
      </c>
      <c r="CD21" s="71">
        <f t="shared" si="14"/>
        <v>0</v>
      </c>
      <c r="CE21" s="71">
        <f t="shared" si="15"/>
        <v>0</v>
      </c>
      <c r="CF21" s="71">
        <f t="shared" si="16"/>
        <v>0</v>
      </c>
      <c r="CG21" s="71">
        <f t="shared" si="17"/>
        <v>0</v>
      </c>
      <c r="CH21" s="166">
        <f t="shared" si="18"/>
        <v>0</v>
      </c>
      <c r="CI21" s="263">
        <f t="shared" si="19"/>
        <v>0</v>
      </c>
      <c r="CJ21" s="77"/>
      <c r="CK21" s="73"/>
      <c r="CL21" s="172"/>
      <c r="CM21" s="177"/>
      <c r="CN21" s="173"/>
      <c r="CO21" s="178"/>
      <c r="CP21" s="195"/>
      <c r="CQ21" s="179"/>
      <c r="CR21" s="140"/>
      <c r="CS21" s="52"/>
      <c r="CT21" s="309" t="str">
        <f t="shared" si="1"/>
        <v>LUZ MERY ABAUNZA</v>
      </c>
      <c r="CU21" s="293"/>
      <c r="CV21" s="293">
        <f>+BN21</f>
        <v>0</v>
      </c>
      <c r="CW21" s="293">
        <f>+AW21</f>
        <v>0</v>
      </c>
      <c r="CX21" s="293"/>
      <c r="CY21" s="293">
        <f>+CX21*230</f>
        <v>0</v>
      </c>
      <c r="CZ21" s="307"/>
      <c r="DA21" s="307"/>
      <c r="DB21" s="304">
        <f>+CZ21*6500+DA21*3500</f>
        <v>0</v>
      </c>
      <c r="DC21" s="169">
        <f>+CI21</f>
        <v>0</v>
      </c>
      <c r="DD21" s="319">
        <f>+DB21+DC21+CY21</f>
        <v>0</v>
      </c>
    </row>
    <row r="22" spans="1:108" ht="18.95" customHeight="1" x14ac:dyDescent="0.25">
      <c r="A22" s="50" t="str">
        <f>+'SEMANA DEL 14 AL 21 '!A20</f>
        <v>LUIS ROJAS</v>
      </c>
      <c r="B22" s="284">
        <f>+'SEMANA DEL 21AL 28-3'!AX21</f>
        <v>0</v>
      </c>
      <c r="C22" s="284">
        <f>+'SEMANA DEL 21AL 28-3'!AY21</f>
        <v>0</v>
      </c>
      <c r="D22" s="284">
        <f>+'SEMANA DEL 21AL 28-3'!AZ21</f>
        <v>0</v>
      </c>
      <c r="E22" s="284">
        <f>+'SEMANA DEL 21AL 28-3'!BA21</f>
        <v>0</v>
      </c>
      <c r="F22" s="284">
        <f>+'SEMANA DEL 21AL 28-3'!BB21</f>
        <v>0</v>
      </c>
      <c r="G22" s="284">
        <f>+'SEMANA DEL 21AL 28-3'!BC21</f>
        <v>0</v>
      </c>
      <c r="H22" s="284">
        <f>+'SEMANA DEL 21AL 28-3'!BD21</f>
        <v>0</v>
      </c>
      <c r="I22" s="284">
        <f>+'SEMANA DEL 21AL 28-3'!BE21</f>
        <v>0</v>
      </c>
      <c r="J22" s="284">
        <f>+'SEMANA DEL 21AL 28-3'!BF21</f>
        <v>0</v>
      </c>
      <c r="K22" s="284">
        <f>+'SEMANA DEL 21AL 28-3'!BG21</f>
        <v>0</v>
      </c>
      <c r="L22" s="284">
        <f>+'SEMANA DEL 21AL 28-3'!BH21</f>
        <v>0</v>
      </c>
      <c r="M22" s="284">
        <f>+'SEMANA DEL 21AL 28-3'!BI21</f>
        <v>0</v>
      </c>
      <c r="N22" s="284">
        <f>+'SEMANA DEL 21AL 28-3'!BJ21</f>
        <v>0</v>
      </c>
      <c r="O22" s="284">
        <f>+'SEMANA DEL 21AL 28-3'!BK21</f>
        <v>0</v>
      </c>
      <c r="P22" s="284">
        <f>+'SEMANA DEL 21AL 28-3'!BL21</f>
        <v>0</v>
      </c>
      <c r="Q22" s="284">
        <f>+'SEMANA DEL 21AL 28-3'!BM21</f>
        <v>0</v>
      </c>
      <c r="R22" s="190"/>
      <c r="S22" s="190"/>
      <c r="T22" s="190"/>
      <c r="U22" s="190"/>
      <c r="V22" s="289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>
        <f t="shared" ref="AX22:BL38" si="29">+B22+R22-AH22</f>
        <v>0</v>
      </c>
      <c r="AY22" s="190">
        <f t="shared" si="29"/>
        <v>0</v>
      </c>
      <c r="AZ22" s="190">
        <f t="shared" si="29"/>
        <v>0</v>
      </c>
      <c r="BA22" s="190">
        <f t="shared" si="29"/>
        <v>0</v>
      </c>
      <c r="BB22" s="190">
        <f t="shared" si="29"/>
        <v>0</v>
      </c>
      <c r="BC22" s="190">
        <f t="shared" si="29"/>
        <v>0</v>
      </c>
      <c r="BD22" s="190">
        <f t="shared" si="29"/>
        <v>0</v>
      </c>
      <c r="BE22" s="190">
        <f t="shared" si="29"/>
        <v>0</v>
      </c>
      <c r="BF22" s="190">
        <f t="shared" si="29"/>
        <v>0</v>
      </c>
      <c r="BG22" s="190">
        <f t="shared" si="29"/>
        <v>0</v>
      </c>
      <c r="BH22" s="190">
        <f t="shared" si="29"/>
        <v>0</v>
      </c>
      <c r="BI22" s="190">
        <f t="shared" si="29"/>
        <v>0</v>
      </c>
      <c r="BJ22" s="190">
        <f t="shared" si="29"/>
        <v>0</v>
      </c>
      <c r="BK22" s="190">
        <f t="shared" si="29"/>
        <v>0</v>
      </c>
      <c r="BL22" s="190">
        <f t="shared" si="29"/>
        <v>0</v>
      </c>
      <c r="BM22" s="190">
        <f t="shared" si="28"/>
        <v>0</v>
      </c>
      <c r="BN22" s="190"/>
      <c r="BO22" s="170">
        <f t="shared" si="2"/>
        <v>0</v>
      </c>
      <c r="BP22" s="71">
        <f t="shared" si="3"/>
        <v>0</v>
      </c>
      <c r="BQ22" s="112">
        <f t="shared" si="4"/>
        <v>0</v>
      </c>
      <c r="BR22" s="112">
        <f t="shared" si="4"/>
        <v>0</v>
      </c>
      <c r="BS22" s="112">
        <f t="shared" si="5"/>
        <v>0</v>
      </c>
      <c r="BT22" s="112">
        <f t="shared" si="6"/>
        <v>0</v>
      </c>
      <c r="BU22" s="112">
        <f t="shared" si="7"/>
        <v>0</v>
      </c>
      <c r="BV22" s="112">
        <f t="shared" si="8"/>
        <v>0</v>
      </c>
      <c r="BW22" s="112">
        <f t="shared" si="9"/>
        <v>0</v>
      </c>
      <c r="BX22" s="112">
        <f t="shared" si="10"/>
        <v>0</v>
      </c>
      <c r="BY22" s="71">
        <f t="shared" si="11"/>
        <v>0</v>
      </c>
      <c r="BZ22" s="113">
        <f t="shared" si="12"/>
        <v>0</v>
      </c>
      <c r="CA22" s="71"/>
      <c r="CB22" s="71"/>
      <c r="CC22" s="71">
        <f t="shared" si="13"/>
        <v>0</v>
      </c>
      <c r="CD22" s="71">
        <f t="shared" si="14"/>
        <v>0</v>
      </c>
      <c r="CE22" s="71">
        <f t="shared" si="15"/>
        <v>0</v>
      </c>
      <c r="CF22" s="71">
        <f t="shared" si="16"/>
        <v>0</v>
      </c>
      <c r="CG22" s="71">
        <f t="shared" si="17"/>
        <v>0</v>
      </c>
      <c r="CH22" s="166">
        <f t="shared" si="18"/>
        <v>0</v>
      </c>
      <c r="CI22" s="263">
        <f t="shared" si="19"/>
        <v>0</v>
      </c>
      <c r="CJ22" s="77"/>
      <c r="CK22" s="73"/>
      <c r="CL22" s="172"/>
      <c r="CM22" s="177"/>
      <c r="CN22" s="173"/>
      <c r="CO22" s="178"/>
      <c r="CP22" s="195"/>
      <c r="CQ22" s="179"/>
      <c r="CR22" s="140"/>
      <c r="CS22" s="52"/>
      <c r="CT22" s="309" t="str">
        <f t="shared" si="1"/>
        <v>LUIS ROJAS</v>
      </c>
      <c r="CU22" s="293" t="str">
        <f>+'SEMANA DEL 2 AL 7-3-26'!CS20</f>
        <v>CC.79.336.610</v>
      </c>
      <c r="CV22" s="293">
        <f>+BN22</f>
        <v>0</v>
      </c>
      <c r="CW22" s="293">
        <f>+AW22</f>
        <v>0</v>
      </c>
      <c r="CX22" s="293"/>
      <c r="CY22" s="293">
        <f>+CX22*230</f>
        <v>0</v>
      </c>
      <c r="CZ22" s="307"/>
      <c r="DA22" s="307"/>
      <c r="DB22" s="304">
        <f>+CZ22*6500+DA22*3500</f>
        <v>0</v>
      </c>
      <c r="DC22" s="169">
        <f>+CI22</f>
        <v>0</v>
      </c>
      <c r="DD22" s="319">
        <f>+DB22+DC22+CY22</f>
        <v>0</v>
      </c>
    </row>
    <row r="23" spans="1:108" ht="18.95" customHeight="1" x14ac:dyDescent="0.25">
      <c r="A23" s="50" t="str">
        <f>+'SEMANA DEL 14 AL 21 '!A21</f>
        <v xml:space="preserve">LUIS VALDERRAMA </v>
      </c>
      <c r="B23" s="284">
        <f>+'SEMANA DEL 21AL 28-3'!AX22</f>
        <v>0</v>
      </c>
      <c r="C23" s="284">
        <f>+'SEMANA DEL 21AL 28-3'!AY22</f>
        <v>0</v>
      </c>
      <c r="D23" s="284">
        <f>+'SEMANA DEL 21AL 28-3'!AZ22</f>
        <v>0</v>
      </c>
      <c r="E23" s="284">
        <f>+'SEMANA DEL 21AL 28-3'!BA22</f>
        <v>0</v>
      </c>
      <c r="F23" s="284">
        <f>+'SEMANA DEL 21AL 28-3'!BB22</f>
        <v>0</v>
      </c>
      <c r="G23" s="284">
        <f>+'SEMANA DEL 21AL 28-3'!BC22</f>
        <v>0</v>
      </c>
      <c r="H23" s="284">
        <f>+'SEMANA DEL 21AL 28-3'!BD22</f>
        <v>0</v>
      </c>
      <c r="I23" s="284">
        <f>+'SEMANA DEL 21AL 28-3'!BE22</f>
        <v>0</v>
      </c>
      <c r="J23" s="284">
        <f>+'SEMANA DEL 21AL 28-3'!BF22</f>
        <v>0</v>
      </c>
      <c r="K23" s="284">
        <f>+'SEMANA DEL 21AL 28-3'!BG22</f>
        <v>0</v>
      </c>
      <c r="L23" s="284">
        <f>+'SEMANA DEL 21AL 28-3'!BH22</f>
        <v>0</v>
      </c>
      <c r="M23" s="284">
        <f>+'SEMANA DEL 21AL 28-3'!BI22</f>
        <v>0</v>
      </c>
      <c r="N23" s="284">
        <f>+'SEMANA DEL 21AL 28-3'!BJ22</f>
        <v>0</v>
      </c>
      <c r="O23" s="284">
        <f>+'SEMANA DEL 21AL 28-3'!BK22</f>
        <v>0</v>
      </c>
      <c r="P23" s="284">
        <f>+'SEMANA DEL 21AL 28-3'!BL22</f>
        <v>0</v>
      </c>
      <c r="Q23" s="284">
        <f>+'SEMANA DEL 21AL 28-3'!BM22</f>
        <v>0</v>
      </c>
      <c r="R23" s="289"/>
      <c r="S23" s="289"/>
      <c r="T23" s="289"/>
      <c r="U23" s="289"/>
      <c r="V23" s="289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289"/>
      <c r="AI23" s="289"/>
      <c r="AJ23" s="289"/>
      <c r="AK23" s="289"/>
      <c r="AL23" s="190"/>
      <c r="AM23" s="190"/>
      <c r="AN23" s="190"/>
      <c r="AO23" s="190"/>
      <c r="AP23" s="190"/>
      <c r="AQ23" s="190"/>
      <c r="AR23" s="190"/>
      <c r="AS23" s="190"/>
      <c r="AT23" s="190"/>
      <c r="AU23" s="190"/>
      <c r="AV23" s="190"/>
      <c r="AW23" s="190"/>
      <c r="AX23" s="190">
        <f t="shared" si="29"/>
        <v>0</v>
      </c>
      <c r="AY23" s="190">
        <f t="shared" si="29"/>
        <v>0</v>
      </c>
      <c r="AZ23" s="190">
        <f t="shared" si="29"/>
        <v>0</v>
      </c>
      <c r="BA23" s="190">
        <f t="shared" si="29"/>
        <v>0</v>
      </c>
      <c r="BB23" s="190">
        <f t="shared" si="29"/>
        <v>0</v>
      </c>
      <c r="BC23" s="190">
        <f t="shared" si="29"/>
        <v>0</v>
      </c>
      <c r="BD23" s="190">
        <f t="shared" si="29"/>
        <v>0</v>
      </c>
      <c r="BE23" s="190">
        <f t="shared" si="29"/>
        <v>0</v>
      </c>
      <c r="BF23" s="190">
        <f t="shared" si="29"/>
        <v>0</v>
      </c>
      <c r="BG23" s="190">
        <f t="shared" si="29"/>
        <v>0</v>
      </c>
      <c r="BH23" s="190">
        <f t="shared" si="29"/>
        <v>0</v>
      </c>
      <c r="BI23" s="190">
        <f t="shared" si="29"/>
        <v>0</v>
      </c>
      <c r="BJ23" s="190">
        <f t="shared" si="29"/>
        <v>0</v>
      </c>
      <c r="BK23" s="190">
        <f t="shared" si="29"/>
        <v>0</v>
      </c>
      <c r="BL23" s="190">
        <f t="shared" si="29"/>
        <v>0</v>
      </c>
      <c r="BM23" s="190">
        <f t="shared" si="28"/>
        <v>0</v>
      </c>
      <c r="BN23" s="190"/>
      <c r="BO23" s="170">
        <f t="shared" si="2"/>
        <v>0</v>
      </c>
      <c r="BP23" s="71">
        <f t="shared" si="3"/>
        <v>0</v>
      </c>
      <c r="BQ23" s="112">
        <f t="shared" si="4"/>
        <v>0</v>
      </c>
      <c r="BR23" s="112">
        <f t="shared" si="4"/>
        <v>0</v>
      </c>
      <c r="BS23" s="112">
        <f t="shared" si="5"/>
        <v>0</v>
      </c>
      <c r="BT23" s="112">
        <f t="shared" si="6"/>
        <v>0</v>
      </c>
      <c r="BU23" s="112">
        <f t="shared" si="7"/>
        <v>0</v>
      </c>
      <c r="BV23" s="112">
        <f t="shared" si="8"/>
        <v>0</v>
      </c>
      <c r="BW23" s="112">
        <f t="shared" si="9"/>
        <v>0</v>
      </c>
      <c r="BX23" s="112">
        <f t="shared" si="10"/>
        <v>0</v>
      </c>
      <c r="BY23" s="71">
        <f t="shared" si="11"/>
        <v>0</v>
      </c>
      <c r="BZ23" s="113">
        <f t="shared" si="12"/>
        <v>0</v>
      </c>
      <c r="CA23" s="71"/>
      <c r="CB23" s="71"/>
      <c r="CC23" s="71">
        <f t="shared" si="13"/>
        <v>0</v>
      </c>
      <c r="CD23" s="71">
        <f t="shared" si="14"/>
        <v>0</v>
      </c>
      <c r="CE23" s="71">
        <f t="shared" si="15"/>
        <v>0</v>
      </c>
      <c r="CF23" s="71">
        <f t="shared" si="16"/>
        <v>0</v>
      </c>
      <c r="CG23" s="71">
        <f t="shared" si="17"/>
        <v>0</v>
      </c>
      <c r="CH23" s="166">
        <f t="shared" si="18"/>
        <v>0</v>
      </c>
      <c r="CI23" s="263">
        <f t="shared" si="19"/>
        <v>0</v>
      </c>
      <c r="CJ23" s="77"/>
      <c r="CK23" s="73"/>
      <c r="CL23" s="172"/>
      <c r="CM23" s="177"/>
      <c r="CN23" s="173"/>
      <c r="CO23" s="178"/>
      <c r="CP23" s="195"/>
      <c r="CQ23" s="179"/>
      <c r="CR23" s="140"/>
      <c r="CS23" s="52"/>
      <c r="CT23" s="309" t="str">
        <f t="shared" si="1"/>
        <v xml:space="preserve">LUIS VALDERRAMA </v>
      </c>
      <c r="CU23" s="293" t="str">
        <f>+'SEMANA DEL 2 AL 7-3-26'!CS21</f>
        <v>V-23.095.433</v>
      </c>
      <c r="CV23" s="293">
        <f t="shared" si="20"/>
        <v>0</v>
      </c>
      <c r="CW23" s="293">
        <f t="shared" si="21"/>
        <v>0</v>
      </c>
      <c r="CX23" s="293"/>
      <c r="CY23" s="293">
        <f t="shared" si="22"/>
        <v>0</v>
      </c>
      <c r="CZ23" s="307"/>
      <c r="DA23" s="307"/>
      <c r="DB23" s="304">
        <f t="shared" si="23"/>
        <v>0</v>
      </c>
      <c r="DC23" s="169">
        <f t="shared" si="24"/>
        <v>0</v>
      </c>
      <c r="DD23" s="319">
        <f t="shared" si="25"/>
        <v>0</v>
      </c>
    </row>
    <row r="24" spans="1:108" ht="18.95" customHeight="1" x14ac:dyDescent="0.25">
      <c r="A24" s="50" t="str">
        <f>+'SEMANA DEL 14 AL 21 '!A22</f>
        <v>LILIANA  VEGA</v>
      </c>
      <c r="B24" s="284">
        <f>+'SEMANA DEL 21AL 28-3'!AX23</f>
        <v>0</v>
      </c>
      <c r="C24" s="284">
        <f>+'SEMANA DEL 21AL 28-3'!AY23</f>
        <v>0</v>
      </c>
      <c r="D24" s="284">
        <f>+'SEMANA DEL 21AL 28-3'!AZ23</f>
        <v>0</v>
      </c>
      <c r="E24" s="284">
        <f>+'SEMANA DEL 21AL 28-3'!BA23</f>
        <v>0</v>
      </c>
      <c r="F24" s="284">
        <f>+'SEMANA DEL 21AL 28-3'!BB23</f>
        <v>0</v>
      </c>
      <c r="G24" s="284">
        <f>+'SEMANA DEL 21AL 28-3'!BC23</f>
        <v>0</v>
      </c>
      <c r="H24" s="284">
        <f>+'SEMANA DEL 21AL 28-3'!BD23</f>
        <v>0</v>
      </c>
      <c r="I24" s="284">
        <f>+'SEMANA DEL 21AL 28-3'!BE23</f>
        <v>0</v>
      </c>
      <c r="J24" s="284">
        <f>+'SEMANA DEL 21AL 28-3'!BF23</f>
        <v>0</v>
      </c>
      <c r="K24" s="284">
        <f>+'SEMANA DEL 21AL 28-3'!BG23</f>
        <v>0</v>
      </c>
      <c r="L24" s="284">
        <f>+'SEMANA DEL 21AL 28-3'!BH23</f>
        <v>0</v>
      </c>
      <c r="M24" s="284">
        <f>+'SEMANA DEL 21AL 28-3'!BI23</f>
        <v>0</v>
      </c>
      <c r="N24" s="284">
        <f>+'SEMANA DEL 21AL 28-3'!BJ23</f>
        <v>0</v>
      </c>
      <c r="O24" s="284">
        <f>+'SEMANA DEL 21AL 28-3'!BK23</f>
        <v>0</v>
      </c>
      <c r="P24" s="284">
        <f>+'SEMANA DEL 21AL 28-3'!BL23</f>
        <v>0</v>
      </c>
      <c r="Q24" s="284">
        <f>+'SEMANA DEL 21AL 28-3'!BM23</f>
        <v>0</v>
      </c>
      <c r="R24" s="289"/>
      <c r="S24" s="289"/>
      <c r="T24" s="289"/>
      <c r="U24" s="289"/>
      <c r="V24" s="289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289"/>
      <c r="AI24" s="289"/>
      <c r="AJ24" s="289"/>
      <c r="AK24" s="289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>
        <f t="shared" si="29"/>
        <v>0</v>
      </c>
      <c r="AY24" s="190">
        <f t="shared" si="29"/>
        <v>0</v>
      </c>
      <c r="AZ24" s="190">
        <f t="shared" si="29"/>
        <v>0</v>
      </c>
      <c r="BA24" s="190">
        <f t="shared" si="29"/>
        <v>0</v>
      </c>
      <c r="BB24" s="190">
        <f t="shared" si="29"/>
        <v>0</v>
      </c>
      <c r="BC24" s="190">
        <f t="shared" si="29"/>
        <v>0</v>
      </c>
      <c r="BD24" s="190">
        <f t="shared" si="29"/>
        <v>0</v>
      </c>
      <c r="BE24" s="190">
        <f t="shared" si="29"/>
        <v>0</v>
      </c>
      <c r="BF24" s="190">
        <f t="shared" si="29"/>
        <v>0</v>
      </c>
      <c r="BG24" s="190">
        <f t="shared" si="29"/>
        <v>0</v>
      </c>
      <c r="BH24" s="190">
        <f t="shared" si="29"/>
        <v>0</v>
      </c>
      <c r="BI24" s="190">
        <f t="shared" si="29"/>
        <v>0</v>
      </c>
      <c r="BJ24" s="190">
        <f t="shared" si="29"/>
        <v>0</v>
      </c>
      <c r="BK24" s="190">
        <f t="shared" si="29"/>
        <v>0</v>
      </c>
      <c r="BL24" s="190">
        <f t="shared" si="29"/>
        <v>0</v>
      </c>
      <c r="BM24" s="190">
        <f t="shared" si="28"/>
        <v>0</v>
      </c>
      <c r="BN24" s="190"/>
      <c r="BO24" s="170">
        <f t="shared" si="2"/>
        <v>0</v>
      </c>
      <c r="BP24" s="71">
        <f t="shared" si="3"/>
        <v>0</v>
      </c>
      <c r="BQ24" s="112">
        <f t="shared" si="4"/>
        <v>0</v>
      </c>
      <c r="BR24" s="112">
        <f t="shared" si="4"/>
        <v>0</v>
      </c>
      <c r="BS24" s="112">
        <f t="shared" si="5"/>
        <v>0</v>
      </c>
      <c r="BT24" s="112">
        <f t="shared" si="6"/>
        <v>0</v>
      </c>
      <c r="BU24" s="112">
        <f t="shared" si="7"/>
        <v>0</v>
      </c>
      <c r="BV24" s="112">
        <f t="shared" si="8"/>
        <v>0</v>
      </c>
      <c r="BW24" s="112">
        <f t="shared" si="9"/>
        <v>0</v>
      </c>
      <c r="BX24" s="112">
        <f t="shared" si="10"/>
        <v>0</v>
      </c>
      <c r="BY24" s="71">
        <f t="shared" si="11"/>
        <v>0</v>
      </c>
      <c r="BZ24" s="113">
        <f t="shared" si="12"/>
        <v>0</v>
      </c>
      <c r="CA24" s="71"/>
      <c r="CB24" s="71"/>
      <c r="CC24" s="71">
        <f t="shared" si="13"/>
        <v>0</v>
      </c>
      <c r="CD24" s="71">
        <f t="shared" si="14"/>
        <v>0</v>
      </c>
      <c r="CE24" s="71">
        <f t="shared" si="15"/>
        <v>0</v>
      </c>
      <c r="CF24" s="71">
        <f t="shared" si="16"/>
        <v>0</v>
      </c>
      <c r="CG24" s="71">
        <f t="shared" si="17"/>
        <v>0</v>
      </c>
      <c r="CH24" s="166">
        <f t="shared" si="18"/>
        <v>0</v>
      </c>
      <c r="CI24" s="263">
        <f t="shared" si="19"/>
        <v>0</v>
      </c>
      <c r="CJ24" s="77"/>
      <c r="CK24" s="73"/>
      <c r="CL24" s="172" t="s">
        <v>66</v>
      </c>
      <c r="CM24" s="177" t="e">
        <f>+'SEMANA DEL 14 AL 21 '!CP21</f>
        <v>#REF!</v>
      </c>
      <c r="CN24" s="173" t="e">
        <f>+#REF!</f>
        <v>#REF!</v>
      </c>
      <c r="CO24" s="178" t="e">
        <f>+CM24+CN24</f>
        <v>#REF!</v>
      </c>
      <c r="CP24" s="195">
        <f>+AM47</f>
        <v>0</v>
      </c>
      <c r="CQ24" s="179" t="e">
        <f>CO24-CP24</f>
        <v>#REF!</v>
      </c>
      <c r="CR24" s="140"/>
      <c r="CS24" s="52"/>
      <c r="CT24" s="309" t="str">
        <f t="shared" si="1"/>
        <v>LILIANA  VEGA</v>
      </c>
      <c r="CU24" s="293" t="str">
        <f>+'SEMANA DEL 2 AL 7-3-26'!CS22</f>
        <v>V-11.021.605</v>
      </c>
      <c r="CV24" s="293">
        <f t="shared" si="20"/>
        <v>0</v>
      </c>
      <c r="CW24" s="293">
        <f t="shared" si="21"/>
        <v>0</v>
      </c>
      <c r="CX24" s="293"/>
      <c r="CY24" s="293">
        <f t="shared" si="22"/>
        <v>0</v>
      </c>
      <c r="CZ24" s="307"/>
      <c r="DA24" s="307"/>
      <c r="DB24" s="304">
        <f t="shared" si="23"/>
        <v>0</v>
      </c>
      <c r="DC24" s="169">
        <f t="shared" si="24"/>
        <v>0</v>
      </c>
      <c r="DD24" s="319">
        <f t="shared" si="25"/>
        <v>0</v>
      </c>
    </row>
    <row r="25" spans="1:108" ht="18.95" customHeight="1" x14ac:dyDescent="0.25">
      <c r="A25" s="50" t="str">
        <f>+'SEMANA DEL 14 AL 21 '!A23</f>
        <v xml:space="preserve">LUIS ERNESTO ALMEIDA </v>
      </c>
      <c r="B25" s="284">
        <f>+'SEMANA DEL 21AL 28-3'!AX24</f>
        <v>0</v>
      </c>
      <c r="C25" s="284">
        <f>+'SEMANA DEL 21AL 28-3'!AY24</f>
        <v>0</v>
      </c>
      <c r="D25" s="284">
        <f>+'SEMANA DEL 21AL 28-3'!AZ24</f>
        <v>0</v>
      </c>
      <c r="E25" s="284">
        <f>+'SEMANA DEL 21AL 28-3'!BA24</f>
        <v>0</v>
      </c>
      <c r="F25" s="284">
        <f>+'SEMANA DEL 21AL 28-3'!BB24</f>
        <v>0</v>
      </c>
      <c r="G25" s="284">
        <f>+'SEMANA DEL 21AL 28-3'!BC24</f>
        <v>0</v>
      </c>
      <c r="H25" s="284">
        <f>+'SEMANA DEL 21AL 28-3'!BD24</f>
        <v>0</v>
      </c>
      <c r="I25" s="284">
        <f>+'SEMANA DEL 21AL 28-3'!BE24</f>
        <v>0</v>
      </c>
      <c r="J25" s="284">
        <f>+'SEMANA DEL 21AL 28-3'!BF24</f>
        <v>0</v>
      </c>
      <c r="K25" s="284">
        <f>+'SEMANA DEL 21AL 28-3'!BG24</f>
        <v>0</v>
      </c>
      <c r="L25" s="284">
        <f>+'SEMANA DEL 21AL 28-3'!BH24</f>
        <v>0</v>
      </c>
      <c r="M25" s="284">
        <f>+'SEMANA DEL 21AL 28-3'!BI24</f>
        <v>0</v>
      </c>
      <c r="N25" s="284">
        <f>+'SEMANA DEL 21AL 28-3'!BJ24</f>
        <v>0</v>
      </c>
      <c r="O25" s="284">
        <f>+'SEMANA DEL 21AL 28-3'!BK24</f>
        <v>0</v>
      </c>
      <c r="P25" s="284">
        <f>+'SEMANA DEL 21AL 28-3'!BL24</f>
        <v>0</v>
      </c>
      <c r="Q25" s="284">
        <f>+'SEMANA DEL 21AL 28-3'!BM24</f>
        <v>0</v>
      </c>
      <c r="R25" s="289"/>
      <c r="S25" s="289"/>
      <c r="T25" s="289"/>
      <c r="U25" s="289"/>
      <c r="V25" s="289"/>
      <c r="W25" s="289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289"/>
      <c r="AI25" s="289"/>
      <c r="AJ25" s="289"/>
      <c r="AK25" s="289"/>
      <c r="AL25" s="289"/>
      <c r="AM25" s="289"/>
      <c r="AN25" s="190"/>
      <c r="AO25" s="190"/>
      <c r="AP25" s="190"/>
      <c r="AQ25" s="190"/>
      <c r="AR25" s="190"/>
      <c r="AS25" s="190"/>
      <c r="AT25" s="190"/>
      <c r="AU25" s="190"/>
      <c r="AV25" s="190"/>
      <c r="AW25" s="190"/>
      <c r="AX25" s="190">
        <f t="shared" si="29"/>
        <v>0</v>
      </c>
      <c r="AY25" s="190">
        <f t="shared" si="29"/>
        <v>0</v>
      </c>
      <c r="AZ25" s="190">
        <f t="shared" si="29"/>
        <v>0</v>
      </c>
      <c r="BA25" s="190">
        <f t="shared" si="29"/>
        <v>0</v>
      </c>
      <c r="BB25" s="190">
        <f t="shared" si="29"/>
        <v>0</v>
      </c>
      <c r="BC25" s="190">
        <f t="shared" si="29"/>
        <v>0</v>
      </c>
      <c r="BD25" s="190">
        <f t="shared" si="29"/>
        <v>0</v>
      </c>
      <c r="BE25" s="190">
        <f t="shared" si="29"/>
        <v>0</v>
      </c>
      <c r="BF25" s="190">
        <f t="shared" si="29"/>
        <v>0</v>
      </c>
      <c r="BG25" s="190">
        <f t="shared" si="29"/>
        <v>0</v>
      </c>
      <c r="BH25" s="190">
        <f t="shared" si="29"/>
        <v>0</v>
      </c>
      <c r="BI25" s="190">
        <f t="shared" si="29"/>
        <v>0</v>
      </c>
      <c r="BJ25" s="190">
        <f t="shared" si="29"/>
        <v>0</v>
      </c>
      <c r="BK25" s="190">
        <f t="shared" si="29"/>
        <v>0</v>
      </c>
      <c r="BL25" s="190">
        <f t="shared" si="29"/>
        <v>0</v>
      </c>
      <c r="BM25" s="190">
        <f t="shared" si="28"/>
        <v>0</v>
      </c>
      <c r="BN25" s="190"/>
      <c r="BO25" s="170">
        <f t="shared" si="2"/>
        <v>0</v>
      </c>
      <c r="BP25" s="71">
        <f t="shared" si="3"/>
        <v>0</v>
      </c>
      <c r="BQ25" s="112">
        <f t="shared" si="4"/>
        <v>0</v>
      </c>
      <c r="BR25" s="112">
        <f t="shared" si="4"/>
        <v>0</v>
      </c>
      <c r="BS25" s="112">
        <f t="shared" si="5"/>
        <v>0</v>
      </c>
      <c r="BT25" s="112">
        <f t="shared" si="6"/>
        <v>0</v>
      </c>
      <c r="BU25" s="112">
        <f t="shared" si="7"/>
        <v>0</v>
      </c>
      <c r="BV25" s="112">
        <f t="shared" si="8"/>
        <v>0</v>
      </c>
      <c r="BW25" s="112">
        <f t="shared" si="9"/>
        <v>0</v>
      </c>
      <c r="BX25" s="112">
        <f t="shared" si="10"/>
        <v>0</v>
      </c>
      <c r="BY25" s="71">
        <f t="shared" si="11"/>
        <v>0</v>
      </c>
      <c r="BZ25" s="113">
        <f t="shared" si="12"/>
        <v>0</v>
      </c>
      <c r="CA25" s="71"/>
      <c r="CB25" s="71"/>
      <c r="CC25" s="71">
        <f t="shared" si="13"/>
        <v>0</v>
      </c>
      <c r="CD25" s="71">
        <f t="shared" si="14"/>
        <v>0</v>
      </c>
      <c r="CE25" s="71">
        <f t="shared" si="15"/>
        <v>0</v>
      </c>
      <c r="CF25" s="71">
        <f t="shared" si="16"/>
        <v>0</v>
      </c>
      <c r="CG25" s="71">
        <f t="shared" si="17"/>
        <v>0</v>
      </c>
      <c r="CH25" s="166">
        <f t="shared" si="18"/>
        <v>0</v>
      </c>
      <c r="CI25" s="263">
        <f t="shared" si="19"/>
        <v>0</v>
      </c>
      <c r="CJ25" s="77"/>
      <c r="CK25" s="73"/>
      <c r="CL25" s="172"/>
      <c r="CM25" s="177"/>
      <c r="CN25" s="173"/>
      <c r="CO25" s="178"/>
      <c r="CP25" s="195"/>
      <c r="CQ25" s="179"/>
      <c r="CR25" s="140"/>
      <c r="CS25" s="52"/>
      <c r="CT25" s="309" t="str">
        <f t="shared" si="1"/>
        <v xml:space="preserve">LUIS ERNESTO ALMEIDA </v>
      </c>
      <c r="CU25" s="293" t="str">
        <f>+'SEMANA DEL 2 AL 7-3-26'!CS23</f>
        <v>V-13.365.579</v>
      </c>
      <c r="CV25" s="293">
        <f t="shared" si="20"/>
        <v>0</v>
      </c>
      <c r="CW25" s="293">
        <f t="shared" si="21"/>
        <v>0</v>
      </c>
      <c r="CX25" s="293"/>
      <c r="CY25" s="293">
        <f t="shared" si="22"/>
        <v>0</v>
      </c>
      <c r="CZ25" s="307"/>
      <c r="DA25" s="307"/>
      <c r="DB25" s="304">
        <f t="shared" si="23"/>
        <v>0</v>
      </c>
      <c r="DC25" s="169">
        <f t="shared" si="24"/>
        <v>0</v>
      </c>
      <c r="DD25" s="319">
        <f t="shared" si="25"/>
        <v>0</v>
      </c>
    </row>
    <row r="26" spans="1:108" ht="18.95" customHeight="1" x14ac:dyDescent="0.25">
      <c r="A26" s="50" t="str">
        <f>+'SEMANA DEL 14 AL 21 '!A24</f>
        <v xml:space="preserve">LEIDY SERRANO </v>
      </c>
      <c r="B26" s="284">
        <f>+'SEMANA DEL 21AL 28-3'!AX25</f>
        <v>0.30000000000000071</v>
      </c>
      <c r="C26" s="284">
        <f>+'SEMANA DEL 21AL 28-3'!AY25</f>
        <v>1.3399999999999963</v>
      </c>
      <c r="D26" s="284">
        <f>+'SEMANA DEL 21AL 28-3'!AZ25</f>
        <v>2.0999999999999801</v>
      </c>
      <c r="E26" s="284">
        <f>+'SEMANA DEL 21AL 28-3'!BA25</f>
        <v>0</v>
      </c>
      <c r="F26" s="284">
        <f>+'SEMANA DEL 21AL 28-3'!BB25</f>
        <v>0</v>
      </c>
      <c r="G26" s="284">
        <f>+'SEMANA DEL 21AL 28-3'!BC25</f>
        <v>0</v>
      </c>
      <c r="H26" s="284">
        <f>+'SEMANA DEL 21AL 28-3'!BD25</f>
        <v>0</v>
      </c>
      <c r="I26" s="284">
        <f>+'SEMANA DEL 21AL 28-3'!BE25</f>
        <v>0</v>
      </c>
      <c r="J26" s="284">
        <f>+'SEMANA DEL 21AL 28-3'!BF25</f>
        <v>0</v>
      </c>
      <c r="K26" s="284">
        <f>+'SEMANA DEL 21AL 28-3'!BG25</f>
        <v>0</v>
      </c>
      <c r="L26" s="284">
        <f>+'SEMANA DEL 21AL 28-3'!BH25</f>
        <v>0</v>
      </c>
      <c r="M26" s="284">
        <f>+'SEMANA DEL 21AL 28-3'!BI25</f>
        <v>0</v>
      </c>
      <c r="N26" s="284">
        <f>+'SEMANA DEL 21AL 28-3'!BJ25</f>
        <v>0</v>
      </c>
      <c r="O26" s="284">
        <f>+'SEMANA DEL 21AL 28-3'!BK25</f>
        <v>0</v>
      </c>
      <c r="P26" s="284">
        <f>+'SEMANA DEL 21AL 28-3'!BL25</f>
        <v>0</v>
      </c>
      <c r="Q26" s="284">
        <f>+'SEMANA DEL 21AL 28-3'!BM25</f>
        <v>0</v>
      </c>
      <c r="R26" s="289"/>
      <c r="S26" s="289"/>
      <c r="T26" s="289"/>
      <c r="U26" s="289"/>
      <c r="V26" s="289"/>
      <c r="W26" s="289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289"/>
      <c r="AI26" s="289"/>
      <c r="AJ26" s="289"/>
      <c r="AK26" s="289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>
        <f t="shared" si="29"/>
        <v>0.30000000000000071</v>
      </c>
      <c r="AY26" s="190">
        <f t="shared" si="29"/>
        <v>1.3399999999999963</v>
      </c>
      <c r="AZ26" s="190">
        <f t="shared" si="29"/>
        <v>2.0999999999999801</v>
      </c>
      <c r="BA26" s="190">
        <f t="shared" si="29"/>
        <v>0</v>
      </c>
      <c r="BB26" s="190">
        <f t="shared" si="29"/>
        <v>0</v>
      </c>
      <c r="BC26" s="190">
        <f t="shared" si="29"/>
        <v>0</v>
      </c>
      <c r="BD26" s="190">
        <f t="shared" si="29"/>
        <v>0</v>
      </c>
      <c r="BE26" s="190">
        <f t="shared" si="29"/>
        <v>0</v>
      </c>
      <c r="BF26" s="190">
        <f t="shared" si="29"/>
        <v>0</v>
      </c>
      <c r="BG26" s="190">
        <f t="shared" si="29"/>
        <v>0</v>
      </c>
      <c r="BH26" s="190">
        <f t="shared" si="29"/>
        <v>0</v>
      </c>
      <c r="BI26" s="190">
        <f t="shared" si="29"/>
        <v>0</v>
      </c>
      <c r="BJ26" s="190">
        <f t="shared" si="29"/>
        <v>0</v>
      </c>
      <c r="BK26" s="190">
        <f t="shared" si="29"/>
        <v>0</v>
      </c>
      <c r="BL26" s="190">
        <f t="shared" si="29"/>
        <v>0</v>
      </c>
      <c r="BM26" s="190">
        <f t="shared" si="28"/>
        <v>0</v>
      </c>
      <c r="BN26" s="190"/>
      <c r="BO26" s="170">
        <f t="shared" si="2"/>
        <v>0</v>
      </c>
      <c r="BP26" s="71">
        <f t="shared" si="3"/>
        <v>0</v>
      </c>
      <c r="BQ26" s="112">
        <f t="shared" si="4"/>
        <v>0</v>
      </c>
      <c r="BR26" s="112">
        <f t="shared" si="4"/>
        <v>0</v>
      </c>
      <c r="BS26" s="112">
        <f t="shared" si="5"/>
        <v>0</v>
      </c>
      <c r="BT26" s="112">
        <f t="shared" si="6"/>
        <v>0</v>
      </c>
      <c r="BU26" s="112">
        <f t="shared" si="7"/>
        <v>0</v>
      </c>
      <c r="BV26" s="112">
        <f t="shared" si="8"/>
        <v>0</v>
      </c>
      <c r="BW26" s="112">
        <f t="shared" si="9"/>
        <v>0</v>
      </c>
      <c r="BX26" s="112">
        <f t="shared" si="10"/>
        <v>0</v>
      </c>
      <c r="BY26" s="71">
        <f t="shared" si="11"/>
        <v>0</v>
      </c>
      <c r="BZ26" s="113">
        <f t="shared" si="12"/>
        <v>0</v>
      </c>
      <c r="CA26" s="71"/>
      <c r="CB26" s="71"/>
      <c r="CC26" s="71">
        <f t="shared" si="13"/>
        <v>0</v>
      </c>
      <c r="CD26" s="71">
        <f t="shared" si="14"/>
        <v>0</v>
      </c>
      <c r="CE26" s="71">
        <f t="shared" si="15"/>
        <v>0</v>
      </c>
      <c r="CF26" s="71">
        <f t="shared" si="16"/>
        <v>0</v>
      </c>
      <c r="CG26" s="71">
        <f t="shared" si="17"/>
        <v>0</v>
      </c>
      <c r="CH26" s="166">
        <f t="shared" si="18"/>
        <v>0</v>
      </c>
      <c r="CI26" s="263">
        <f t="shared" si="19"/>
        <v>0</v>
      </c>
      <c r="CJ26" s="77"/>
      <c r="CK26" s="73"/>
      <c r="CL26" s="172"/>
      <c r="CM26" s="177"/>
      <c r="CN26" s="173"/>
      <c r="CO26" s="178"/>
      <c r="CP26" s="195"/>
      <c r="CQ26" s="179"/>
      <c r="CR26" s="140"/>
      <c r="CS26" s="52"/>
      <c r="CT26" s="309" t="str">
        <f t="shared" si="1"/>
        <v xml:space="preserve">LEIDY SERRANO </v>
      </c>
      <c r="CU26" s="293" t="str">
        <f>+'SEMANA DEL 2 AL 7-3-26'!CS25</f>
        <v>V-15,774,803</v>
      </c>
      <c r="CV26" s="293">
        <f t="shared" si="20"/>
        <v>0</v>
      </c>
      <c r="CW26" s="293">
        <f t="shared" si="21"/>
        <v>0</v>
      </c>
      <c r="CX26" s="293"/>
      <c r="CY26" s="293">
        <f t="shared" si="22"/>
        <v>0</v>
      </c>
      <c r="CZ26" s="307"/>
      <c r="DA26" s="307"/>
      <c r="DB26" s="304">
        <f t="shared" si="23"/>
        <v>0</v>
      </c>
      <c r="DC26" s="169">
        <f t="shared" si="24"/>
        <v>0</v>
      </c>
      <c r="DD26" s="319">
        <f t="shared" si="25"/>
        <v>0</v>
      </c>
    </row>
    <row r="27" spans="1:108" ht="18.95" customHeight="1" x14ac:dyDescent="0.25">
      <c r="A27" s="50" t="str">
        <f>+'SEMANA DEL 14 AL 21 '!A25</f>
        <v xml:space="preserve">MAYERLIN BOLIVAR </v>
      </c>
      <c r="B27" s="284">
        <f>+'SEMANA DEL 21AL 28-3'!AX26</f>
        <v>9.9999999999999645E-2</v>
      </c>
      <c r="C27" s="284">
        <f>+'SEMANA DEL 21AL 28-3'!AY26</f>
        <v>0.17999999999999972</v>
      </c>
      <c r="D27" s="284">
        <f>+'SEMANA DEL 21AL 28-3'!AZ26</f>
        <v>12.000000000000021</v>
      </c>
      <c r="E27" s="284">
        <f>+'SEMANA DEL 21AL 28-3'!BA26</f>
        <v>0</v>
      </c>
      <c r="F27" s="284">
        <f>+'SEMANA DEL 21AL 28-3'!BB26</f>
        <v>0</v>
      </c>
      <c r="G27" s="284">
        <f>+'SEMANA DEL 21AL 28-3'!BC26</f>
        <v>0</v>
      </c>
      <c r="H27" s="284">
        <f>+'SEMANA DEL 21AL 28-3'!BD26</f>
        <v>0</v>
      </c>
      <c r="I27" s="284">
        <f>+'SEMANA DEL 21AL 28-3'!BE26</f>
        <v>0</v>
      </c>
      <c r="J27" s="284">
        <f>+'SEMANA DEL 21AL 28-3'!BF26</f>
        <v>0</v>
      </c>
      <c r="K27" s="284">
        <f>+'SEMANA DEL 21AL 28-3'!BG26</f>
        <v>0</v>
      </c>
      <c r="L27" s="284">
        <f>+'SEMANA DEL 21AL 28-3'!BH26</f>
        <v>0</v>
      </c>
      <c r="M27" s="284">
        <f>+'SEMANA DEL 21AL 28-3'!BI26</f>
        <v>0</v>
      </c>
      <c r="N27" s="284">
        <f>+'SEMANA DEL 21AL 28-3'!BJ26</f>
        <v>0</v>
      </c>
      <c r="O27" s="284">
        <f>+'SEMANA DEL 21AL 28-3'!BK26</f>
        <v>0</v>
      </c>
      <c r="P27" s="284">
        <f>+'SEMANA DEL 21AL 28-3'!BL26</f>
        <v>0</v>
      </c>
      <c r="Q27" s="284">
        <f>+'SEMANA DEL 21AL 28-3'!BM26</f>
        <v>0</v>
      </c>
      <c r="R27" s="289"/>
      <c r="S27" s="289"/>
      <c r="T27" s="289"/>
      <c r="U27" s="289"/>
      <c r="V27" s="289"/>
      <c r="W27" s="289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>
        <f t="shared" si="29"/>
        <v>9.9999999999999645E-2</v>
      </c>
      <c r="AY27" s="190">
        <f t="shared" si="29"/>
        <v>0.17999999999999972</v>
      </c>
      <c r="AZ27" s="190">
        <f t="shared" si="29"/>
        <v>12.000000000000021</v>
      </c>
      <c r="BA27" s="190">
        <f t="shared" si="29"/>
        <v>0</v>
      </c>
      <c r="BB27" s="190">
        <f t="shared" si="29"/>
        <v>0</v>
      </c>
      <c r="BC27" s="190">
        <f t="shared" si="29"/>
        <v>0</v>
      </c>
      <c r="BD27" s="190">
        <f t="shared" si="29"/>
        <v>0</v>
      </c>
      <c r="BE27" s="190">
        <f t="shared" si="29"/>
        <v>0</v>
      </c>
      <c r="BF27" s="190">
        <f t="shared" si="29"/>
        <v>0</v>
      </c>
      <c r="BG27" s="190">
        <f t="shared" si="29"/>
        <v>0</v>
      </c>
      <c r="BH27" s="190">
        <f t="shared" si="29"/>
        <v>0</v>
      </c>
      <c r="BI27" s="190">
        <f t="shared" si="29"/>
        <v>0</v>
      </c>
      <c r="BJ27" s="190">
        <f t="shared" si="29"/>
        <v>0</v>
      </c>
      <c r="BK27" s="190">
        <f t="shared" si="29"/>
        <v>0</v>
      </c>
      <c r="BL27" s="190">
        <f t="shared" si="29"/>
        <v>0</v>
      </c>
      <c r="BM27" s="190">
        <f t="shared" si="28"/>
        <v>0</v>
      </c>
      <c r="BN27" s="190"/>
      <c r="BO27" s="170">
        <f t="shared" si="2"/>
        <v>0</v>
      </c>
      <c r="BP27" s="71">
        <f t="shared" si="3"/>
        <v>0</v>
      </c>
      <c r="BQ27" s="112">
        <f t="shared" si="4"/>
        <v>0</v>
      </c>
      <c r="BR27" s="112">
        <f t="shared" si="4"/>
        <v>0</v>
      </c>
      <c r="BS27" s="112">
        <f t="shared" si="5"/>
        <v>0</v>
      </c>
      <c r="BT27" s="112">
        <f t="shared" si="6"/>
        <v>0</v>
      </c>
      <c r="BU27" s="112">
        <f t="shared" si="7"/>
        <v>0</v>
      </c>
      <c r="BV27" s="112">
        <f t="shared" si="8"/>
        <v>0</v>
      </c>
      <c r="BW27" s="112">
        <f t="shared" si="9"/>
        <v>0</v>
      </c>
      <c r="BX27" s="112">
        <f t="shared" si="10"/>
        <v>0</v>
      </c>
      <c r="BY27" s="71">
        <f t="shared" si="11"/>
        <v>0</v>
      </c>
      <c r="BZ27" s="113">
        <f t="shared" si="12"/>
        <v>0</v>
      </c>
      <c r="CA27" s="71"/>
      <c r="CB27" s="71"/>
      <c r="CC27" s="71">
        <f t="shared" si="13"/>
        <v>0</v>
      </c>
      <c r="CD27" s="71">
        <f t="shared" si="14"/>
        <v>0</v>
      </c>
      <c r="CE27" s="71">
        <f t="shared" si="15"/>
        <v>0</v>
      </c>
      <c r="CF27" s="71">
        <f t="shared" si="16"/>
        <v>0</v>
      </c>
      <c r="CG27" s="71">
        <f t="shared" si="17"/>
        <v>0</v>
      </c>
      <c r="CH27" s="166">
        <f t="shared" si="18"/>
        <v>0</v>
      </c>
      <c r="CI27" s="263">
        <f t="shared" si="19"/>
        <v>0</v>
      </c>
      <c r="CJ27" s="77"/>
      <c r="CK27" s="73"/>
      <c r="CL27" s="196" t="s">
        <v>113</v>
      </c>
      <c r="CM27" s="177" t="e">
        <f>+'SEMANA DEL 14 AL 21 '!CP22</f>
        <v>#REF!</v>
      </c>
      <c r="CN27" s="173" t="e">
        <f>+#REF!</f>
        <v>#REF!</v>
      </c>
      <c r="CO27" s="178" t="e">
        <f>+CM27+CN27</f>
        <v>#REF!</v>
      </c>
      <c r="CP27" s="195">
        <f>+AM48</f>
        <v>0</v>
      </c>
      <c r="CQ27" s="179" t="e">
        <f>CO27-CP27</f>
        <v>#REF!</v>
      </c>
      <c r="CR27" s="140"/>
      <c r="CS27" s="52"/>
      <c r="CT27" s="309" t="str">
        <f t="shared" si="1"/>
        <v xml:space="preserve">MAYERLIN BOLIVAR </v>
      </c>
      <c r="CU27" s="293" t="str">
        <f>+'SEMANA DEL 2 AL 7-3-26'!CS26</f>
        <v>V-28,636.032</v>
      </c>
      <c r="CV27" s="293">
        <f t="shared" si="20"/>
        <v>0</v>
      </c>
      <c r="CW27" s="293">
        <f t="shared" si="21"/>
        <v>0</v>
      </c>
      <c r="CX27" s="293"/>
      <c r="CY27" s="293">
        <f t="shared" si="22"/>
        <v>0</v>
      </c>
      <c r="CZ27" s="307"/>
      <c r="DA27" s="307"/>
      <c r="DB27" s="304">
        <f t="shared" si="23"/>
        <v>0</v>
      </c>
      <c r="DC27" s="169">
        <f t="shared" si="24"/>
        <v>0</v>
      </c>
      <c r="DD27" s="319">
        <f t="shared" si="25"/>
        <v>0</v>
      </c>
    </row>
    <row r="28" spans="1:108" ht="18.95" customHeight="1" x14ac:dyDescent="0.25">
      <c r="A28" s="50" t="str">
        <f>+'SEMANA DEL 14 AL 21 '!A26</f>
        <v xml:space="preserve">MARTHA SILVA </v>
      </c>
      <c r="B28" s="284" t="e">
        <f>+'SEMANA DEL 21AL 28-3'!#REF!</f>
        <v>#REF!</v>
      </c>
      <c r="C28" s="284" t="e">
        <f>+'SEMANA DEL 21AL 28-3'!#REF!</f>
        <v>#REF!</v>
      </c>
      <c r="D28" s="284" t="e">
        <f>+'SEMANA DEL 21AL 28-3'!#REF!</f>
        <v>#REF!</v>
      </c>
      <c r="E28" s="284" t="e">
        <f>+'SEMANA DEL 21AL 28-3'!#REF!</f>
        <v>#REF!</v>
      </c>
      <c r="F28" s="284" t="e">
        <f>+'SEMANA DEL 21AL 28-3'!#REF!</f>
        <v>#REF!</v>
      </c>
      <c r="G28" s="284" t="e">
        <f>+'SEMANA DEL 21AL 28-3'!#REF!</f>
        <v>#REF!</v>
      </c>
      <c r="H28" s="284" t="e">
        <f>+'SEMANA DEL 21AL 28-3'!#REF!</f>
        <v>#REF!</v>
      </c>
      <c r="I28" s="284" t="e">
        <f>+'SEMANA DEL 21AL 28-3'!#REF!</f>
        <v>#REF!</v>
      </c>
      <c r="J28" s="284" t="e">
        <f>+'SEMANA DEL 21AL 28-3'!#REF!</f>
        <v>#REF!</v>
      </c>
      <c r="K28" s="284" t="e">
        <f>+'SEMANA DEL 21AL 28-3'!#REF!</f>
        <v>#REF!</v>
      </c>
      <c r="L28" s="284" t="e">
        <f>+'SEMANA DEL 21AL 28-3'!#REF!</f>
        <v>#REF!</v>
      </c>
      <c r="M28" s="284" t="e">
        <f>+'SEMANA DEL 21AL 28-3'!#REF!</f>
        <v>#REF!</v>
      </c>
      <c r="N28" s="284" t="e">
        <f>+'SEMANA DEL 21AL 28-3'!#REF!</f>
        <v>#REF!</v>
      </c>
      <c r="O28" s="284" t="e">
        <f>+'SEMANA DEL 21AL 28-3'!#REF!</f>
        <v>#REF!</v>
      </c>
      <c r="P28" s="284" t="e">
        <f>+'SEMANA DEL 21AL 28-3'!#REF!</f>
        <v>#REF!</v>
      </c>
      <c r="Q28" s="284" t="e">
        <f>+'SEMANA DEL 21AL 28-3'!#REF!</f>
        <v>#REF!</v>
      </c>
      <c r="R28" s="289"/>
      <c r="S28" s="289"/>
      <c r="T28" s="289"/>
      <c r="U28" s="289"/>
      <c r="V28" s="289"/>
      <c r="W28" s="289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 t="e">
        <f t="shared" si="29"/>
        <v>#REF!</v>
      </c>
      <c r="AY28" s="190" t="e">
        <f t="shared" si="29"/>
        <v>#REF!</v>
      </c>
      <c r="AZ28" s="190" t="e">
        <f t="shared" si="29"/>
        <v>#REF!</v>
      </c>
      <c r="BA28" s="190" t="e">
        <f t="shared" si="29"/>
        <v>#REF!</v>
      </c>
      <c r="BB28" s="190" t="e">
        <f t="shared" si="29"/>
        <v>#REF!</v>
      </c>
      <c r="BC28" s="190" t="e">
        <f t="shared" si="29"/>
        <v>#REF!</v>
      </c>
      <c r="BD28" s="190" t="e">
        <f t="shared" si="29"/>
        <v>#REF!</v>
      </c>
      <c r="BE28" s="190" t="e">
        <f t="shared" si="29"/>
        <v>#REF!</v>
      </c>
      <c r="BF28" s="190" t="e">
        <f t="shared" si="29"/>
        <v>#REF!</v>
      </c>
      <c r="BG28" s="190" t="e">
        <f t="shared" si="29"/>
        <v>#REF!</v>
      </c>
      <c r="BH28" s="190" t="e">
        <f t="shared" si="29"/>
        <v>#REF!</v>
      </c>
      <c r="BI28" s="190" t="e">
        <f t="shared" si="29"/>
        <v>#REF!</v>
      </c>
      <c r="BJ28" s="190" t="e">
        <f t="shared" si="29"/>
        <v>#REF!</v>
      </c>
      <c r="BK28" s="190" t="e">
        <f t="shared" si="29"/>
        <v>#REF!</v>
      </c>
      <c r="BL28" s="190" t="e">
        <f t="shared" si="29"/>
        <v>#REF!</v>
      </c>
      <c r="BM28" s="190" t="e">
        <f t="shared" si="28"/>
        <v>#REF!</v>
      </c>
      <c r="BN28" s="190"/>
      <c r="BO28" s="170">
        <f t="shared" si="2"/>
        <v>0</v>
      </c>
      <c r="BP28" s="71">
        <f t="shared" si="3"/>
        <v>0</v>
      </c>
      <c r="BQ28" s="112">
        <f t="shared" si="4"/>
        <v>0</v>
      </c>
      <c r="BR28" s="112">
        <f t="shared" si="4"/>
        <v>0</v>
      </c>
      <c r="BS28" s="112">
        <f t="shared" si="5"/>
        <v>0</v>
      </c>
      <c r="BT28" s="112">
        <f t="shared" si="6"/>
        <v>0</v>
      </c>
      <c r="BU28" s="112">
        <f t="shared" si="7"/>
        <v>0</v>
      </c>
      <c r="BV28" s="112">
        <f t="shared" si="8"/>
        <v>0</v>
      </c>
      <c r="BW28" s="112">
        <f t="shared" si="9"/>
        <v>0</v>
      </c>
      <c r="BX28" s="112">
        <f t="shared" si="10"/>
        <v>0</v>
      </c>
      <c r="BY28" s="71">
        <f t="shared" si="11"/>
        <v>0</v>
      </c>
      <c r="BZ28" s="113">
        <f t="shared" si="12"/>
        <v>0</v>
      </c>
      <c r="CA28" s="71"/>
      <c r="CB28" s="71"/>
      <c r="CC28" s="71">
        <f t="shared" si="13"/>
        <v>0</v>
      </c>
      <c r="CD28" s="71">
        <f t="shared" si="14"/>
        <v>0</v>
      </c>
      <c r="CE28" s="71">
        <f t="shared" si="15"/>
        <v>0</v>
      </c>
      <c r="CF28" s="71">
        <f t="shared" si="16"/>
        <v>0</v>
      </c>
      <c r="CG28" s="71">
        <f t="shared" si="17"/>
        <v>0</v>
      </c>
      <c r="CH28" s="166">
        <f t="shared" si="18"/>
        <v>0</v>
      </c>
      <c r="CI28" s="263">
        <f t="shared" si="19"/>
        <v>0</v>
      </c>
      <c r="CJ28" s="77"/>
      <c r="CK28" s="73"/>
      <c r="CL28" s="196"/>
      <c r="CM28" s="177"/>
      <c r="CN28" s="173"/>
      <c r="CO28" s="178"/>
      <c r="CP28" s="195"/>
      <c r="CQ28" s="179"/>
      <c r="CR28" s="140"/>
      <c r="CS28" s="52"/>
      <c r="CT28" s="309" t="str">
        <f t="shared" si="1"/>
        <v xml:space="preserve">MARTHA SILVA </v>
      </c>
      <c r="CU28" s="293" t="e">
        <f>+'SEMANA DEL 2 AL 7-3-26'!#REF!</f>
        <v>#REF!</v>
      </c>
      <c r="CV28" s="293">
        <f t="shared" si="20"/>
        <v>0</v>
      </c>
      <c r="CW28" s="293">
        <f t="shared" si="21"/>
        <v>0</v>
      </c>
      <c r="CX28" s="293"/>
      <c r="CY28" s="293">
        <f t="shared" si="22"/>
        <v>0</v>
      </c>
      <c r="CZ28" s="307"/>
      <c r="DA28" s="307"/>
      <c r="DB28" s="304">
        <f t="shared" si="23"/>
        <v>0</v>
      </c>
      <c r="DC28" s="169">
        <f t="shared" si="24"/>
        <v>0</v>
      </c>
      <c r="DD28" s="319">
        <f t="shared" si="25"/>
        <v>0</v>
      </c>
    </row>
    <row r="29" spans="1:108" ht="18.95" customHeight="1" x14ac:dyDescent="0.25">
      <c r="A29" s="50" t="e">
        <f>+'SEMANA DEL 14 AL 21 '!#REF!</f>
        <v>#REF!</v>
      </c>
      <c r="B29" s="284" t="e">
        <f>+'SEMANA DEL 21AL 28-3'!#REF!</f>
        <v>#REF!</v>
      </c>
      <c r="C29" s="284" t="e">
        <f>+'SEMANA DEL 21AL 28-3'!#REF!</f>
        <v>#REF!</v>
      </c>
      <c r="D29" s="284" t="e">
        <f>+'SEMANA DEL 21AL 28-3'!#REF!</f>
        <v>#REF!</v>
      </c>
      <c r="E29" s="284" t="e">
        <f>+'SEMANA DEL 21AL 28-3'!#REF!</f>
        <v>#REF!</v>
      </c>
      <c r="F29" s="284" t="e">
        <f>+'SEMANA DEL 21AL 28-3'!#REF!</f>
        <v>#REF!</v>
      </c>
      <c r="G29" s="284" t="e">
        <f>+'SEMANA DEL 21AL 28-3'!#REF!</f>
        <v>#REF!</v>
      </c>
      <c r="H29" s="284" t="e">
        <f>+'SEMANA DEL 21AL 28-3'!#REF!</f>
        <v>#REF!</v>
      </c>
      <c r="I29" s="284" t="e">
        <f>+'SEMANA DEL 21AL 28-3'!#REF!</f>
        <v>#REF!</v>
      </c>
      <c r="J29" s="284" t="e">
        <f>+'SEMANA DEL 21AL 28-3'!#REF!</f>
        <v>#REF!</v>
      </c>
      <c r="K29" s="284" t="e">
        <f>+'SEMANA DEL 21AL 28-3'!#REF!</f>
        <v>#REF!</v>
      </c>
      <c r="L29" s="284" t="e">
        <f>+'SEMANA DEL 21AL 28-3'!#REF!</f>
        <v>#REF!</v>
      </c>
      <c r="M29" s="284" t="e">
        <f>+'SEMANA DEL 21AL 28-3'!#REF!</f>
        <v>#REF!</v>
      </c>
      <c r="N29" s="284" t="e">
        <f>+'SEMANA DEL 21AL 28-3'!#REF!</f>
        <v>#REF!</v>
      </c>
      <c r="O29" s="284" t="e">
        <f>+'SEMANA DEL 21AL 28-3'!#REF!</f>
        <v>#REF!</v>
      </c>
      <c r="P29" s="284" t="e">
        <f>+'SEMANA DEL 21AL 28-3'!#REF!</f>
        <v>#REF!</v>
      </c>
      <c r="Q29" s="284" t="e">
        <f>+'SEMANA DEL 21AL 28-3'!#REF!</f>
        <v>#REF!</v>
      </c>
      <c r="R29" s="289"/>
      <c r="S29" s="289"/>
      <c r="T29" s="289"/>
      <c r="U29" s="289"/>
      <c r="V29" s="289"/>
      <c r="W29" s="289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289"/>
      <c r="AI29" s="289"/>
      <c r="AJ29" s="289"/>
      <c r="AK29" s="289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 t="e">
        <f t="shared" si="29"/>
        <v>#REF!</v>
      </c>
      <c r="AY29" s="190" t="e">
        <f t="shared" si="29"/>
        <v>#REF!</v>
      </c>
      <c r="AZ29" s="190" t="e">
        <f t="shared" si="29"/>
        <v>#REF!</v>
      </c>
      <c r="BA29" s="190" t="e">
        <f t="shared" si="29"/>
        <v>#REF!</v>
      </c>
      <c r="BB29" s="190" t="e">
        <f t="shared" si="29"/>
        <v>#REF!</v>
      </c>
      <c r="BC29" s="190" t="e">
        <f t="shared" si="29"/>
        <v>#REF!</v>
      </c>
      <c r="BD29" s="190" t="e">
        <f t="shared" si="29"/>
        <v>#REF!</v>
      </c>
      <c r="BE29" s="190" t="e">
        <f t="shared" si="29"/>
        <v>#REF!</v>
      </c>
      <c r="BF29" s="190" t="e">
        <f t="shared" si="29"/>
        <v>#REF!</v>
      </c>
      <c r="BG29" s="190" t="e">
        <f t="shared" si="29"/>
        <v>#REF!</v>
      </c>
      <c r="BH29" s="190" t="e">
        <f t="shared" si="29"/>
        <v>#REF!</v>
      </c>
      <c r="BI29" s="190" t="e">
        <f t="shared" si="29"/>
        <v>#REF!</v>
      </c>
      <c r="BJ29" s="190" t="e">
        <f t="shared" si="29"/>
        <v>#REF!</v>
      </c>
      <c r="BK29" s="190" t="e">
        <f t="shared" si="29"/>
        <v>#REF!</v>
      </c>
      <c r="BL29" s="190" t="e">
        <f t="shared" si="29"/>
        <v>#REF!</v>
      </c>
      <c r="BM29" s="190" t="e">
        <f t="shared" si="28"/>
        <v>#REF!</v>
      </c>
      <c r="BN29" s="190"/>
      <c r="BO29" s="170">
        <f t="shared" si="2"/>
        <v>0</v>
      </c>
      <c r="BP29" s="71">
        <f t="shared" si="3"/>
        <v>0</v>
      </c>
      <c r="BQ29" s="112">
        <f t="shared" si="4"/>
        <v>0</v>
      </c>
      <c r="BR29" s="112">
        <f t="shared" si="4"/>
        <v>0</v>
      </c>
      <c r="BS29" s="112">
        <f t="shared" si="5"/>
        <v>0</v>
      </c>
      <c r="BT29" s="112">
        <f t="shared" si="6"/>
        <v>0</v>
      </c>
      <c r="BU29" s="112">
        <f t="shared" si="7"/>
        <v>0</v>
      </c>
      <c r="BV29" s="112">
        <f t="shared" si="8"/>
        <v>0</v>
      </c>
      <c r="BW29" s="112">
        <f t="shared" si="9"/>
        <v>0</v>
      </c>
      <c r="BX29" s="112">
        <f t="shared" si="10"/>
        <v>0</v>
      </c>
      <c r="BY29" s="71">
        <f t="shared" si="11"/>
        <v>0</v>
      </c>
      <c r="BZ29" s="113">
        <f t="shared" si="12"/>
        <v>0</v>
      </c>
      <c r="CA29" s="71"/>
      <c r="CB29" s="71"/>
      <c r="CC29" s="71">
        <f t="shared" si="13"/>
        <v>0</v>
      </c>
      <c r="CD29" s="71">
        <f t="shared" si="14"/>
        <v>0</v>
      </c>
      <c r="CE29" s="71">
        <f t="shared" si="15"/>
        <v>0</v>
      </c>
      <c r="CF29" s="71">
        <f t="shared" si="16"/>
        <v>0</v>
      </c>
      <c r="CG29" s="71">
        <f t="shared" si="17"/>
        <v>0</v>
      </c>
      <c r="CH29" s="166">
        <f t="shared" si="18"/>
        <v>0</v>
      </c>
      <c r="CI29" s="263">
        <f t="shared" si="19"/>
        <v>0</v>
      </c>
      <c r="CJ29" s="77"/>
      <c r="CK29" s="73"/>
      <c r="CL29" s="172"/>
      <c r="CM29" s="177"/>
      <c r="CN29" s="173"/>
      <c r="CO29" s="178"/>
      <c r="CP29" s="195"/>
      <c r="CQ29" s="179"/>
      <c r="CR29" s="140"/>
      <c r="CS29" s="52"/>
      <c r="CT29" s="309" t="e">
        <f t="shared" si="1"/>
        <v>#REF!</v>
      </c>
      <c r="CU29" s="293" t="e">
        <f>+'SEMANA DEL 2 AL 7-3-26'!#REF!</f>
        <v>#REF!</v>
      </c>
      <c r="CV29" s="293">
        <f t="shared" si="20"/>
        <v>0</v>
      </c>
      <c r="CW29" s="293">
        <f t="shared" si="21"/>
        <v>0</v>
      </c>
      <c r="CX29" s="293"/>
      <c r="CY29" s="293">
        <f t="shared" si="22"/>
        <v>0</v>
      </c>
      <c r="CZ29" s="307"/>
      <c r="DA29" s="307"/>
      <c r="DB29" s="304">
        <f t="shared" si="23"/>
        <v>0</v>
      </c>
      <c r="DC29" s="169">
        <f t="shared" si="24"/>
        <v>0</v>
      </c>
      <c r="DD29" s="319">
        <f t="shared" si="25"/>
        <v>0</v>
      </c>
    </row>
    <row r="30" spans="1:108" ht="18.95" customHeight="1" x14ac:dyDescent="0.25">
      <c r="A30" s="50" t="e">
        <f>+'SEMANA DEL 14 AL 21 '!#REF!</f>
        <v>#REF!</v>
      </c>
      <c r="B30" s="284">
        <f>+'SEMANA DEL 21AL 28-3'!AX27</f>
        <v>0</v>
      </c>
      <c r="C30" s="284">
        <f>+'SEMANA DEL 21AL 28-3'!AY27</f>
        <v>-3.9999999999977831E-3</v>
      </c>
      <c r="D30" s="284">
        <f>+'SEMANA DEL 21AL 28-3'!AZ27</f>
        <v>0</v>
      </c>
      <c r="E30" s="284">
        <f>+'SEMANA DEL 21AL 28-3'!BA27</f>
        <v>0</v>
      </c>
      <c r="F30" s="284">
        <f>+'SEMANA DEL 21AL 28-3'!BB27</f>
        <v>0</v>
      </c>
      <c r="G30" s="284">
        <f>+'SEMANA DEL 21AL 28-3'!BC27</f>
        <v>0</v>
      </c>
      <c r="H30" s="284">
        <f>+'SEMANA DEL 21AL 28-3'!BD27</f>
        <v>0</v>
      </c>
      <c r="I30" s="284">
        <f>+'SEMANA DEL 21AL 28-3'!BE27</f>
        <v>0</v>
      </c>
      <c r="J30" s="284">
        <f>+'SEMANA DEL 21AL 28-3'!BF27</f>
        <v>0</v>
      </c>
      <c r="K30" s="284">
        <f>+'SEMANA DEL 21AL 28-3'!BG27</f>
        <v>0</v>
      </c>
      <c r="L30" s="284">
        <f>+'SEMANA DEL 21AL 28-3'!BH27</f>
        <v>0</v>
      </c>
      <c r="M30" s="284">
        <f>+'SEMANA DEL 21AL 28-3'!BI27</f>
        <v>0</v>
      </c>
      <c r="N30" s="284">
        <f>+'SEMANA DEL 21AL 28-3'!BJ27</f>
        <v>0</v>
      </c>
      <c r="O30" s="284">
        <f>+'SEMANA DEL 21AL 28-3'!BK27</f>
        <v>0</v>
      </c>
      <c r="P30" s="284">
        <f>+'SEMANA DEL 21AL 28-3'!BL27</f>
        <v>0</v>
      </c>
      <c r="Q30" s="284">
        <f>+'SEMANA DEL 21AL 28-3'!BM27</f>
        <v>0</v>
      </c>
      <c r="R30" s="289"/>
      <c r="S30" s="289"/>
      <c r="T30" s="289"/>
      <c r="U30" s="289"/>
      <c r="V30" s="289"/>
      <c r="W30" s="289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289"/>
      <c r="AI30" s="289"/>
      <c r="AJ30" s="289"/>
      <c r="AK30" s="289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>
        <f t="shared" si="29"/>
        <v>0</v>
      </c>
      <c r="AY30" s="190">
        <f t="shared" si="29"/>
        <v>-3.9999999999977831E-3</v>
      </c>
      <c r="AZ30" s="190">
        <f t="shared" si="29"/>
        <v>0</v>
      </c>
      <c r="BA30" s="190">
        <f t="shared" si="29"/>
        <v>0</v>
      </c>
      <c r="BB30" s="190">
        <f t="shared" si="29"/>
        <v>0</v>
      </c>
      <c r="BC30" s="190">
        <f t="shared" si="29"/>
        <v>0</v>
      </c>
      <c r="BD30" s="190">
        <f t="shared" si="29"/>
        <v>0</v>
      </c>
      <c r="BE30" s="190">
        <f t="shared" si="29"/>
        <v>0</v>
      </c>
      <c r="BF30" s="190">
        <f t="shared" si="29"/>
        <v>0</v>
      </c>
      <c r="BG30" s="190">
        <f t="shared" si="29"/>
        <v>0</v>
      </c>
      <c r="BH30" s="190">
        <f t="shared" si="29"/>
        <v>0</v>
      </c>
      <c r="BI30" s="190">
        <f t="shared" si="29"/>
        <v>0</v>
      </c>
      <c r="BJ30" s="190">
        <f t="shared" si="29"/>
        <v>0</v>
      </c>
      <c r="BK30" s="190">
        <f t="shared" si="29"/>
        <v>0</v>
      </c>
      <c r="BL30" s="190">
        <f t="shared" si="29"/>
        <v>0</v>
      </c>
      <c r="BM30" s="190">
        <f t="shared" si="28"/>
        <v>0</v>
      </c>
      <c r="BN30" s="190"/>
      <c r="BO30" s="170">
        <f>+AL30*2500</f>
        <v>0</v>
      </c>
      <c r="BP30" s="71">
        <f>+AM30*60000</f>
        <v>0</v>
      </c>
      <c r="BQ30" s="112">
        <f>+AN30*5500</f>
        <v>0</v>
      </c>
      <c r="BR30" s="112">
        <f>+AO30*5500</f>
        <v>0</v>
      </c>
      <c r="BS30" s="112">
        <f>+AP30*8000</f>
        <v>0</v>
      </c>
      <c r="BT30" s="112">
        <f>+AQ30*12000</f>
        <v>0</v>
      </c>
      <c r="BU30" s="112">
        <f>+AR30*150000</f>
        <v>0</v>
      </c>
      <c r="BV30" s="112">
        <f>+AS30*3000</f>
        <v>0</v>
      </c>
      <c r="BW30" s="112">
        <f>+AT30*8000</f>
        <v>0</v>
      </c>
      <c r="BX30" s="112">
        <f>+AU30*200000</f>
        <v>0</v>
      </c>
      <c r="BY30" s="71">
        <f>+AV30*100000</f>
        <v>0</v>
      </c>
      <c r="BZ30" s="113">
        <f>+AW30*1.5</f>
        <v>0</v>
      </c>
      <c r="CA30" s="71"/>
      <c r="CB30" s="71"/>
      <c r="CC30" s="71">
        <f t="shared" si="13"/>
        <v>0</v>
      </c>
      <c r="CD30" s="71">
        <f t="shared" si="14"/>
        <v>0</v>
      </c>
      <c r="CE30" s="71">
        <f t="shared" si="15"/>
        <v>0</v>
      </c>
      <c r="CF30" s="71">
        <f t="shared" si="16"/>
        <v>0</v>
      </c>
      <c r="CG30" s="71">
        <f t="shared" si="17"/>
        <v>0</v>
      </c>
      <c r="CH30" s="166">
        <f t="shared" si="18"/>
        <v>0</v>
      </c>
      <c r="CI30" s="263">
        <f t="shared" si="19"/>
        <v>0</v>
      </c>
      <c r="CJ30" s="77"/>
      <c r="CK30" s="73"/>
      <c r="CL30" s="172"/>
      <c r="CM30" s="177"/>
      <c r="CN30" s="173"/>
      <c r="CO30" s="178"/>
      <c r="CP30" s="195"/>
      <c r="CQ30" s="179"/>
      <c r="CR30" s="140"/>
      <c r="CS30" s="52"/>
      <c r="CT30" s="309" t="e">
        <f t="shared" si="1"/>
        <v>#REF!</v>
      </c>
      <c r="CU30" s="293"/>
      <c r="CV30" s="293">
        <f t="shared" si="20"/>
        <v>0</v>
      </c>
      <c r="CW30" s="293">
        <f t="shared" si="21"/>
        <v>0</v>
      </c>
      <c r="CX30" s="293"/>
      <c r="CY30" s="293">
        <f t="shared" si="22"/>
        <v>0</v>
      </c>
      <c r="CZ30" s="307"/>
      <c r="DA30" s="307"/>
      <c r="DB30" s="304">
        <f t="shared" si="23"/>
        <v>0</v>
      </c>
      <c r="DC30" s="169">
        <f t="shared" si="24"/>
        <v>0</v>
      </c>
      <c r="DD30" s="319">
        <f t="shared" si="25"/>
        <v>0</v>
      </c>
    </row>
    <row r="31" spans="1:108" ht="18.95" customHeight="1" x14ac:dyDescent="0.25">
      <c r="A31" s="50" t="str">
        <f>+'SEMANA DEL 14 AL 21 '!A27</f>
        <v>MARIELA MARTINEZ</v>
      </c>
      <c r="B31" s="284">
        <f>+'SEMANA DEL 21AL 28-3'!AX28</f>
        <v>0</v>
      </c>
      <c r="C31" s="284">
        <f>+'SEMANA DEL 21AL 28-3'!AY28</f>
        <v>-3.9999999999977831E-3</v>
      </c>
      <c r="D31" s="284">
        <f>+'SEMANA DEL 21AL 28-3'!AZ28</f>
        <v>0</v>
      </c>
      <c r="E31" s="284">
        <f>+'SEMANA DEL 21AL 28-3'!BA28</f>
        <v>0</v>
      </c>
      <c r="F31" s="284">
        <f>+'SEMANA DEL 21AL 28-3'!BB28</f>
        <v>0</v>
      </c>
      <c r="G31" s="284">
        <f>+'SEMANA DEL 21AL 28-3'!BC28</f>
        <v>0</v>
      </c>
      <c r="H31" s="284">
        <f>+'SEMANA DEL 21AL 28-3'!BD28</f>
        <v>0</v>
      </c>
      <c r="I31" s="284">
        <f>+'SEMANA DEL 21AL 28-3'!BE28</f>
        <v>0</v>
      </c>
      <c r="J31" s="284">
        <f>+'SEMANA DEL 21AL 28-3'!BF28</f>
        <v>0</v>
      </c>
      <c r="K31" s="284">
        <f>+'SEMANA DEL 21AL 28-3'!BG28</f>
        <v>0</v>
      </c>
      <c r="L31" s="284">
        <f>+'SEMANA DEL 21AL 28-3'!BH28</f>
        <v>0</v>
      </c>
      <c r="M31" s="284">
        <f>+'SEMANA DEL 21AL 28-3'!BI28</f>
        <v>0</v>
      </c>
      <c r="N31" s="284">
        <f>+'SEMANA DEL 21AL 28-3'!BJ28</f>
        <v>0</v>
      </c>
      <c r="O31" s="284">
        <f>+'SEMANA DEL 21AL 28-3'!BK28</f>
        <v>0</v>
      </c>
      <c r="P31" s="284">
        <f>+'SEMANA DEL 21AL 28-3'!BL28</f>
        <v>0</v>
      </c>
      <c r="Q31" s="284">
        <f>+'SEMANA DEL 21AL 28-3'!BM28</f>
        <v>0</v>
      </c>
      <c r="R31" s="289"/>
      <c r="S31" s="289"/>
      <c r="T31" s="289"/>
      <c r="U31" s="289"/>
      <c r="V31" s="289"/>
      <c r="W31" s="289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289"/>
      <c r="AI31" s="289"/>
      <c r="AJ31" s="289"/>
      <c r="AK31" s="289"/>
      <c r="AL31" s="289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>
        <f t="shared" si="29"/>
        <v>0</v>
      </c>
      <c r="AY31" s="190">
        <f t="shared" si="29"/>
        <v>-3.9999999999977831E-3</v>
      </c>
      <c r="AZ31" s="190">
        <f t="shared" si="29"/>
        <v>0</v>
      </c>
      <c r="BA31" s="190">
        <f t="shared" si="29"/>
        <v>0</v>
      </c>
      <c r="BB31" s="190">
        <f t="shared" si="29"/>
        <v>0</v>
      </c>
      <c r="BC31" s="190">
        <f t="shared" si="29"/>
        <v>0</v>
      </c>
      <c r="BD31" s="190">
        <f t="shared" si="29"/>
        <v>0</v>
      </c>
      <c r="BE31" s="190">
        <f t="shared" si="29"/>
        <v>0</v>
      </c>
      <c r="BF31" s="190">
        <f t="shared" si="29"/>
        <v>0</v>
      </c>
      <c r="BG31" s="190">
        <f t="shared" si="29"/>
        <v>0</v>
      </c>
      <c r="BH31" s="190">
        <f t="shared" si="29"/>
        <v>0</v>
      </c>
      <c r="BI31" s="190">
        <f t="shared" si="29"/>
        <v>0</v>
      </c>
      <c r="BJ31" s="190">
        <f t="shared" si="29"/>
        <v>0</v>
      </c>
      <c r="BK31" s="190">
        <f t="shared" si="29"/>
        <v>0</v>
      </c>
      <c r="BL31" s="190">
        <f t="shared" si="29"/>
        <v>0</v>
      </c>
      <c r="BM31" s="190">
        <f t="shared" si="28"/>
        <v>0</v>
      </c>
      <c r="BN31" s="190"/>
      <c r="BO31" s="170"/>
      <c r="BP31" s="71"/>
      <c r="BQ31" s="112"/>
      <c r="BR31" s="112"/>
      <c r="BS31" s="112"/>
      <c r="BT31" s="112"/>
      <c r="BU31" s="112"/>
      <c r="BV31" s="112"/>
      <c r="BW31" s="112"/>
      <c r="BX31" s="112"/>
      <c r="BY31" s="71"/>
      <c r="BZ31" s="113">
        <f>+AW31*1.5</f>
        <v>0</v>
      </c>
      <c r="CA31" s="71"/>
      <c r="CB31" s="71"/>
      <c r="CC31" s="71">
        <f t="shared" si="13"/>
        <v>0</v>
      </c>
      <c r="CD31" s="71">
        <f t="shared" si="14"/>
        <v>0</v>
      </c>
      <c r="CE31" s="71">
        <f t="shared" si="15"/>
        <v>0</v>
      </c>
      <c r="CF31" s="71">
        <f t="shared" si="16"/>
        <v>0</v>
      </c>
      <c r="CG31" s="71">
        <f t="shared" si="17"/>
        <v>0</v>
      </c>
      <c r="CH31" s="166">
        <f t="shared" si="18"/>
        <v>0</v>
      </c>
      <c r="CI31" s="263">
        <f t="shared" si="19"/>
        <v>0</v>
      </c>
      <c r="CJ31" s="77"/>
      <c r="CK31" s="73"/>
      <c r="CL31" s="172"/>
      <c r="CM31" s="177"/>
      <c r="CN31" s="173"/>
      <c r="CO31" s="178"/>
      <c r="CP31" s="195"/>
      <c r="CQ31" s="179"/>
      <c r="CR31" s="140"/>
      <c r="CS31" s="52"/>
      <c r="CT31" s="309" t="str">
        <f t="shared" si="1"/>
        <v>MARIELA MARTINEZ</v>
      </c>
      <c r="CU31" s="293"/>
      <c r="CV31" s="293">
        <f t="shared" si="20"/>
        <v>0</v>
      </c>
      <c r="CW31" s="293">
        <f t="shared" si="21"/>
        <v>0</v>
      </c>
      <c r="CX31" s="293"/>
      <c r="CY31" s="293">
        <f t="shared" si="22"/>
        <v>0</v>
      </c>
      <c r="CZ31" s="307"/>
      <c r="DA31" s="307"/>
      <c r="DB31" s="304">
        <f t="shared" si="23"/>
        <v>0</v>
      </c>
      <c r="DC31" s="169">
        <f t="shared" si="24"/>
        <v>0</v>
      </c>
      <c r="DD31" s="319">
        <f t="shared" si="25"/>
        <v>0</v>
      </c>
    </row>
    <row r="32" spans="1:108" ht="18.95" customHeight="1" x14ac:dyDescent="0.25">
      <c r="A32" s="50" t="str">
        <f>+'SEMANA DEL 14 AL 21 '!A28</f>
        <v xml:space="preserve">MANUEL CONTRERAS </v>
      </c>
      <c r="B32" s="284">
        <f>+'SEMANA DEL 21AL 28-3'!AX29</f>
        <v>0</v>
      </c>
      <c r="C32" s="284">
        <f>+'SEMANA DEL 21AL 28-3'!AY29</f>
        <v>-3.9999999999977831E-3</v>
      </c>
      <c r="D32" s="284">
        <f>+'SEMANA DEL 21AL 28-3'!AZ29</f>
        <v>0</v>
      </c>
      <c r="E32" s="284">
        <f>+'SEMANA DEL 21AL 28-3'!BA29</f>
        <v>0</v>
      </c>
      <c r="F32" s="284">
        <f>+'SEMANA DEL 21AL 28-3'!BB29</f>
        <v>0</v>
      </c>
      <c r="G32" s="284">
        <f>+'SEMANA DEL 21AL 28-3'!BC29</f>
        <v>0</v>
      </c>
      <c r="H32" s="284">
        <f>+'SEMANA DEL 21AL 28-3'!BD29</f>
        <v>0</v>
      </c>
      <c r="I32" s="284">
        <f>+'SEMANA DEL 21AL 28-3'!BE29</f>
        <v>0</v>
      </c>
      <c r="J32" s="284">
        <f>+'SEMANA DEL 21AL 28-3'!BF29</f>
        <v>0</v>
      </c>
      <c r="K32" s="284">
        <f>+'SEMANA DEL 21AL 28-3'!BG29</f>
        <v>0</v>
      </c>
      <c r="L32" s="284">
        <f>+'SEMANA DEL 21AL 28-3'!BH29</f>
        <v>0</v>
      </c>
      <c r="M32" s="284">
        <f>+'SEMANA DEL 21AL 28-3'!BI29</f>
        <v>0</v>
      </c>
      <c r="N32" s="284">
        <f>+'SEMANA DEL 21AL 28-3'!BJ29</f>
        <v>0</v>
      </c>
      <c r="O32" s="284">
        <f>+'SEMANA DEL 21AL 28-3'!BK29</f>
        <v>0</v>
      </c>
      <c r="P32" s="284">
        <f>+'SEMANA DEL 21AL 28-3'!BL29</f>
        <v>0</v>
      </c>
      <c r="Q32" s="284">
        <f>+'SEMANA DEL 21AL 28-3'!BM29</f>
        <v>0</v>
      </c>
      <c r="R32" s="289"/>
      <c r="S32" s="289"/>
      <c r="T32" s="289"/>
      <c r="U32" s="289"/>
      <c r="V32" s="289"/>
      <c r="W32" s="289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289"/>
      <c r="AI32" s="289"/>
      <c r="AJ32" s="289"/>
      <c r="AK32" s="289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>
        <f t="shared" si="29"/>
        <v>0</v>
      </c>
      <c r="AY32" s="190">
        <f t="shared" si="29"/>
        <v>-3.9999999999977831E-3</v>
      </c>
      <c r="AZ32" s="190">
        <f t="shared" si="29"/>
        <v>0</v>
      </c>
      <c r="BA32" s="190">
        <f t="shared" si="29"/>
        <v>0</v>
      </c>
      <c r="BB32" s="190">
        <f t="shared" si="29"/>
        <v>0</v>
      </c>
      <c r="BC32" s="190">
        <f t="shared" si="29"/>
        <v>0</v>
      </c>
      <c r="BD32" s="190">
        <f t="shared" si="29"/>
        <v>0</v>
      </c>
      <c r="BE32" s="190">
        <f t="shared" si="29"/>
        <v>0</v>
      </c>
      <c r="BF32" s="190">
        <f t="shared" si="29"/>
        <v>0</v>
      </c>
      <c r="BG32" s="190">
        <f t="shared" si="29"/>
        <v>0</v>
      </c>
      <c r="BH32" s="190">
        <f t="shared" si="29"/>
        <v>0</v>
      </c>
      <c r="BI32" s="190">
        <f t="shared" si="29"/>
        <v>0</v>
      </c>
      <c r="BJ32" s="190">
        <f t="shared" si="29"/>
        <v>0</v>
      </c>
      <c r="BK32" s="190">
        <f t="shared" si="29"/>
        <v>0</v>
      </c>
      <c r="BL32" s="190">
        <f t="shared" si="29"/>
        <v>0</v>
      </c>
      <c r="BM32" s="190">
        <f t="shared" si="28"/>
        <v>0</v>
      </c>
      <c r="BN32" s="190"/>
      <c r="BO32" s="170">
        <f t="shared" si="2"/>
        <v>0</v>
      </c>
      <c r="BP32" s="71">
        <f t="shared" si="3"/>
        <v>0</v>
      </c>
      <c r="BQ32" s="112">
        <f t="shared" si="4"/>
        <v>0</v>
      </c>
      <c r="BR32" s="112">
        <f t="shared" si="4"/>
        <v>0</v>
      </c>
      <c r="BS32" s="112">
        <f t="shared" si="5"/>
        <v>0</v>
      </c>
      <c r="BT32" s="112">
        <f t="shared" si="6"/>
        <v>0</v>
      </c>
      <c r="BU32" s="112">
        <f t="shared" si="7"/>
        <v>0</v>
      </c>
      <c r="BV32" s="112">
        <f t="shared" si="8"/>
        <v>0</v>
      </c>
      <c r="BW32" s="112">
        <f t="shared" si="9"/>
        <v>0</v>
      </c>
      <c r="BX32" s="112">
        <f t="shared" si="10"/>
        <v>0</v>
      </c>
      <c r="BY32" s="71">
        <f t="shared" si="11"/>
        <v>0</v>
      </c>
      <c r="BZ32" s="113">
        <f t="shared" si="12"/>
        <v>0</v>
      </c>
      <c r="CA32" s="71"/>
      <c r="CB32" s="71"/>
      <c r="CC32" s="71">
        <f t="shared" si="13"/>
        <v>0</v>
      </c>
      <c r="CD32" s="71">
        <f t="shared" si="14"/>
        <v>0</v>
      </c>
      <c r="CE32" s="71">
        <f t="shared" si="15"/>
        <v>0</v>
      </c>
      <c r="CF32" s="71">
        <f t="shared" si="16"/>
        <v>0</v>
      </c>
      <c r="CG32" s="71">
        <f t="shared" si="17"/>
        <v>0</v>
      </c>
      <c r="CH32" s="166">
        <f t="shared" si="18"/>
        <v>0</v>
      </c>
      <c r="CI32" s="263">
        <f t="shared" si="19"/>
        <v>0</v>
      </c>
      <c r="CJ32" s="77"/>
      <c r="CK32" s="73"/>
      <c r="CL32" s="172"/>
      <c r="CM32" s="177"/>
      <c r="CN32" s="173"/>
      <c r="CO32" s="178"/>
      <c r="CP32" s="195"/>
      <c r="CQ32" s="179"/>
      <c r="CR32" s="140"/>
      <c r="CS32" s="52"/>
      <c r="CT32" s="309" t="str">
        <f t="shared" si="1"/>
        <v xml:space="preserve">MANUEL CONTRERAS </v>
      </c>
      <c r="CU32" s="293" t="e">
        <f>+'SEMANA DEL 2 AL 7-3-26'!#REF!</f>
        <v>#REF!</v>
      </c>
      <c r="CV32" s="293">
        <f t="shared" si="20"/>
        <v>0</v>
      </c>
      <c r="CW32" s="293">
        <f t="shared" si="21"/>
        <v>0</v>
      </c>
      <c r="CX32" s="293"/>
      <c r="CY32" s="293">
        <f t="shared" si="22"/>
        <v>0</v>
      </c>
      <c r="CZ32" s="307"/>
      <c r="DA32" s="307"/>
      <c r="DB32" s="304">
        <f t="shared" si="23"/>
        <v>0</v>
      </c>
      <c r="DC32" s="169">
        <f t="shared" si="24"/>
        <v>0</v>
      </c>
      <c r="DD32" s="319">
        <f t="shared" si="25"/>
        <v>0</v>
      </c>
    </row>
    <row r="33" spans="1:110" ht="18.95" customHeight="1" x14ac:dyDescent="0.25">
      <c r="A33" s="50" t="str">
        <f>+'SEMANA DEL 14 AL 21 '!A29</f>
        <v xml:space="preserve">MARIA MEDINA </v>
      </c>
      <c r="B33" s="284">
        <f>+'SEMANA DEL 21AL 28-3'!AX30</f>
        <v>10</v>
      </c>
      <c r="C33" s="284">
        <f>+'SEMANA DEL 21AL 28-3'!AY30</f>
        <v>18</v>
      </c>
      <c r="D33" s="284">
        <f>+'SEMANA DEL 21AL 28-3'!AZ30</f>
        <v>70</v>
      </c>
      <c r="E33" s="284">
        <f>+'SEMANA DEL 21AL 28-3'!BA30</f>
        <v>8</v>
      </c>
      <c r="F33" s="284">
        <f>+'SEMANA DEL 21AL 28-3'!BB30</f>
        <v>0</v>
      </c>
      <c r="G33" s="284">
        <f>+'SEMANA DEL 21AL 28-3'!BC30</f>
        <v>0</v>
      </c>
      <c r="H33" s="284">
        <f>+'SEMANA DEL 21AL 28-3'!BD30</f>
        <v>0</v>
      </c>
      <c r="I33" s="284">
        <f>+'SEMANA DEL 21AL 28-3'!BE30</f>
        <v>2</v>
      </c>
      <c r="J33" s="284">
        <f>+'SEMANA DEL 21AL 28-3'!BF30</f>
        <v>0</v>
      </c>
      <c r="K33" s="284">
        <f>+'SEMANA DEL 21AL 28-3'!BG30</f>
        <v>0</v>
      </c>
      <c r="L33" s="284">
        <f>+'SEMANA DEL 21AL 28-3'!BH30</f>
        <v>0</v>
      </c>
      <c r="M33" s="284">
        <f>+'SEMANA DEL 21AL 28-3'!BI30</f>
        <v>0</v>
      </c>
      <c r="N33" s="284">
        <f>+'SEMANA DEL 21AL 28-3'!BJ30</f>
        <v>0</v>
      </c>
      <c r="O33" s="284">
        <f>+'SEMANA DEL 21AL 28-3'!BK30</f>
        <v>0</v>
      </c>
      <c r="P33" s="284">
        <f>+'SEMANA DEL 21AL 28-3'!BL30</f>
        <v>0</v>
      </c>
      <c r="Q33" s="284">
        <f>+'SEMANA DEL 21AL 28-3'!BM30</f>
        <v>0</v>
      </c>
      <c r="R33" s="289"/>
      <c r="S33" s="289"/>
      <c r="T33" s="289"/>
      <c r="U33" s="289"/>
      <c r="V33" s="289"/>
      <c r="W33" s="289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289"/>
      <c r="AI33" s="289"/>
      <c r="AJ33" s="289"/>
      <c r="AK33" s="289"/>
      <c r="AL33" s="289"/>
      <c r="AM33" s="289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>
        <f t="shared" si="29"/>
        <v>10</v>
      </c>
      <c r="AY33" s="190">
        <f t="shared" si="29"/>
        <v>18</v>
      </c>
      <c r="AZ33" s="190">
        <f t="shared" si="29"/>
        <v>70</v>
      </c>
      <c r="BA33" s="190">
        <f t="shared" si="29"/>
        <v>8</v>
      </c>
      <c r="BB33" s="190">
        <f t="shared" si="29"/>
        <v>0</v>
      </c>
      <c r="BC33" s="190">
        <f t="shared" si="29"/>
        <v>0</v>
      </c>
      <c r="BD33" s="190">
        <f t="shared" si="29"/>
        <v>0</v>
      </c>
      <c r="BE33" s="190">
        <f t="shared" si="29"/>
        <v>2</v>
      </c>
      <c r="BF33" s="190">
        <f t="shared" si="29"/>
        <v>0</v>
      </c>
      <c r="BG33" s="190">
        <f t="shared" si="29"/>
        <v>0</v>
      </c>
      <c r="BH33" s="190">
        <f t="shared" si="29"/>
        <v>0</v>
      </c>
      <c r="BI33" s="190">
        <f t="shared" si="29"/>
        <v>0</v>
      </c>
      <c r="BJ33" s="190">
        <f t="shared" si="29"/>
        <v>0</v>
      </c>
      <c r="BK33" s="190">
        <f t="shared" si="29"/>
        <v>0</v>
      </c>
      <c r="BL33" s="190">
        <f t="shared" si="29"/>
        <v>0</v>
      </c>
      <c r="BM33" s="190">
        <f t="shared" si="28"/>
        <v>0</v>
      </c>
      <c r="BN33" s="190"/>
      <c r="BO33" s="170">
        <f t="shared" si="2"/>
        <v>0</v>
      </c>
      <c r="BP33" s="71">
        <f t="shared" si="3"/>
        <v>0</v>
      </c>
      <c r="BQ33" s="112">
        <f t="shared" si="4"/>
        <v>0</v>
      </c>
      <c r="BR33" s="112">
        <f t="shared" si="4"/>
        <v>0</v>
      </c>
      <c r="BS33" s="112">
        <f t="shared" si="5"/>
        <v>0</v>
      </c>
      <c r="BT33" s="112">
        <f t="shared" si="6"/>
        <v>0</v>
      </c>
      <c r="BU33" s="112">
        <f t="shared" si="7"/>
        <v>0</v>
      </c>
      <c r="BV33" s="112">
        <f t="shared" si="8"/>
        <v>0</v>
      </c>
      <c r="BW33" s="112">
        <f t="shared" si="9"/>
        <v>0</v>
      </c>
      <c r="BX33" s="112">
        <f t="shared" si="10"/>
        <v>0</v>
      </c>
      <c r="BY33" s="71">
        <f t="shared" si="11"/>
        <v>0</v>
      </c>
      <c r="BZ33" s="113">
        <f t="shared" si="12"/>
        <v>0</v>
      </c>
      <c r="CA33" s="71"/>
      <c r="CB33" s="71"/>
      <c r="CC33" s="71">
        <f t="shared" si="13"/>
        <v>0</v>
      </c>
      <c r="CD33" s="71">
        <f t="shared" si="14"/>
        <v>0</v>
      </c>
      <c r="CE33" s="71">
        <f t="shared" si="15"/>
        <v>0</v>
      </c>
      <c r="CF33" s="71">
        <f t="shared" si="16"/>
        <v>0</v>
      </c>
      <c r="CG33" s="71">
        <f t="shared" si="17"/>
        <v>0</v>
      </c>
      <c r="CH33" s="166">
        <f t="shared" si="18"/>
        <v>0</v>
      </c>
      <c r="CI33" s="263">
        <f t="shared" si="19"/>
        <v>0</v>
      </c>
      <c r="CJ33" s="77"/>
      <c r="CK33" s="73"/>
      <c r="CL33" s="172"/>
      <c r="CM33" s="177"/>
      <c r="CN33" s="173"/>
      <c r="CO33" s="178"/>
      <c r="CP33" s="195"/>
      <c r="CQ33" s="179"/>
      <c r="CR33" s="140"/>
      <c r="CS33" s="52"/>
      <c r="CT33" s="309" t="str">
        <f t="shared" si="1"/>
        <v xml:space="preserve">MARIA MEDINA </v>
      </c>
      <c r="CU33" s="293"/>
      <c r="CV33" s="293">
        <f t="shared" si="20"/>
        <v>0</v>
      </c>
      <c r="CW33" s="293">
        <f t="shared" si="21"/>
        <v>0</v>
      </c>
      <c r="CX33" s="293"/>
      <c r="CY33" s="293">
        <f t="shared" si="22"/>
        <v>0</v>
      </c>
      <c r="CZ33" s="307"/>
      <c r="DA33" s="307"/>
      <c r="DB33" s="304">
        <f t="shared" si="23"/>
        <v>0</v>
      </c>
      <c r="DC33" s="169">
        <f t="shared" si="24"/>
        <v>0</v>
      </c>
      <c r="DD33" s="319">
        <f t="shared" si="25"/>
        <v>0</v>
      </c>
    </row>
    <row r="34" spans="1:110" ht="18.95" customHeight="1" x14ac:dyDescent="0.25">
      <c r="A34" s="50" t="str">
        <f>+'SEMANA DEL 14 AL 21 '!A30</f>
        <v xml:space="preserve">PETTER BENAVIDES </v>
      </c>
      <c r="B34" s="284">
        <f>+'SEMANA DEL 21AL 28-3'!AX31</f>
        <v>0</v>
      </c>
      <c r="C34" s="284">
        <f>+'SEMANA DEL 21AL 28-3'!AY31</f>
        <v>0</v>
      </c>
      <c r="D34" s="284">
        <f>+'SEMANA DEL 21AL 28-3'!AZ31</f>
        <v>0</v>
      </c>
      <c r="E34" s="284">
        <f>+'SEMANA DEL 21AL 28-3'!BA31</f>
        <v>0</v>
      </c>
      <c r="F34" s="284">
        <f>+'SEMANA DEL 21AL 28-3'!BB31</f>
        <v>0</v>
      </c>
      <c r="G34" s="284">
        <f>+'SEMANA DEL 21AL 28-3'!BC31</f>
        <v>0</v>
      </c>
      <c r="H34" s="284">
        <f>+'SEMANA DEL 21AL 28-3'!BD31</f>
        <v>0</v>
      </c>
      <c r="I34" s="284">
        <f>+'SEMANA DEL 21AL 28-3'!BE31</f>
        <v>0</v>
      </c>
      <c r="J34" s="284">
        <f>+'SEMANA DEL 21AL 28-3'!BF31</f>
        <v>0</v>
      </c>
      <c r="K34" s="284">
        <f>+'SEMANA DEL 21AL 28-3'!BG31</f>
        <v>0</v>
      </c>
      <c r="L34" s="284">
        <f>+'SEMANA DEL 21AL 28-3'!BH31</f>
        <v>0</v>
      </c>
      <c r="M34" s="284">
        <f>+'SEMANA DEL 21AL 28-3'!BI31</f>
        <v>0</v>
      </c>
      <c r="N34" s="284">
        <f>+'SEMANA DEL 21AL 28-3'!BJ31</f>
        <v>0</v>
      </c>
      <c r="O34" s="284">
        <f>+'SEMANA DEL 21AL 28-3'!BK31</f>
        <v>0</v>
      </c>
      <c r="P34" s="284">
        <f>+'SEMANA DEL 21AL 28-3'!BL31</f>
        <v>0</v>
      </c>
      <c r="Q34" s="284">
        <f>+'SEMANA DEL 21AL 28-3'!BM31</f>
        <v>0</v>
      </c>
      <c r="R34" s="289"/>
      <c r="S34" s="289"/>
      <c r="T34" s="289"/>
      <c r="U34" s="289"/>
      <c r="V34" s="289"/>
      <c r="W34" s="289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289"/>
      <c r="AI34" s="289"/>
      <c r="AJ34" s="289"/>
      <c r="AK34" s="289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>
        <f t="shared" si="29"/>
        <v>0</v>
      </c>
      <c r="AY34" s="190">
        <f t="shared" si="29"/>
        <v>0</v>
      </c>
      <c r="AZ34" s="190">
        <f t="shared" si="29"/>
        <v>0</v>
      </c>
      <c r="BA34" s="190">
        <f t="shared" si="29"/>
        <v>0</v>
      </c>
      <c r="BB34" s="190">
        <f t="shared" si="29"/>
        <v>0</v>
      </c>
      <c r="BC34" s="190">
        <f t="shared" si="29"/>
        <v>0</v>
      </c>
      <c r="BD34" s="190">
        <f t="shared" si="29"/>
        <v>0</v>
      </c>
      <c r="BE34" s="190">
        <f t="shared" si="29"/>
        <v>0</v>
      </c>
      <c r="BF34" s="190">
        <f t="shared" si="29"/>
        <v>0</v>
      </c>
      <c r="BG34" s="190">
        <f t="shared" si="29"/>
        <v>0</v>
      </c>
      <c r="BH34" s="190">
        <f t="shared" si="29"/>
        <v>0</v>
      </c>
      <c r="BI34" s="190">
        <f t="shared" si="29"/>
        <v>0</v>
      </c>
      <c r="BJ34" s="190">
        <f t="shared" si="29"/>
        <v>0</v>
      </c>
      <c r="BK34" s="190">
        <f t="shared" si="29"/>
        <v>0</v>
      </c>
      <c r="BL34" s="190">
        <f t="shared" si="29"/>
        <v>0</v>
      </c>
      <c r="BM34" s="190">
        <f t="shared" si="28"/>
        <v>0</v>
      </c>
      <c r="BN34" s="190"/>
      <c r="BO34" s="170">
        <f t="shared" si="2"/>
        <v>0</v>
      </c>
      <c r="BP34" s="71">
        <f t="shared" si="3"/>
        <v>0</v>
      </c>
      <c r="BQ34" s="112">
        <f t="shared" si="4"/>
        <v>0</v>
      </c>
      <c r="BR34" s="112">
        <f t="shared" si="4"/>
        <v>0</v>
      </c>
      <c r="BS34" s="112">
        <f t="shared" si="5"/>
        <v>0</v>
      </c>
      <c r="BT34" s="112">
        <f t="shared" si="6"/>
        <v>0</v>
      </c>
      <c r="BU34" s="112">
        <f t="shared" si="7"/>
        <v>0</v>
      </c>
      <c r="BV34" s="112">
        <f t="shared" si="8"/>
        <v>0</v>
      </c>
      <c r="BW34" s="112">
        <f t="shared" si="9"/>
        <v>0</v>
      </c>
      <c r="BX34" s="112">
        <f t="shared" si="10"/>
        <v>0</v>
      </c>
      <c r="BY34" s="71">
        <f t="shared" si="11"/>
        <v>0</v>
      </c>
      <c r="BZ34" s="113">
        <f t="shared" si="12"/>
        <v>0</v>
      </c>
      <c r="CA34" s="71"/>
      <c r="CB34" s="71"/>
      <c r="CC34" s="71">
        <f t="shared" si="13"/>
        <v>0</v>
      </c>
      <c r="CD34" s="71">
        <f t="shared" si="14"/>
        <v>0</v>
      </c>
      <c r="CE34" s="71">
        <f t="shared" si="15"/>
        <v>0</v>
      </c>
      <c r="CF34" s="71">
        <f t="shared" si="16"/>
        <v>0</v>
      </c>
      <c r="CG34" s="71">
        <f t="shared" si="17"/>
        <v>0</v>
      </c>
      <c r="CH34" s="166">
        <f t="shared" si="18"/>
        <v>0</v>
      </c>
      <c r="CI34" s="263">
        <f t="shared" si="19"/>
        <v>0</v>
      </c>
      <c r="CJ34" s="77"/>
      <c r="CK34" s="73"/>
      <c r="CL34" s="172"/>
      <c r="CM34" s="177"/>
      <c r="CN34" s="173"/>
      <c r="CO34" s="178"/>
      <c r="CP34" s="195"/>
      <c r="CQ34" s="179"/>
      <c r="CR34" s="140"/>
      <c r="CS34" s="52"/>
      <c r="CT34" s="309" t="str">
        <f t="shared" si="1"/>
        <v xml:space="preserve">PETTER BENAVIDES </v>
      </c>
      <c r="CU34" s="293" t="str">
        <f>+'SEMANA DEL 2 AL 7-3-26'!CS31</f>
        <v>V-5.327.891</v>
      </c>
      <c r="CV34" s="293">
        <f t="shared" si="20"/>
        <v>0</v>
      </c>
      <c r="CW34" s="293">
        <f t="shared" si="21"/>
        <v>0</v>
      </c>
      <c r="CX34" s="293"/>
      <c r="CY34" s="293">
        <f t="shared" si="22"/>
        <v>0</v>
      </c>
      <c r="CZ34" s="307"/>
      <c r="DA34" s="307"/>
      <c r="DB34" s="304">
        <f t="shared" si="23"/>
        <v>0</v>
      </c>
      <c r="DC34" s="169">
        <f t="shared" si="24"/>
        <v>0</v>
      </c>
      <c r="DD34" s="319">
        <f t="shared" si="25"/>
        <v>0</v>
      </c>
    </row>
    <row r="35" spans="1:110" ht="18.95" customHeight="1" x14ac:dyDescent="0.25">
      <c r="A35" s="50" t="str">
        <f>+'SEMANA DEL 14 AL 21 '!A31</f>
        <v xml:space="preserve">RAMON PARRA </v>
      </c>
      <c r="B35" s="284">
        <f>+'SEMANA DEL 21AL 28-3'!AX32</f>
        <v>1</v>
      </c>
      <c r="C35" s="284">
        <f>+'SEMANA DEL 21AL 28-3'!AY32</f>
        <v>1.8099999999999996</v>
      </c>
      <c r="D35" s="284">
        <f>+'SEMANA DEL 21AL 28-3'!AZ32</f>
        <v>6.9500000000000028</v>
      </c>
      <c r="E35" s="284">
        <f>+'SEMANA DEL 21AL 28-3'!BA32</f>
        <v>0</v>
      </c>
      <c r="F35" s="284">
        <f>+'SEMANA DEL 21AL 28-3'!BB32</f>
        <v>0</v>
      </c>
      <c r="G35" s="284">
        <f>+'SEMANA DEL 21AL 28-3'!BC32</f>
        <v>0</v>
      </c>
      <c r="H35" s="284">
        <f>+'SEMANA DEL 21AL 28-3'!BD32</f>
        <v>0</v>
      </c>
      <c r="I35" s="284">
        <f>+'SEMANA DEL 21AL 28-3'!BE32</f>
        <v>0</v>
      </c>
      <c r="J35" s="284">
        <f>+'SEMANA DEL 21AL 28-3'!BF32</f>
        <v>0</v>
      </c>
      <c r="K35" s="284">
        <f>+'SEMANA DEL 21AL 28-3'!BG32</f>
        <v>0</v>
      </c>
      <c r="L35" s="284">
        <f>+'SEMANA DEL 21AL 28-3'!BH32</f>
        <v>0</v>
      </c>
      <c r="M35" s="284">
        <f>+'SEMANA DEL 21AL 28-3'!BI32</f>
        <v>0</v>
      </c>
      <c r="N35" s="284">
        <f>+'SEMANA DEL 21AL 28-3'!BJ32</f>
        <v>0</v>
      </c>
      <c r="O35" s="284">
        <f>+'SEMANA DEL 21AL 28-3'!BK32</f>
        <v>0</v>
      </c>
      <c r="P35" s="284">
        <f>+'SEMANA DEL 21AL 28-3'!BL32</f>
        <v>0</v>
      </c>
      <c r="Q35" s="284">
        <f>+'SEMANA DEL 21AL 28-3'!BM32</f>
        <v>0</v>
      </c>
      <c r="R35" s="289"/>
      <c r="S35" s="289"/>
      <c r="T35" s="289"/>
      <c r="U35" s="289"/>
      <c r="V35" s="289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289"/>
      <c r="AI35" s="289"/>
      <c r="AJ35" s="289"/>
      <c r="AK35" s="289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>
        <f t="shared" si="29"/>
        <v>1</v>
      </c>
      <c r="AY35" s="190">
        <f t="shared" si="29"/>
        <v>1.8099999999999996</v>
      </c>
      <c r="AZ35" s="190">
        <f t="shared" si="29"/>
        <v>6.9500000000000028</v>
      </c>
      <c r="BA35" s="190">
        <f t="shared" si="29"/>
        <v>0</v>
      </c>
      <c r="BB35" s="190">
        <f t="shared" si="29"/>
        <v>0</v>
      </c>
      <c r="BC35" s="190">
        <f t="shared" si="29"/>
        <v>0</v>
      </c>
      <c r="BD35" s="190">
        <f t="shared" si="29"/>
        <v>0</v>
      </c>
      <c r="BE35" s="190">
        <f t="shared" si="29"/>
        <v>0</v>
      </c>
      <c r="BF35" s="190">
        <f t="shared" si="29"/>
        <v>0</v>
      </c>
      <c r="BG35" s="190">
        <f t="shared" si="29"/>
        <v>0</v>
      </c>
      <c r="BH35" s="190">
        <f t="shared" si="29"/>
        <v>0</v>
      </c>
      <c r="BI35" s="190">
        <f t="shared" si="29"/>
        <v>0</v>
      </c>
      <c r="BJ35" s="190">
        <f t="shared" si="29"/>
        <v>0</v>
      </c>
      <c r="BK35" s="190">
        <f t="shared" si="29"/>
        <v>0</v>
      </c>
      <c r="BL35" s="190">
        <f t="shared" si="29"/>
        <v>0</v>
      </c>
      <c r="BM35" s="190">
        <f t="shared" si="28"/>
        <v>0</v>
      </c>
      <c r="BN35" s="190"/>
      <c r="BO35" s="170">
        <f t="shared" si="2"/>
        <v>0</v>
      </c>
      <c r="BP35" s="71">
        <f t="shared" si="3"/>
        <v>0</v>
      </c>
      <c r="BQ35" s="112">
        <f t="shared" si="4"/>
        <v>0</v>
      </c>
      <c r="BR35" s="112">
        <f t="shared" si="4"/>
        <v>0</v>
      </c>
      <c r="BS35" s="112">
        <f t="shared" si="5"/>
        <v>0</v>
      </c>
      <c r="BT35" s="112">
        <f t="shared" si="6"/>
        <v>0</v>
      </c>
      <c r="BU35" s="112">
        <f t="shared" si="7"/>
        <v>0</v>
      </c>
      <c r="BV35" s="112">
        <f t="shared" si="8"/>
        <v>0</v>
      </c>
      <c r="BW35" s="112">
        <f t="shared" si="9"/>
        <v>0</v>
      </c>
      <c r="BX35" s="112">
        <f t="shared" si="10"/>
        <v>0</v>
      </c>
      <c r="BY35" s="71">
        <f t="shared" si="11"/>
        <v>0</v>
      </c>
      <c r="BZ35" s="113">
        <f t="shared" si="12"/>
        <v>0</v>
      </c>
      <c r="CA35" s="71"/>
      <c r="CB35" s="71"/>
      <c r="CC35" s="71">
        <f t="shared" si="13"/>
        <v>0</v>
      </c>
      <c r="CD35" s="71">
        <f t="shared" si="14"/>
        <v>0</v>
      </c>
      <c r="CE35" s="71">
        <f t="shared" si="15"/>
        <v>0</v>
      </c>
      <c r="CF35" s="71">
        <f t="shared" si="16"/>
        <v>0</v>
      </c>
      <c r="CG35" s="71">
        <f t="shared" si="17"/>
        <v>0</v>
      </c>
      <c r="CH35" s="166">
        <f t="shared" si="18"/>
        <v>0</v>
      </c>
      <c r="CI35" s="263">
        <f t="shared" si="19"/>
        <v>0</v>
      </c>
      <c r="CJ35" s="77"/>
      <c r="CK35" s="73"/>
      <c r="CL35" s="172" t="s">
        <v>114</v>
      </c>
      <c r="CM35" s="177" t="e">
        <f>+'SEMANA DEL 14 AL 21 '!#REF!</f>
        <v>#REF!</v>
      </c>
      <c r="CN35" s="173" t="e">
        <f>+#REF!</f>
        <v>#REF!</v>
      </c>
      <c r="CO35" s="178" t="e">
        <f>+CM35+CN35</f>
        <v>#REF!</v>
      </c>
      <c r="CP35" s="195">
        <f>+AM50</f>
        <v>0</v>
      </c>
      <c r="CQ35" s="179" t="e">
        <f>CO35-CP35</f>
        <v>#REF!</v>
      </c>
      <c r="CR35" s="140"/>
      <c r="CS35" s="52"/>
      <c r="CT35" s="309" t="str">
        <f t="shared" si="1"/>
        <v xml:space="preserve">RAMON PARRA </v>
      </c>
      <c r="CU35" s="293" t="str">
        <f>+'SEMANA DEL 2 AL 7-3-26'!CS32</f>
        <v>V-18.718.244</v>
      </c>
      <c r="CV35" s="293">
        <f t="shared" si="20"/>
        <v>0</v>
      </c>
      <c r="CW35" s="293">
        <f t="shared" si="21"/>
        <v>0</v>
      </c>
      <c r="CX35" s="293"/>
      <c r="CY35" s="293">
        <f t="shared" si="22"/>
        <v>0</v>
      </c>
      <c r="CZ35" s="307"/>
      <c r="DA35" s="307"/>
      <c r="DB35" s="304">
        <f t="shared" si="23"/>
        <v>0</v>
      </c>
      <c r="DC35" s="169">
        <f t="shared" si="24"/>
        <v>0</v>
      </c>
      <c r="DD35" s="319">
        <f t="shared" si="25"/>
        <v>0</v>
      </c>
    </row>
    <row r="36" spans="1:110" ht="18.95" customHeight="1" x14ac:dyDescent="0.25">
      <c r="A36" s="50" t="str">
        <f>+'SEMANA DEL 14 AL 21 '!A35</f>
        <v xml:space="preserve">ROSMIRA DURAN </v>
      </c>
      <c r="B36" s="284">
        <f>+'SEMANA DEL 21AL 28-3'!AX34</f>
        <v>11</v>
      </c>
      <c r="C36" s="284">
        <f>+'SEMANA DEL 21AL 28-3'!AY34</f>
        <v>20.36</v>
      </c>
      <c r="D36" s="284">
        <f>+'SEMANA DEL 21AL 28-3'!AZ34</f>
        <v>76.99799999999999</v>
      </c>
      <c r="E36" s="284">
        <f>+'SEMANA DEL 21AL 28-3'!BA34</f>
        <v>9</v>
      </c>
      <c r="F36" s="284">
        <f>+'SEMANA DEL 21AL 28-3'!BB34</f>
        <v>0</v>
      </c>
      <c r="G36" s="284">
        <f>+'SEMANA DEL 21AL 28-3'!BC34</f>
        <v>0</v>
      </c>
      <c r="H36" s="284">
        <f>+'SEMANA DEL 21AL 28-3'!BD34</f>
        <v>0</v>
      </c>
      <c r="I36" s="284">
        <f>+'SEMANA DEL 21AL 28-3'!BE34</f>
        <v>2</v>
      </c>
      <c r="J36" s="284">
        <f>+'SEMANA DEL 21AL 28-3'!BF34</f>
        <v>0</v>
      </c>
      <c r="K36" s="284">
        <f>+'SEMANA DEL 21AL 28-3'!BG34</f>
        <v>0</v>
      </c>
      <c r="L36" s="284">
        <f>+'SEMANA DEL 21AL 28-3'!BH34</f>
        <v>0</v>
      </c>
      <c r="M36" s="284">
        <f>+'SEMANA DEL 21AL 28-3'!BI34</f>
        <v>0</v>
      </c>
      <c r="N36" s="284">
        <f>+'SEMANA DEL 21AL 28-3'!BJ34</f>
        <v>0</v>
      </c>
      <c r="O36" s="284">
        <f>+'SEMANA DEL 21AL 28-3'!BK34</f>
        <v>0</v>
      </c>
      <c r="P36" s="284">
        <f>+'SEMANA DEL 21AL 28-3'!BL34</f>
        <v>0</v>
      </c>
      <c r="Q36" s="284">
        <f>+'SEMANA DEL 21AL 28-3'!BM34</f>
        <v>0</v>
      </c>
      <c r="R36" s="289"/>
      <c r="S36" s="289"/>
      <c r="T36" s="289"/>
      <c r="U36" s="289"/>
      <c r="V36" s="289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>
        <f t="shared" si="29"/>
        <v>11</v>
      </c>
      <c r="AY36" s="190">
        <f t="shared" si="29"/>
        <v>20.36</v>
      </c>
      <c r="AZ36" s="190">
        <f t="shared" si="29"/>
        <v>76.99799999999999</v>
      </c>
      <c r="BA36" s="190">
        <f t="shared" si="29"/>
        <v>9</v>
      </c>
      <c r="BB36" s="190">
        <f t="shared" si="29"/>
        <v>0</v>
      </c>
      <c r="BC36" s="190">
        <f t="shared" si="29"/>
        <v>0</v>
      </c>
      <c r="BD36" s="190">
        <f t="shared" si="29"/>
        <v>0</v>
      </c>
      <c r="BE36" s="190">
        <f t="shared" si="29"/>
        <v>2</v>
      </c>
      <c r="BF36" s="190">
        <f t="shared" si="29"/>
        <v>0</v>
      </c>
      <c r="BG36" s="190">
        <f t="shared" si="29"/>
        <v>0</v>
      </c>
      <c r="BH36" s="190">
        <f t="shared" si="29"/>
        <v>0</v>
      </c>
      <c r="BI36" s="190">
        <f t="shared" si="29"/>
        <v>0</v>
      </c>
      <c r="BJ36" s="190">
        <f t="shared" si="29"/>
        <v>0</v>
      </c>
      <c r="BK36" s="190">
        <f t="shared" si="29"/>
        <v>0</v>
      </c>
      <c r="BL36" s="190">
        <f t="shared" si="29"/>
        <v>0</v>
      </c>
      <c r="BM36" s="190">
        <f t="shared" si="28"/>
        <v>0</v>
      </c>
      <c r="BN36" s="190"/>
      <c r="BO36" s="170">
        <f t="shared" si="2"/>
        <v>0</v>
      </c>
      <c r="BP36" s="71">
        <f t="shared" si="3"/>
        <v>0</v>
      </c>
      <c r="BQ36" s="112">
        <f t="shared" si="4"/>
        <v>0</v>
      </c>
      <c r="BR36" s="112">
        <f t="shared" si="4"/>
        <v>0</v>
      </c>
      <c r="BS36" s="112">
        <f t="shared" si="5"/>
        <v>0</v>
      </c>
      <c r="BT36" s="112">
        <f t="shared" si="6"/>
        <v>0</v>
      </c>
      <c r="BU36" s="112">
        <f t="shared" si="7"/>
        <v>0</v>
      </c>
      <c r="BV36" s="112">
        <f t="shared" si="8"/>
        <v>0</v>
      </c>
      <c r="BW36" s="112">
        <f t="shared" si="9"/>
        <v>0</v>
      </c>
      <c r="BX36" s="112">
        <f t="shared" si="10"/>
        <v>0</v>
      </c>
      <c r="BY36" s="71">
        <f t="shared" si="11"/>
        <v>0</v>
      </c>
      <c r="BZ36" s="113">
        <f t="shared" si="12"/>
        <v>0</v>
      </c>
      <c r="CA36" s="71"/>
      <c r="CB36" s="71"/>
      <c r="CC36" s="71">
        <f t="shared" si="13"/>
        <v>0</v>
      </c>
      <c r="CD36" s="71">
        <f t="shared" si="14"/>
        <v>0</v>
      </c>
      <c r="CE36" s="71">
        <f t="shared" si="15"/>
        <v>0</v>
      </c>
      <c r="CF36" s="71">
        <f t="shared" si="16"/>
        <v>0</v>
      </c>
      <c r="CG36" s="71">
        <f t="shared" si="17"/>
        <v>0</v>
      </c>
      <c r="CH36" s="166">
        <f t="shared" si="18"/>
        <v>0</v>
      </c>
      <c r="CI36" s="263">
        <f t="shared" si="19"/>
        <v>0</v>
      </c>
      <c r="CJ36" s="77"/>
      <c r="CK36" s="73"/>
      <c r="CL36" s="172"/>
      <c r="CM36" s="177" t="e">
        <f>+'SEMANA DEL 14 AL 21 '!CP31</f>
        <v>#REF!</v>
      </c>
      <c r="CN36" s="173"/>
      <c r="CO36" s="178"/>
      <c r="CP36" s="195">
        <f>+AM51</f>
        <v>0</v>
      </c>
      <c r="CQ36" s="179"/>
      <c r="CR36" s="140"/>
      <c r="CS36" s="52"/>
      <c r="CT36" s="309" t="str">
        <f t="shared" si="1"/>
        <v xml:space="preserve">ROSMIRA DURAN </v>
      </c>
      <c r="CU36" s="293" t="str">
        <f>+'SEMANA DEL 2 AL 7-3-26'!CS33</f>
        <v>V-21.033.815</v>
      </c>
      <c r="CV36" s="293">
        <f t="shared" si="20"/>
        <v>0</v>
      </c>
      <c r="CW36" s="293">
        <f t="shared" si="21"/>
        <v>0</v>
      </c>
      <c r="CX36" s="293"/>
      <c r="CY36" s="293">
        <f t="shared" si="22"/>
        <v>0</v>
      </c>
      <c r="CZ36" s="307"/>
      <c r="DA36" s="307"/>
      <c r="DB36" s="304">
        <f t="shared" si="23"/>
        <v>0</v>
      </c>
      <c r="DC36" s="169">
        <f t="shared" si="24"/>
        <v>0</v>
      </c>
      <c r="DD36" s="319">
        <f t="shared" si="25"/>
        <v>0</v>
      </c>
    </row>
    <row r="37" spans="1:110" ht="18.95" customHeight="1" x14ac:dyDescent="0.25">
      <c r="A37" s="50" t="str">
        <f>+'SEMANA DEL 14 AL 21 '!A36</f>
        <v xml:space="preserve">ROSALBA MATAGIRA </v>
      </c>
      <c r="B37" s="284">
        <f>+'SEMANA DEL 21AL 28-3'!AX35</f>
        <v>4.9960000000000004</v>
      </c>
      <c r="C37" s="284">
        <f>+'SEMANA DEL 21AL 28-3'!AY35</f>
        <v>9</v>
      </c>
      <c r="D37" s="284">
        <f>+'SEMANA DEL 21AL 28-3'!AZ35</f>
        <v>35</v>
      </c>
      <c r="E37" s="284">
        <f>+'SEMANA DEL 21AL 28-3'!BA35</f>
        <v>4</v>
      </c>
      <c r="F37" s="284">
        <f>+'SEMANA DEL 21AL 28-3'!BB35</f>
        <v>0</v>
      </c>
      <c r="G37" s="284">
        <f>+'SEMANA DEL 21AL 28-3'!BC35</f>
        <v>0</v>
      </c>
      <c r="H37" s="284">
        <f>+'SEMANA DEL 21AL 28-3'!BD35</f>
        <v>0</v>
      </c>
      <c r="I37" s="284">
        <f>+'SEMANA DEL 21AL 28-3'!BE35</f>
        <v>1</v>
      </c>
      <c r="J37" s="284">
        <f>+'SEMANA DEL 21AL 28-3'!BF35</f>
        <v>0</v>
      </c>
      <c r="K37" s="284">
        <f>+'SEMANA DEL 21AL 28-3'!BG35</f>
        <v>0</v>
      </c>
      <c r="L37" s="284">
        <f>+'SEMANA DEL 21AL 28-3'!BH35</f>
        <v>0</v>
      </c>
      <c r="M37" s="284">
        <f>+'SEMANA DEL 21AL 28-3'!BI35</f>
        <v>0</v>
      </c>
      <c r="N37" s="284">
        <f>+'SEMANA DEL 21AL 28-3'!BJ35</f>
        <v>0</v>
      </c>
      <c r="O37" s="284">
        <f>+'SEMANA DEL 21AL 28-3'!BK35</f>
        <v>0</v>
      </c>
      <c r="P37" s="284">
        <f>+'SEMANA DEL 21AL 28-3'!BL35</f>
        <v>0</v>
      </c>
      <c r="Q37" s="284">
        <f>+'SEMANA DEL 21AL 28-3'!BM35</f>
        <v>0</v>
      </c>
      <c r="R37" s="289"/>
      <c r="S37" s="289"/>
      <c r="T37" s="289"/>
      <c r="U37" s="289"/>
      <c r="V37" s="289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289"/>
      <c r="AI37" s="289"/>
      <c r="AJ37" s="289"/>
      <c r="AK37" s="289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>
        <f t="shared" si="29"/>
        <v>4.9960000000000004</v>
      </c>
      <c r="AY37" s="190">
        <f t="shared" si="29"/>
        <v>9</v>
      </c>
      <c r="AZ37" s="190">
        <f t="shared" si="29"/>
        <v>35</v>
      </c>
      <c r="BA37" s="190">
        <f t="shared" si="29"/>
        <v>4</v>
      </c>
      <c r="BB37" s="190">
        <f t="shared" si="29"/>
        <v>0</v>
      </c>
      <c r="BC37" s="190">
        <f t="shared" si="29"/>
        <v>0</v>
      </c>
      <c r="BD37" s="190">
        <f t="shared" si="29"/>
        <v>0</v>
      </c>
      <c r="BE37" s="190">
        <f t="shared" si="29"/>
        <v>1</v>
      </c>
      <c r="BF37" s="190">
        <f t="shared" si="29"/>
        <v>0</v>
      </c>
      <c r="BG37" s="190">
        <f t="shared" si="29"/>
        <v>0</v>
      </c>
      <c r="BH37" s="190">
        <f t="shared" si="29"/>
        <v>0</v>
      </c>
      <c r="BI37" s="190">
        <f t="shared" si="29"/>
        <v>0</v>
      </c>
      <c r="BJ37" s="190">
        <f t="shared" si="29"/>
        <v>0</v>
      </c>
      <c r="BK37" s="190">
        <f t="shared" si="29"/>
        <v>0</v>
      </c>
      <c r="BL37" s="190">
        <f t="shared" si="29"/>
        <v>0</v>
      </c>
      <c r="BM37" s="190">
        <f t="shared" si="28"/>
        <v>0</v>
      </c>
      <c r="BN37" s="190"/>
      <c r="BO37" s="170">
        <f t="shared" si="2"/>
        <v>0</v>
      </c>
      <c r="BP37" s="71">
        <f t="shared" si="3"/>
        <v>0</v>
      </c>
      <c r="BQ37" s="112">
        <f t="shared" si="4"/>
        <v>0</v>
      </c>
      <c r="BR37" s="112">
        <f t="shared" si="4"/>
        <v>0</v>
      </c>
      <c r="BS37" s="112">
        <f t="shared" si="5"/>
        <v>0</v>
      </c>
      <c r="BT37" s="112">
        <f t="shared" si="6"/>
        <v>0</v>
      </c>
      <c r="BU37" s="112">
        <f t="shared" si="7"/>
        <v>0</v>
      </c>
      <c r="BV37" s="112">
        <f t="shared" si="8"/>
        <v>0</v>
      </c>
      <c r="BW37" s="112">
        <f t="shared" si="9"/>
        <v>0</v>
      </c>
      <c r="BX37" s="112">
        <f t="shared" si="10"/>
        <v>0</v>
      </c>
      <c r="BY37" s="71">
        <f t="shared" si="11"/>
        <v>0</v>
      </c>
      <c r="BZ37" s="113">
        <f t="shared" si="12"/>
        <v>0</v>
      </c>
      <c r="CA37" s="71"/>
      <c r="CB37" s="71"/>
      <c r="CC37" s="71">
        <f t="shared" si="13"/>
        <v>0</v>
      </c>
      <c r="CD37" s="71">
        <f t="shared" si="14"/>
        <v>0</v>
      </c>
      <c r="CE37" s="71">
        <f t="shared" si="15"/>
        <v>0</v>
      </c>
      <c r="CF37" s="71">
        <f t="shared" si="16"/>
        <v>0</v>
      </c>
      <c r="CG37" s="71">
        <f t="shared" si="17"/>
        <v>0</v>
      </c>
      <c r="CH37" s="166">
        <f t="shared" si="18"/>
        <v>0</v>
      </c>
      <c r="CI37" s="263">
        <f t="shared" si="19"/>
        <v>0</v>
      </c>
      <c r="CJ37" s="77"/>
      <c r="CK37" s="73"/>
      <c r="CL37" s="172"/>
      <c r="CM37" s="177"/>
      <c r="CN37" s="173"/>
      <c r="CO37" s="178"/>
      <c r="CP37" s="195"/>
      <c r="CQ37" s="179"/>
      <c r="CR37" s="140"/>
      <c r="CS37" s="52"/>
      <c r="CT37" s="309" t="str">
        <f t="shared" si="1"/>
        <v xml:space="preserve">ROSALBA MATAGIRA </v>
      </c>
      <c r="CU37" s="293" t="str">
        <f>+'SEMANA DEL 2 AL 7-3-26'!CS34</f>
        <v>CC-60.412.324</v>
      </c>
      <c r="CV37" s="293">
        <f t="shared" si="20"/>
        <v>0</v>
      </c>
      <c r="CW37" s="293">
        <f t="shared" si="21"/>
        <v>0</v>
      </c>
      <c r="CX37" s="293"/>
      <c r="CY37" s="293">
        <f t="shared" si="22"/>
        <v>0</v>
      </c>
      <c r="CZ37" s="307"/>
      <c r="DA37" s="307"/>
      <c r="DB37" s="304">
        <f t="shared" si="23"/>
        <v>0</v>
      </c>
      <c r="DC37" s="169">
        <f t="shared" si="24"/>
        <v>0</v>
      </c>
      <c r="DD37" s="319">
        <f t="shared" si="25"/>
        <v>0</v>
      </c>
    </row>
    <row r="38" spans="1:110" ht="18.95" customHeight="1" x14ac:dyDescent="0.25">
      <c r="A38" s="50" t="str">
        <f>+'SEMANA DEL 14 AL 21 '!A37</f>
        <v>STELLA SILVA</v>
      </c>
      <c r="B38" s="284">
        <f>+'SEMANA DEL 21AL 28-3'!AX36</f>
        <v>11</v>
      </c>
      <c r="C38" s="284">
        <f>+'SEMANA DEL 21AL 28-3'!AY36</f>
        <v>19.8</v>
      </c>
      <c r="D38" s="284">
        <f>+'SEMANA DEL 21AL 28-3'!AZ36</f>
        <v>77</v>
      </c>
      <c r="E38" s="284">
        <f>+'SEMANA DEL 21AL 28-3'!BA36</f>
        <v>9</v>
      </c>
      <c r="F38" s="284">
        <f>+'SEMANA DEL 21AL 28-3'!BB36</f>
        <v>0</v>
      </c>
      <c r="G38" s="284">
        <f>+'SEMANA DEL 21AL 28-3'!BC36</f>
        <v>0</v>
      </c>
      <c r="H38" s="284">
        <f>+'SEMANA DEL 21AL 28-3'!BD36</f>
        <v>0</v>
      </c>
      <c r="I38" s="284">
        <f>+'SEMANA DEL 21AL 28-3'!BE36</f>
        <v>0</v>
      </c>
      <c r="J38" s="284">
        <f>+'SEMANA DEL 21AL 28-3'!BF36</f>
        <v>0</v>
      </c>
      <c r="K38" s="284">
        <f>+'SEMANA DEL 21AL 28-3'!BG36</f>
        <v>0</v>
      </c>
      <c r="L38" s="284">
        <f>+'SEMANA DEL 21AL 28-3'!BH36</f>
        <v>0</v>
      </c>
      <c r="M38" s="284">
        <f>+'SEMANA DEL 21AL 28-3'!BI36</f>
        <v>0</v>
      </c>
      <c r="N38" s="284">
        <f>+'SEMANA DEL 21AL 28-3'!BJ36</f>
        <v>0</v>
      </c>
      <c r="O38" s="284">
        <f>+'SEMANA DEL 21AL 28-3'!BK36</f>
        <v>0</v>
      </c>
      <c r="P38" s="284">
        <f>+'SEMANA DEL 21AL 28-3'!BL36</f>
        <v>0</v>
      </c>
      <c r="Q38" s="284">
        <f>+'SEMANA DEL 21AL 28-3'!BM36</f>
        <v>0</v>
      </c>
      <c r="R38" s="289"/>
      <c r="S38" s="289"/>
      <c r="T38" s="289"/>
      <c r="U38" s="289"/>
      <c r="V38" s="289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289"/>
      <c r="AI38" s="289"/>
      <c r="AJ38" s="289"/>
      <c r="AK38" s="289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 s="190"/>
      <c r="AX38" s="190">
        <f t="shared" si="29"/>
        <v>11</v>
      </c>
      <c r="AY38" s="190">
        <f t="shared" si="29"/>
        <v>19.8</v>
      </c>
      <c r="AZ38" s="190">
        <f t="shared" si="29"/>
        <v>77</v>
      </c>
      <c r="BA38" s="190">
        <f t="shared" si="29"/>
        <v>9</v>
      </c>
      <c r="BB38" s="190">
        <f t="shared" si="29"/>
        <v>0</v>
      </c>
      <c r="BC38" s="190">
        <f t="shared" si="29"/>
        <v>0</v>
      </c>
      <c r="BD38" s="190">
        <f t="shared" si="29"/>
        <v>0</v>
      </c>
      <c r="BE38" s="190">
        <f t="shared" si="29"/>
        <v>0</v>
      </c>
      <c r="BF38" s="190">
        <f t="shared" si="29"/>
        <v>0</v>
      </c>
      <c r="BG38" s="190">
        <f t="shared" si="29"/>
        <v>0</v>
      </c>
      <c r="BH38" s="190">
        <f t="shared" si="29"/>
        <v>0</v>
      </c>
      <c r="BI38" s="190">
        <f t="shared" si="29"/>
        <v>0</v>
      </c>
      <c r="BJ38" s="190">
        <f t="shared" si="29"/>
        <v>0</v>
      </c>
      <c r="BK38" s="190">
        <f t="shared" si="29"/>
        <v>0</v>
      </c>
      <c r="BL38" s="190">
        <f t="shared" si="29"/>
        <v>0</v>
      </c>
      <c r="BM38" s="190">
        <f t="shared" si="28"/>
        <v>0</v>
      </c>
      <c r="BN38" s="190"/>
      <c r="BO38" s="170">
        <f t="shared" si="2"/>
        <v>0</v>
      </c>
      <c r="BP38" s="71">
        <f t="shared" si="3"/>
        <v>0</v>
      </c>
      <c r="BQ38" s="112">
        <f t="shared" si="4"/>
        <v>0</v>
      </c>
      <c r="BR38" s="112">
        <f t="shared" si="4"/>
        <v>0</v>
      </c>
      <c r="BS38" s="112">
        <f t="shared" si="5"/>
        <v>0</v>
      </c>
      <c r="BT38" s="112">
        <f t="shared" si="6"/>
        <v>0</v>
      </c>
      <c r="BU38" s="112">
        <f t="shared" si="7"/>
        <v>0</v>
      </c>
      <c r="BV38" s="112">
        <f t="shared" si="8"/>
        <v>0</v>
      </c>
      <c r="BW38" s="112">
        <f t="shared" si="9"/>
        <v>0</v>
      </c>
      <c r="BX38" s="112">
        <f t="shared" si="10"/>
        <v>0</v>
      </c>
      <c r="BY38" s="71">
        <f t="shared" si="11"/>
        <v>0</v>
      </c>
      <c r="BZ38" s="113">
        <f t="shared" si="12"/>
        <v>0</v>
      </c>
      <c r="CA38" s="71"/>
      <c r="CB38" s="71"/>
      <c r="CC38" s="71">
        <f t="shared" si="13"/>
        <v>0</v>
      </c>
      <c r="CD38" s="71">
        <f t="shared" si="14"/>
        <v>0</v>
      </c>
      <c r="CE38" s="71">
        <f t="shared" si="15"/>
        <v>0</v>
      </c>
      <c r="CF38" s="71">
        <f t="shared" si="16"/>
        <v>0</v>
      </c>
      <c r="CG38" s="71">
        <f t="shared" si="17"/>
        <v>0</v>
      </c>
      <c r="CH38" s="166">
        <f t="shared" si="18"/>
        <v>0</v>
      </c>
      <c r="CI38" s="263">
        <f t="shared" si="19"/>
        <v>0</v>
      </c>
      <c r="CJ38" s="77"/>
      <c r="CK38" s="73"/>
      <c r="CL38" s="172"/>
      <c r="CM38" s="177"/>
      <c r="CN38" s="173"/>
      <c r="CO38" s="178"/>
      <c r="CP38" s="195"/>
      <c r="CQ38" s="179"/>
      <c r="CR38" s="140"/>
      <c r="CS38" s="52"/>
      <c r="CT38" s="309" t="str">
        <f t="shared" si="1"/>
        <v>STELLA SILVA</v>
      </c>
      <c r="CU38" s="293" t="str">
        <f>+'SEMANA DEL 2 AL 7-3-26'!CS35</f>
        <v>CC-37.543.611</v>
      </c>
      <c r="CV38" s="293">
        <f t="shared" si="20"/>
        <v>0</v>
      </c>
      <c r="CW38" s="293">
        <f t="shared" si="21"/>
        <v>0</v>
      </c>
      <c r="CX38" s="293"/>
      <c r="CY38" s="293">
        <f t="shared" si="22"/>
        <v>0</v>
      </c>
      <c r="CZ38" s="307"/>
      <c r="DA38" s="307"/>
      <c r="DB38" s="304">
        <f t="shared" si="23"/>
        <v>0</v>
      </c>
      <c r="DC38" s="169">
        <f t="shared" si="24"/>
        <v>0</v>
      </c>
      <c r="DD38" s="319">
        <f t="shared" si="25"/>
        <v>0</v>
      </c>
    </row>
    <row r="39" spans="1:110" ht="18.95" customHeight="1" x14ac:dyDescent="0.25">
      <c r="A39" s="50" t="str">
        <f>+'SEMANA DEL 14 AL 21 '!A38</f>
        <v>SANDRA MILENA ANTOLINES</v>
      </c>
      <c r="B39" s="284">
        <f>+'SEMANA DEL 21AL 28-3'!AX39</f>
        <v>10.75</v>
      </c>
      <c r="C39" s="284">
        <f>+'SEMANA DEL 21AL 28-3'!AY39</f>
        <v>18.450000000000003</v>
      </c>
      <c r="D39" s="284">
        <f>+'SEMANA DEL 21AL 28-3'!AZ39</f>
        <v>71.75</v>
      </c>
      <c r="E39" s="284">
        <f>+'SEMANA DEL 21AL 28-3'!BA39</f>
        <v>8</v>
      </c>
      <c r="F39" s="284">
        <f>+'SEMANA DEL 21AL 28-3'!BB39</f>
        <v>0</v>
      </c>
      <c r="G39" s="284">
        <f>+'SEMANA DEL 21AL 28-3'!BC39</f>
        <v>0</v>
      </c>
      <c r="H39" s="284">
        <f>+'SEMANA DEL 21AL 28-3'!BD39</f>
        <v>0</v>
      </c>
      <c r="I39" s="284">
        <f>+'SEMANA DEL 21AL 28-3'!BE39</f>
        <v>0</v>
      </c>
      <c r="J39" s="284">
        <f>+'SEMANA DEL 21AL 28-3'!BF39</f>
        <v>0</v>
      </c>
      <c r="K39" s="284">
        <f>+'SEMANA DEL 21AL 28-3'!BG39</f>
        <v>0</v>
      </c>
      <c r="L39" s="284">
        <f>+'SEMANA DEL 21AL 28-3'!BH39</f>
        <v>0</v>
      </c>
      <c r="M39" s="284">
        <f>+'SEMANA DEL 21AL 28-3'!BI39</f>
        <v>0</v>
      </c>
      <c r="N39" s="284">
        <f>+'SEMANA DEL 21AL 28-3'!BJ39</f>
        <v>0</v>
      </c>
      <c r="O39" s="284">
        <f>+'SEMANA DEL 21AL 28-3'!BK39</f>
        <v>0</v>
      </c>
      <c r="P39" s="284">
        <f>+'SEMANA DEL 21AL 28-3'!BL39</f>
        <v>0</v>
      </c>
      <c r="Q39" s="284">
        <f>+'SEMANA DEL 21AL 28-3'!BM39</f>
        <v>0</v>
      </c>
      <c r="R39" s="289"/>
      <c r="S39" s="289"/>
      <c r="T39" s="289"/>
      <c r="U39" s="289"/>
      <c r="V39" s="289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0"/>
      <c r="AU39" s="190"/>
      <c r="AV39" s="190"/>
      <c r="AW39" s="190"/>
      <c r="AX39" s="190">
        <f t="shared" ref="AX39:BL46" si="30">+B39+R39-AH39</f>
        <v>10.75</v>
      </c>
      <c r="AY39" s="190">
        <f t="shared" si="30"/>
        <v>18.450000000000003</v>
      </c>
      <c r="AZ39" s="190">
        <f t="shared" si="30"/>
        <v>71.75</v>
      </c>
      <c r="BA39" s="190">
        <f t="shared" si="30"/>
        <v>8</v>
      </c>
      <c r="BB39" s="190">
        <f t="shared" si="30"/>
        <v>0</v>
      </c>
      <c r="BC39" s="190">
        <f t="shared" si="30"/>
        <v>0</v>
      </c>
      <c r="BD39" s="190">
        <f t="shared" si="30"/>
        <v>0</v>
      </c>
      <c r="BE39" s="190">
        <f t="shared" si="30"/>
        <v>0</v>
      </c>
      <c r="BF39" s="190">
        <f t="shared" si="30"/>
        <v>0</v>
      </c>
      <c r="BG39" s="190">
        <f t="shared" si="30"/>
        <v>0</v>
      </c>
      <c r="BH39" s="190">
        <f t="shared" si="30"/>
        <v>0</v>
      </c>
      <c r="BI39" s="190">
        <f t="shared" si="30"/>
        <v>0</v>
      </c>
      <c r="BJ39" s="190">
        <f t="shared" si="30"/>
        <v>0</v>
      </c>
      <c r="BK39" s="190">
        <f t="shared" si="30"/>
        <v>0</v>
      </c>
      <c r="BL39" s="190">
        <f t="shared" si="30"/>
        <v>0</v>
      </c>
      <c r="BM39" s="190">
        <f t="shared" si="28"/>
        <v>0</v>
      </c>
      <c r="BN39" s="190"/>
      <c r="BO39" s="170">
        <f t="shared" si="2"/>
        <v>0</v>
      </c>
      <c r="BP39" s="71">
        <f t="shared" si="3"/>
        <v>0</v>
      </c>
      <c r="BQ39" s="112">
        <f t="shared" si="4"/>
        <v>0</v>
      </c>
      <c r="BR39" s="112">
        <f t="shared" si="4"/>
        <v>0</v>
      </c>
      <c r="BS39" s="112">
        <f t="shared" si="5"/>
        <v>0</v>
      </c>
      <c r="BT39" s="112">
        <f t="shared" si="6"/>
        <v>0</v>
      </c>
      <c r="BU39" s="112">
        <f t="shared" si="7"/>
        <v>0</v>
      </c>
      <c r="BV39" s="112">
        <f t="shared" si="8"/>
        <v>0</v>
      </c>
      <c r="BW39" s="112">
        <f t="shared" si="9"/>
        <v>0</v>
      </c>
      <c r="BX39" s="112">
        <f t="shared" si="10"/>
        <v>0</v>
      </c>
      <c r="BY39" s="71">
        <f t="shared" si="11"/>
        <v>0</v>
      </c>
      <c r="BZ39" s="113">
        <f t="shared" si="12"/>
        <v>0</v>
      </c>
      <c r="CA39" s="71"/>
      <c r="CB39" s="71"/>
      <c r="CC39" s="71">
        <f t="shared" si="13"/>
        <v>0</v>
      </c>
      <c r="CD39" s="71">
        <f t="shared" si="14"/>
        <v>0</v>
      </c>
      <c r="CE39" s="71">
        <f t="shared" si="15"/>
        <v>0</v>
      </c>
      <c r="CF39" s="71">
        <f t="shared" si="16"/>
        <v>0</v>
      </c>
      <c r="CG39" s="71">
        <f t="shared" si="17"/>
        <v>0</v>
      </c>
      <c r="CH39" s="166">
        <f t="shared" si="18"/>
        <v>0</v>
      </c>
      <c r="CI39" s="263">
        <f t="shared" si="19"/>
        <v>0</v>
      </c>
      <c r="CJ39" s="77"/>
      <c r="CK39" s="73"/>
      <c r="CL39" s="172"/>
      <c r="CM39" s="177"/>
      <c r="CN39" s="173"/>
      <c r="CO39" s="178"/>
      <c r="CP39" s="195"/>
      <c r="CQ39" s="179"/>
      <c r="CR39" s="140"/>
      <c r="CS39" s="52"/>
      <c r="CT39" s="309" t="str">
        <f t="shared" si="1"/>
        <v>SANDRA MILENA ANTOLINES</v>
      </c>
      <c r="CU39" s="293" t="e">
        <f>+'SEMANA DEL 2 AL 7-3-26'!#REF!</f>
        <v>#REF!</v>
      </c>
      <c r="CV39" s="293">
        <f t="shared" si="20"/>
        <v>0</v>
      </c>
      <c r="CW39" s="293">
        <f t="shared" si="21"/>
        <v>0</v>
      </c>
      <c r="CX39" s="293"/>
      <c r="CY39" s="293">
        <f t="shared" si="22"/>
        <v>0</v>
      </c>
      <c r="CZ39" s="307"/>
      <c r="DA39" s="307"/>
      <c r="DB39" s="304">
        <f t="shared" si="23"/>
        <v>0</v>
      </c>
      <c r="DC39" s="169">
        <f t="shared" si="24"/>
        <v>0</v>
      </c>
      <c r="DD39" s="319">
        <f t="shared" si="25"/>
        <v>0</v>
      </c>
    </row>
    <row r="40" spans="1:110" ht="18.95" customHeight="1" x14ac:dyDescent="0.25">
      <c r="A40" s="50" t="str">
        <f>+'SEMANA DEL 14 AL 21 '!A39</f>
        <v xml:space="preserve">SANDRA MORENO </v>
      </c>
      <c r="B40" s="284">
        <f>+'SEMANA DEL 21AL 28-3'!AX40</f>
        <v>5</v>
      </c>
      <c r="C40" s="284">
        <f>+'SEMANA DEL 21AL 28-3'!AY40</f>
        <v>9</v>
      </c>
      <c r="D40" s="284">
        <f>+'SEMANA DEL 21AL 28-3'!AZ40</f>
        <v>35</v>
      </c>
      <c r="E40" s="284">
        <f>+'SEMANA DEL 21AL 28-3'!BA40</f>
        <v>4</v>
      </c>
      <c r="F40" s="284">
        <f>+'SEMANA DEL 21AL 28-3'!BB40</f>
        <v>0</v>
      </c>
      <c r="G40" s="284">
        <f>+'SEMANA DEL 21AL 28-3'!BC40</f>
        <v>0</v>
      </c>
      <c r="H40" s="284">
        <f>+'SEMANA DEL 21AL 28-3'!BD40</f>
        <v>0</v>
      </c>
      <c r="I40" s="284">
        <f>+'SEMANA DEL 21AL 28-3'!BE40</f>
        <v>0</v>
      </c>
      <c r="J40" s="284">
        <f>+'SEMANA DEL 21AL 28-3'!BF40</f>
        <v>0</v>
      </c>
      <c r="K40" s="284">
        <f>+'SEMANA DEL 21AL 28-3'!BG40</f>
        <v>0</v>
      </c>
      <c r="L40" s="284">
        <f>+'SEMANA DEL 21AL 28-3'!BH40</f>
        <v>0</v>
      </c>
      <c r="M40" s="284">
        <f>+'SEMANA DEL 21AL 28-3'!BI40</f>
        <v>0</v>
      </c>
      <c r="N40" s="284">
        <f>+'SEMANA DEL 21AL 28-3'!BJ40</f>
        <v>0</v>
      </c>
      <c r="O40" s="284">
        <f>+'SEMANA DEL 21AL 28-3'!BK40</f>
        <v>0</v>
      </c>
      <c r="P40" s="284">
        <f>+'SEMANA DEL 21AL 28-3'!BL40</f>
        <v>0</v>
      </c>
      <c r="Q40" s="284">
        <f>+'SEMANA DEL 21AL 28-3'!BM40</f>
        <v>0</v>
      </c>
      <c r="R40" s="289"/>
      <c r="S40" s="289"/>
      <c r="T40" s="289"/>
      <c r="U40" s="289"/>
      <c r="V40" s="289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289"/>
      <c r="AI40" s="289"/>
      <c r="AJ40" s="289"/>
      <c r="AK40" s="289"/>
      <c r="AL40" s="289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>
        <f t="shared" si="30"/>
        <v>5</v>
      </c>
      <c r="AY40" s="190">
        <f t="shared" si="30"/>
        <v>9</v>
      </c>
      <c r="AZ40" s="190">
        <f t="shared" si="30"/>
        <v>35</v>
      </c>
      <c r="BA40" s="190">
        <f t="shared" si="30"/>
        <v>4</v>
      </c>
      <c r="BB40" s="190">
        <f t="shared" si="30"/>
        <v>0</v>
      </c>
      <c r="BC40" s="190">
        <f t="shared" si="30"/>
        <v>0</v>
      </c>
      <c r="BD40" s="190">
        <f t="shared" si="30"/>
        <v>0</v>
      </c>
      <c r="BE40" s="190">
        <f t="shared" si="30"/>
        <v>0</v>
      </c>
      <c r="BF40" s="190">
        <f t="shared" si="30"/>
        <v>0</v>
      </c>
      <c r="BG40" s="190">
        <f t="shared" si="30"/>
        <v>0</v>
      </c>
      <c r="BH40" s="190">
        <f t="shared" si="30"/>
        <v>0</v>
      </c>
      <c r="BI40" s="190">
        <f t="shared" si="30"/>
        <v>0</v>
      </c>
      <c r="BJ40" s="190">
        <f t="shared" si="30"/>
        <v>0</v>
      </c>
      <c r="BK40" s="190">
        <f t="shared" si="30"/>
        <v>0</v>
      </c>
      <c r="BL40" s="190">
        <f t="shared" si="30"/>
        <v>0</v>
      </c>
      <c r="BM40" s="190">
        <f t="shared" si="28"/>
        <v>0</v>
      </c>
      <c r="BN40" s="190"/>
      <c r="BO40" s="170">
        <f t="shared" si="2"/>
        <v>0</v>
      </c>
      <c r="BP40" s="71">
        <f t="shared" si="3"/>
        <v>0</v>
      </c>
      <c r="BQ40" s="112">
        <f t="shared" si="4"/>
        <v>0</v>
      </c>
      <c r="BR40" s="112">
        <f t="shared" si="4"/>
        <v>0</v>
      </c>
      <c r="BS40" s="112">
        <f t="shared" si="5"/>
        <v>0</v>
      </c>
      <c r="BT40" s="112">
        <f t="shared" si="6"/>
        <v>0</v>
      </c>
      <c r="BU40" s="112">
        <f t="shared" si="7"/>
        <v>0</v>
      </c>
      <c r="BV40" s="112">
        <f t="shared" si="8"/>
        <v>0</v>
      </c>
      <c r="BW40" s="112">
        <f t="shared" si="9"/>
        <v>0</v>
      </c>
      <c r="BX40" s="112">
        <f t="shared" si="10"/>
        <v>0</v>
      </c>
      <c r="BY40" s="71">
        <f t="shared" si="11"/>
        <v>0</v>
      </c>
      <c r="BZ40" s="113">
        <f t="shared" si="12"/>
        <v>0</v>
      </c>
      <c r="CA40" s="71"/>
      <c r="CB40" s="71"/>
      <c r="CC40" s="71">
        <f t="shared" si="13"/>
        <v>0</v>
      </c>
      <c r="CD40" s="71">
        <f t="shared" si="14"/>
        <v>0</v>
      </c>
      <c r="CE40" s="71">
        <f t="shared" si="15"/>
        <v>0</v>
      </c>
      <c r="CF40" s="71">
        <f t="shared" si="16"/>
        <v>0</v>
      </c>
      <c r="CG40" s="71">
        <f t="shared" si="17"/>
        <v>0</v>
      </c>
      <c r="CH40" s="166">
        <f t="shared" si="18"/>
        <v>0</v>
      </c>
      <c r="CI40" s="263">
        <f t="shared" si="19"/>
        <v>0</v>
      </c>
      <c r="CJ40" s="77"/>
      <c r="CK40" s="73"/>
      <c r="CL40" s="172" t="s">
        <v>35</v>
      </c>
      <c r="CM40" s="177">
        <f>+'SEMANA DEL 14 AL 21 '!CP36</f>
        <v>0</v>
      </c>
      <c r="CN40" s="173" t="e">
        <f>+#REF!</f>
        <v>#REF!</v>
      </c>
      <c r="CO40" s="178" t="e">
        <f>+CM40+CN40</f>
        <v>#REF!</v>
      </c>
      <c r="CP40" s="195">
        <f>+AM53</f>
        <v>0</v>
      </c>
      <c r="CQ40" s="179" t="e">
        <f>CO40-CP40</f>
        <v>#REF!</v>
      </c>
      <c r="CR40" s="140"/>
      <c r="CS40" s="52"/>
      <c r="CT40" s="309" t="str">
        <f t="shared" si="1"/>
        <v xml:space="preserve">SANDRA MORENO </v>
      </c>
      <c r="CU40" s="293" t="str">
        <f>+'SEMANA DEL 2 AL 7-3-26'!CS36</f>
        <v>CC-37.221.293</v>
      </c>
      <c r="CV40" s="293">
        <f t="shared" si="20"/>
        <v>0</v>
      </c>
      <c r="CW40" s="293">
        <f t="shared" si="21"/>
        <v>0</v>
      </c>
      <c r="CX40" s="293"/>
      <c r="CY40" s="293">
        <f t="shared" si="22"/>
        <v>0</v>
      </c>
      <c r="CZ40" s="307"/>
      <c r="DA40" s="307"/>
      <c r="DB40" s="304">
        <f t="shared" si="23"/>
        <v>0</v>
      </c>
      <c r="DC40" s="169">
        <f t="shared" si="24"/>
        <v>0</v>
      </c>
      <c r="DD40" s="319">
        <f t="shared" si="25"/>
        <v>0</v>
      </c>
    </row>
    <row r="41" spans="1:110" ht="18.95" customHeight="1" x14ac:dyDescent="0.25">
      <c r="A41" s="50" t="str">
        <f>+'SEMANA DEL 14 AL 21 '!A40</f>
        <v xml:space="preserve">YENDER PADILLA </v>
      </c>
      <c r="B41" s="284">
        <f>+'SEMANA DEL 21AL 28-3'!AX45</f>
        <v>95.795999999999992</v>
      </c>
      <c r="C41" s="284">
        <f>+'SEMANA DEL 21AL 28-3'!AY45</f>
        <v>171.39800000000002</v>
      </c>
      <c r="D41" s="284">
        <f>+'SEMANA DEL 21AL 28-3'!AZ45</f>
        <v>695.49800000000005</v>
      </c>
      <c r="E41" s="284">
        <f>+'SEMANA DEL 21AL 28-3'!BA45</f>
        <v>75</v>
      </c>
      <c r="F41" s="284">
        <f>+'SEMANA DEL 21AL 28-3'!BB45</f>
        <v>0</v>
      </c>
      <c r="G41" s="284">
        <f>+'SEMANA DEL 21AL 28-3'!BC45</f>
        <v>0.25</v>
      </c>
      <c r="H41" s="284">
        <f>+'SEMANA DEL 21AL 28-3'!BD45</f>
        <v>0</v>
      </c>
      <c r="I41" s="284">
        <f>+'SEMANA DEL 21AL 28-3'!BE45</f>
        <v>8</v>
      </c>
      <c r="J41" s="284">
        <f>+'SEMANA DEL 21AL 28-3'!BF45</f>
        <v>0</v>
      </c>
      <c r="K41" s="284">
        <f>+'SEMANA DEL 21AL 28-3'!BG45</f>
        <v>0</v>
      </c>
      <c r="L41" s="284">
        <f>+'SEMANA DEL 21AL 28-3'!BH45</f>
        <v>0</v>
      </c>
      <c r="M41" s="284">
        <f>+'SEMANA DEL 21AL 28-3'!BI45</f>
        <v>0</v>
      </c>
      <c r="N41" s="284">
        <f>+'SEMANA DEL 21AL 28-3'!BJ45</f>
        <v>0</v>
      </c>
      <c r="O41" s="284">
        <f>+'SEMANA DEL 21AL 28-3'!BK45</f>
        <v>0</v>
      </c>
      <c r="P41" s="284">
        <f>+'SEMANA DEL 21AL 28-3'!BL45</f>
        <v>0</v>
      </c>
      <c r="Q41" s="284">
        <f>+'SEMANA DEL 21AL 28-3'!BM45</f>
        <v>0</v>
      </c>
      <c r="R41" s="289"/>
      <c r="S41" s="289"/>
      <c r="T41" s="289"/>
      <c r="U41" s="289"/>
      <c r="V41" s="289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289"/>
      <c r="AI41" s="289"/>
      <c r="AJ41" s="289"/>
      <c r="AK41" s="289"/>
      <c r="AL41" s="289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0"/>
      <c r="AX41" s="190">
        <f t="shared" si="30"/>
        <v>95.795999999999992</v>
      </c>
      <c r="AY41" s="190">
        <f t="shared" si="30"/>
        <v>171.39800000000002</v>
      </c>
      <c r="AZ41" s="190">
        <f t="shared" si="30"/>
        <v>695.49800000000005</v>
      </c>
      <c r="BA41" s="190">
        <f t="shared" si="30"/>
        <v>75</v>
      </c>
      <c r="BB41" s="190">
        <f t="shared" si="30"/>
        <v>0</v>
      </c>
      <c r="BC41" s="190">
        <f t="shared" si="30"/>
        <v>0.25</v>
      </c>
      <c r="BD41" s="190">
        <f t="shared" si="30"/>
        <v>0</v>
      </c>
      <c r="BE41" s="190">
        <f t="shared" si="30"/>
        <v>8</v>
      </c>
      <c r="BF41" s="190">
        <f t="shared" si="30"/>
        <v>0</v>
      </c>
      <c r="BG41" s="190">
        <f t="shared" si="30"/>
        <v>0</v>
      </c>
      <c r="BH41" s="190">
        <f t="shared" si="30"/>
        <v>0</v>
      </c>
      <c r="BI41" s="190">
        <f t="shared" si="30"/>
        <v>0</v>
      </c>
      <c r="BJ41" s="190">
        <f t="shared" si="30"/>
        <v>0</v>
      </c>
      <c r="BK41" s="190">
        <f t="shared" si="30"/>
        <v>0</v>
      </c>
      <c r="BL41" s="190">
        <f t="shared" si="30"/>
        <v>0</v>
      </c>
      <c r="BM41" s="190">
        <f t="shared" si="28"/>
        <v>0</v>
      </c>
      <c r="BN41" s="190"/>
      <c r="BO41" s="170">
        <f t="shared" si="2"/>
        <v>0</v>
      </c>
      <c r="BP41" s="71">
        <f t="shared" si="3"/>
        <v>0</v>
      </c>
      <c r="BQ41" s="112">
        <f t="shared" si="4"/>
        <v>0</v>
      </c>
      <c r="BR41" s="112">
        <f t="shared" si="4"/>
        <v>0</v>
      </c>
      <c r="BS41" s="112">
        <f t="shared" si="5"/>
        <v>0</v>
      </c>
      <c r="BT41" s="112">
        <f t="shared" si="6"/>
        <v>0</v>
      </c>
      <c r="BU41" s="112">
        <f t="shared" si="7"/>
        <v>0</v>
      </c>
      <c r="BV41" s="112">
        <f t="shared" si="8"/>
        <v>0</v>
      </c>
      <c r="BW41" s="112">
        <f t="shared" si="9"/>
        <v>0</v>
      </c>
      <c r="BX41" s="112">
        <f t="shared" si="10"/>
        <v>0</v>
      </c>
      <c r="BY41" s="71">
        <f t="shared" si="11"/>
        <v>0</v>
      </c>
      <c r="BZ41" s="113">
        <f t="shared" si="12"/>
        <v>0</v>
      </c>
      <c r="CA41" s="71"/>
      <c r="CB41" s="71"/>
      <c r="CC41" s="71">
        <f t="shared" si="13"/>
        <v>0</v>
      </c>
      <c r="CD41" s="71">
        <f t="shared" si="14"/>
        <v>0</v>
      </c>
      <c r="CE41" s="71">
        <f t="shared" si="15"/>
        <v>0</v>
      </c>
      <c r="CF41" s="71">
        <f t="shared" si="16"/>
        <v>0</v>
      </c>
      <c r="CG41" s="71">
        <f t="shared" si="17"/>
        <v>0</v>
      </c>
      <c r="CH41" s="166">
        <f t="shared" si="18"/>
        <v>0</v>
      </c>
      <c r="CI41" s="263">
        <f t="shared" si="19"/>
        <v>0</v>
      </c>
      <c r="CJ41" s="77"/>
      <c r="CK41" s="73"/>
      <c r="CL41" s="172"/>
      <c r="CM41" s="177"/>
      <c r="CN41" s="173"/>
      <c r="CO41" s="178"/>
      <c r="CP41" s="195"/>
      <c r="CQ41" s="179"/>
      <c r="CR41" s="140"/>
      <c r="CS41" s="52"/>
      <c r="CT41" s="309" t="str">
        <f t="shared" si="1"/>
        <v xml:space="preserve">YENDER PADILLA </v>
      </c>
      <c r="CU41" s="293" t="e">
        <f>+'SEMANA DEL 2 AL 7-3-26'!#REF!</f>
        <v>#REF!</v>
      </c>
      <c r="CV41" s="293">
        <f t="shared" si="20"/>
        <v>0</v>
      </c>
      <c r="CW41" s="293">
        <f t="shared" si="21"/>
        <v>0</v>
      </c>
      <c r="CX41" s="293"/>
      <c r="CY41" s="293">
        <f t="shared" si="22"/>
        <v>0</v>
      </c>
      <c r="CZ41" s="307"/>
      <c r="DA41" s="307"/>
      <c r="DB41" s="304">
        <f t="shared" si="23"/>
        <v>0</v>
      </c>
      <c r="DC41" s="169">
        <f t="shared" si="24"/>
        <v>0</v>
      </c>
      <c r="DD41" s="319">
        <f t="shared" si="25"/>
        <v>0</v>
      </c>
    </row>
    <row r="42" spans="1:110" ht="18.95" customHeight="1" x14ac:dyDescent="0.25">
      <c r="A42" s="50" t="str">
        <f>+'SEMANA DEL 14 AL 21 '!A41</f>
        <v xml:space="preserve">YEFERSON CONTRERAS </v>
      </c>
      <c r="B42" s="284" t="e">
        <f>+'SEMANA DEL 21AL 28-3'!#REF!</f>
        <v>#REF!</v>
      </c>
      <c r="C42" s="284" t="e">
        <f>+'SEMANA DEL 21AL 28-3'!#REF!</f>
        <v>#REF!</v>
      </c>
      <c r="D42" s="284" t="e">
        <f>+'SEMANA DEL 21AL 28-3'!#REF!</f>
        <v>#REF!</v>
      </c>
      <c r="E42" s="284" t="e">
        <f>+'SEMANA DEL 21AL 28-3'!#REF!</f>
        <v>#REF!</v>
      </c>
      <c r="F42" s="284" t="e">
        <f>+'SEMANA DEL 21AL 28-3'!#REF!</f>
        <v>#REF!</v>
      </c>
      <c r="G42" s="284" t="e">
        <f>+'SEMANA DEL 21AL 28-3'!#REF!</f>
        <v>#REF!</v>
      </c>
      <c r="H42" s="284" t="e">
        <f>+'SEMANA DEL 21AL 28-3'!#REF!</f>
        <v>#REF!</v>
      </c>
      <c r="I42" s="284" t="e">
        <f>+'SEMANA DEL 21AL 28-3'!#REF!</f>
        <v>#REF!</v>
      </c>
      <c r="J42" s="284" t="e">
        <f>+'SEMANA DEL 21AL 28-3'!#REF!</f>
        <v>#REF!</v>
      </c>
      <c r="K42" s="284" t="e">
        <f>+'SEMANA DEL 21AL 28-3'!#REF!</f>
        <v>#REF!</v>
      </c>
      <c r="L42" s="284" t="e">
        <f>+'SEMANA DEL 21AL 28-3'!#REF!</f>
        <v>#REF!</v>
      </c>
      <c r="M42" s="284" t="e">
        <f>+'SEMANA DEL 21AL 28-3'!#REF!</f>
        <v>#REF!</v>
      </c>
      <c r="N42" s="284" t="e">
        <f>+'SEMANA DEL 21AL 28-3'!#REF!</f>
        <v>#REF!</v>
      </c>
      <c r="O42" s="284" t="e">
        <f>+'SEMANA DEL 21AL 28-3'!#REF!</f>
        <v>#REF!</v>
      </c>
      <c r="P42" s="284" t="e">
        <f>+'SEMANA DEL 21AL 28-3'!#REF!</f>
        <v>#REF!</v>
      </c>
      <c r="Q42" s="284" t="e">
        <f>+'SEMANA DEL 21AL 28-3'!#REF!</f>
        <v>#REF!</v>
      </c>
      <c r="R42" s="289"/>
      <c r="S42" s="289"/>
      <c r="T42" s="289"/>
      <c r="U42" s="289"/>
      <c r="V42" s="289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 s="190"/>
      <c r="AX42" s="190" t="e">
        <f t="shared" si="30"/>
        <v>#REF!</v>
      </c>
      <c r="AY42" s="190" t="e">
        <f t="shared" si="30"/>
        <v>#REF!</v>
      </c>
      <c r="AZ42" s="190" t="e">
        <f t="shared" si="30"/>
        <v>#REF!</v>
      </c>
      <c r="BA42" s="190" t="e">
        <f t="shared" si="30"/>
        <v>#REF!</v>
      </c>
      <c r="BB42" s="190" t="e">
        <f t="shared" si="30"/>
        <v>#REF!</v>
      </c>
      <c r="BC42" s="190" t="e">
        <f t="shared" si="30"/>
        <v>#REF!</v>
      </c>
      <c r="BD42" s="190" t="e">
        <f t="shared" si="30"/>
        <v>#REF!</v>
      </c>
      <c r="BE42" s="190" t="e">
        <f t="shared" si="30"/>
        <v>#REF!</v>
      </c>
      <c r="BF42" s="190" t="e">
        <f t="shared" si="30"/>
        <v>#REF!</v>
      </c>
      <c r="BG42" s="190" t="e">
        <f t="shared" si="30"/>
        <v>#REF!</v>
      </c>
      <c r="BH42" s="190" t="e">
        <f t="shared" si="30"/>
        <v>#REF!</v>
      </c>
      <c r="BI42" s="190" t="e">
        <f t="shared" si="30"/>
        <v>#REF!</v>
      </c>
      <c r="BJ42" s="190" t="e">
        <f t="shared" si="30"/>
        <v>#REF!</v>
      </c>
      <c r="BK42" s="190" t="e">
        <f t="shared" si="30"/>
        <v>#REF!</v>
      </c>
      <c r="BL42" s="190" t="e">
        <f t="shared" si="30"/>
        <v>#REF!</v>
      </c>
      <c r="BM42" s="190" t="e">
        <f t="shared" si="28"/>
        <v>#REF!</v>
      </c>
      <c r="BN42" s="190"/>
      <c r="BO42" s="170">
        <f t="shared" si="2"/>
        <v>0</v>
      </c>
      <c r="BP42" s="71">
        <f t="shared" si="3"/>
        <v>0</v>
      </c>
      <c r="BQ42" s="112">
        <f t="shared" si="4"/>
        <v>0</v>
      </c>
      <c r="BR42" s="112">
        <f t="shared" si="4"/>
        <v>0</v>
      </c>
      <c r="BS42" s="112">
        <f t="shared" si="5"/>
        <v>0</v>
      </c>
      <c r="BT42" s="112">
        <f t="shared" si="6"/>
        <v>0</v>
      </c>
      <c r="BU42" s="112">
        <f t="shared" si="7"/>
        <v>0</v>
      </c>
      <c r="BV42" s="112">
        <f t="shared" si="8"/>
        <v>0</v>
      </c>
      <c r="BW42" s="112">
        <f t="shared" si="9"/>
        <v>0</v>
      </c>
      <c r="BX42" s="112">
        <f t="shared" si="10"/>
        <v>0</v>
      </c>
      <c r="BY42" s="71">
        <f t="shared" si="11"/>
        <v>0</v>
      </c>
      <c r="BZ42" s="113">
        <f t="shared" si="12"/>
        <v>0</v>
      </c>
      <c r="CA42" s="71"/>
      <c r="CB42" s="71"/>
      <c r="CC42" s="71">
        <f t="shared" si="13"/>
        <v>0</v>
      </c>
      <c r="CD42" s="71">
        <f t="shared" si="14"/>
        <v>0</v>
      </c>
      <c r="CE42" s="71">
        <f t="shared" si="15"/>
        <v>0</v>
      </c>
      <c r="CF42" s="71">
        <f t="shared" si="16"/>
        <v>0</v>
      </c>
      <c r="CG42" s="71">
        <f t="shared" si="17"/>
        <v>0</v>
      </c>
      <c r="CH42" s="166">
        <f t="shared" si="18"/>
        <v>0</v>
      </c>
      <c r="CI42" s="263">
        <f t="shared" si="19"/>
        <v>0</v>
      </c>
      <c r="CJ42" s="77" t="s">
        <v>2</v>
      </c>
      <c r="CK42" s="73"/>
      <c r="CL42" s="172" t="s">
        <v>50</v>
      </c>
      <c r="CM42" s="177" t="e">
        <f>+'SEMANA DEL 14 AL 21 '!CP40</f>
        <v>#REF!</v>
      </c>
      <c r="CN42" s="173" t="e">
        <f>+#REF!</f>
        <v>#REF!</v>
      </c>
      <c r="CO42" s="178" t="e">
        <f>+CM42+CN42</f>
        <v>#REF!</v>
      </c>
      <c r="CP42" s="195">
        <f>+AM54</f>
        <v>0</v>
      </c>
      <c r="CQ42" s="179" t="e">
        <f>CO42-CP42</f>
        <v>#REF!</v>
      </c>
      <c r="CR42" s="140"/>
      <c r="CS42" s="52"/>
      <c r="CT42" s="309" t="str">
        <f t="shared" si="1"/>
        <v xml:space="preserve">YEFERSON CONTRERAS </v>
      </c>
      <c r="CU42" s="293" t="str">
        <f>+'SEMANA DEL 2 AL 7-3-26'!CS37</f>
        <v>V-11.021.592</v>
      </c>
      <c r="CV42" s="293">
        <f t="shared" si="20"/>
        <v>0</v>
      </c>
      <c r="CW42" s="293">
        <f t="shared" si="21"/>
        <v>0</v>
      </c>
      <c r="CX42" s="293"/>
      <c r="CY42" s="293">
        <f t="shared" si="22"/>
        <v>0</v>
      </c>
      <c r="CZ42" s="307"/>
      <c r="DA42" s="307"/>
      <c r="DB42" s="304">
        <f t="shared" si="23"/>
        <v>0</v>
      </c>
      <c r="DC42" s="169">
        <f t="shared" si="24"/>
        <v>0</v>
      </c>
      <c r="DD42" s="319">
        <f t="shared" si="25"/>
        <v>0</v>
      </c>
    </row>
    <row r="43" spans="1:110" ht="18.95" customHeight="1" x14ac:dyDescent="0.25">
      <c r="A43" s="50">
        <f>+'SEMANA DEL 14 AL 21 '!A45</f>
        <v>0</v>
      </c>
      <c r="B43" s="284" t="e">
        <f>+'SEMANA DEL 21AL 28-3'!#REF!</f>
        <v>#REF!</v>
      </c>
      <c r="C43" s="284" t="e">
        <f>+'SEMANA DEL 21AL 28-3'!#REF!</f>
        <v>#REF!</v>
      </c>
      <c r="D43" s="284" t="e">
        <f>+'SEMANA DEL 21AL 28-3'!#REF!</f>
        <v>#REF!</v>
      </c>
      <c r="E43" s="284" t="e">
        <f>+'SEMANA DEL 21AL 28-3'!#REF!</f>
        <v>#REF!</v>
      </c>
      <c r="F43" s="284" t="e">
        <f>+'SEMANA DEL 21AL 28-3'!#REF!</f>
        <v>#REF!</v>
      </c>
      <c r="G43" s="284" t="e">
        <f>+'SEMANA DEL 21AL 28-3'!#REF!</f>
        <v>#REF!</v>
      </c>
      <c r="H43" s="284" t="e">
        <f>+'SEMANA DEL 21AL 28-3'!#REF!</f>
        <v>#REF!</v>
      </c>
      <c r="I43" s="284" t="e">
        <f>+'SEMANA DEL 21AL 28-3'!#REF!</f>
        <v>#REF!</v>
      </c>
      <c r="J43" s="284" t="e">
        <f>+'SEMANA DEL 21AL 28-3'!#REF!</f>
        <v>#REF!</v>
      </c>
      <c r="K43" s="284" t="e">
        <f>+'SEMANA DEL 21AL 28-3'!#REF!</f>
        <v>#REF!</v>
      </c>
      <c r="L43" s="284" t="e">
        <f>+'SEMANA DEL 21AL 28-3'!#REF!</f>
        <v>#REF!</v>
      </c>
      <c r="M43" s="284" t="e">
        <f>+'SEMANA DEL 21AL 28-3'!#REF!</f>
        <v>#REF!</v>
      </c>
      <c r="N43" s="284" t="e">
        <f>+'SEMANA DEL 21AL 28-3'!#REF!</f>
        <v>#REF!</v>
      </c>
      <c r="O43" s="284" t="e">
        <f>+'SEMANA DEL 21AL 28-3'!#REF!</f>
        <v>#REF!</v>
      </c>
      <c r="P43" s="284" t="e">
        <f>+'SEMANA DEL 21AL 28-3'!#REF!</f>
        <v>#REF!</v>
      </c>
      <c r="Q43" s="284" t="e">
        <f>+'SEMANA DEL 21AL 28-3'!#REF!</f>
        <v>#REF!</v>
      </c>
      <c r="R43" s="289"/>
      <c r="S43" s="289"/>
      <c r="T43" s="289"/>
      <c r="U43" s="289"/>
      <c r="V43" s="289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90"/>
      <c r="AX43" s="190" t="e">
        <f t="shared" si="30"/>
        <v>#REF!</v>
      </c>
      <c r="AY43" s="190" t="e">
        <f t="shared" si="30"/>
        <v>#REF!</v>
      </c>
      <c r="AZ43" s="190" t="e">
        <f t="shared" si="30"/>
        <v>#REF!</v>
      </c>
      <c r="BA43" s="190" t="e">
        <f t="shared" si="30"/>
        <v>#REF!</v>
      </c>
      <c r="BB43" s="190" t="e">
        <f t="shared" si="30"/>
        <v>#REF!</v>
      </c>
      <c r="BC43" s="190" t="e">
        <f t="shared" si="30"/>
        <v>#REF!</v>
      </c>
      <c r="BD43" s="190" t="e">
        <f t="shared" si="30"/>
        <v>#REF!</v>
      </c>
      <c r="BE43" s="190" t="e">
        <f t="shared" si="30"/>
        <v>#REF!</v>
      </c>
      <c r="BF43" s="190" t="e">
        <f t="shared" si="30"/>
        <v>#REF!</v>
      </c>
      <c r="BG43" s="190" t="e">
        <f t="shared" si="30"/>
        <v>#REF!</v>
      </c>
      <c r="BH43" s="190" t="e">
        <f t="shared" si="30"/>
        <v>#REF!</v>
      </c>
      <c r="BI43" s="190" t="e">
        <f t="shared" si="30"/>
        <v>#REF!</v>
      </c>
      <c r="BJ43" s="190" t="e">
        <f t="shared" si="30"/>
        <v>#REF!</v>
      </c>
      <c r="BK43" s="190" t="e">
        <f t="shared" si="30"/>
        <v>#REF!</v>
      </c>
      <c r="BL43" s="190" t="e">
        <f t="shared" si="30"/>
        <v>#REF!</v>
      </c>
      <c r="BM43" s="190" t="e">
        <f t="shared" si="28"/>
        <v>#REF!</v>
      </c>
      <c r="BN43" s="190"/>
      <c r="BO43" s="170">
        <f t="shared" si="2"/>
        <v>0</v>
      </c>
      <c r="BP43" s="71">
        <f t="shared" si="3"/>
        <v>0</v>
      </c>
      <c r="BQ43" s="112">
        <f t="shared" si="4"/>
        <v>0</v>
      </c>
      <c r="BR43" s="112">
        <f t="shared" si="4"/>
        <v>0</v>
      </c>
      <c r="BS43" s="112">
        <f t="shared" si="5"/>
        <v>0</v>
      </c>
      <c r="BT43" s="112">
        <f t="shared" si="6"/>
        <v>0</v>
      </c>
      <c r="BU43" s="112">
        <f t="shared" si="7"/>
        <v>0</v>
      </c>
      <c r="BV43" s="112">
        <f t="shared" si="8"/>
        <v>0</v>
      </c>
      <c r="BW43" s="112">
        <f t="shared" si="9"/>
        <v>0</v>
      </c>
      <c r="BX43" s="112">
        <f t="shared" si="10"/>
        <v>0</v>
      </c>
      <c r="BY43" s="71">
        <f t="shared" si="11"/>
        <v>0</v>
      </c>
      <c r="BZ43" s="113">
        <f t="shared" si="12"/>
        <v>0</v>
      </c>
      <c r="CA43" s="71"/>
      <c r="CB43" s="71"/>
      <c r="CC43" s="71">
        <f t="shared" si="13"/>
        <v>0</v>
      </c>
      <c r="CD43" s="71">
        <f t="shared" si="14"/>
        <v>0</v>
      </c>
      <c r="CE43" s="71">
        <f t="shared" si="15"/>
        <v>0</v>
      </c>
      <c r="CF43" s="71">
        <f t="shared" si="16"/>
        <v>0</v>
      </c>
      <c r="CG43" s="71">
        <f t="shared" si="17"/>
        <v>0</v>
      </c>
      <c r="CH43" s="166">
        <f t="shared" si="18"/>
        <v>0</v>
      </c>
      <c r="CI43" s="263">
        <f t="shared" si="19"/>
        <v>0</v>
      </c>
      <c r="CJ43" s="77"/>
      <c r="CK43" s="73"/>
      <c r="CL43" s="172"/>
      <c r="CM43" s="177"/>
      <c r="CN43" s="173"/>
      <c r="CO43" s="178"/>
      <c r="CP43" s="195">
        <f>+AM56</f>
        <v>0</v>
      </c>
      <c r="CQ43" s="179"/>
      <c r="CR43" s="140"/>
      <c r="CS43" s="52"/>
      <c r="CT43" s="309">
        <f t="shared" si="1"/>
        <v>0</v>
      </c>
      <c r="CU43" s="293" t="e">
        <f>+'SEMANA DEL 2 AL 7-3-26'!#REF!</f>
        <v>#REF!</v>
      </c>
      <c r="CV43" s="293">
        <f t="shared" si="20"/>
        <v>0</v>
      </c>
      <c r="CW43" s="293">
        <f t="shared" si="21"/>
        <v>0</v>
      </c>
      <c r="CX43" s="293"/>
      <c r="CY43" s="293">
        <f t="shared" si="22"/>
        <v>0</v>
      </c>
      <c r="CZ43" s="307"/>
      <c r="DA43" s="307"/>
      <c r="DB43" s="304">
        <f t="shared" si="23"/>
        <v>0</v>
      </c>
      <c r="DC43" s="169">
        <f t="shared" si="24"/>
        <v>0</v>
      </c>
      <c r="DD43" s="319">
        <f t="shared" si="25"/>
        <v>0</v>
      </c>
    </row>
    <row r="44" spans="1:110" ht="18.95" customHeight="1" x14ac:dyDescent="0.25">
      <c r="A44" s="50" t="e">
        <f>+'SEMANA DEL 14 AL 21 '!#REF!</f>
        <v>#REF!</v>
      </c>
      <c r="B44" s="284" t="e">
        <f>+'SEMANA DEL 21AL 28-3'!#REF!</f>
        <v>#REF!</v>
      </c>
      <c r="C44" s="284" t="e">
        <f>+'SEMANA DEL 21AL 28-3'!#REF!</f>
        <v>#REF!</v>
      </c>
      <c r="D44" s="284" t="e">
        <f>+'SEMANA DEL 21AL 28-3'!#REF!</f>
        <v>#REF!</v>
      </c>
      <c r="E44" s="284" t="e">
        <f>+'SEMANA DEL 21AL 28-3'!#REF!</f>
        <v>#REF!</v>
      </c>
      <c r="F44" s="284" t="e">
        <f>+'SEMANA DEL 21AL 28-3'!#REF!</f>
        <v>#REF!</v>
      </c>
      <c r="G44" s="284" t="e">
        <f>+'SEMANA DEL 21AL 28-3'!#REF!</f>
        <v>#REF!</v>
      </c>
      <c r="H44" s="284" t="e">
        <f>+'SEMANA DEL 21AL 28-3'!#REF!</f>
        <v>#REF!</v>
      </c>
      <c r="I44" s="284" t="e">
        <f>+'SEMANA DEL 21AL 28-3'!#REF!</f>
        <v>#REF!</v>
      </c>
      <c r="J44" s="284" t="e">
        <f>+'SEMANA DEL 21AL 28-3'!#REF!</f>
        <v>#REF!</v>
      </c>
      <c r="K44" s="284" t="e">
        <f>+'SEMANA DEL 21AL 28-3'!#REF!</f>
        <v>#REF!</v>
      </c>
      <c r="L44" s="284" t="e">
        <f>+'SEMANA DEL 21AL 28-3'!#REF!</f>
        <v>#REF!</v>
      </c>
      <c r="M44" s="284" t="e">
        <f>+'SEMANA DEL 21AL 28-3'!#REF!</f>
        <v>#REF!</v>
      </c>
      <c r="N44" s="284" t="e">
        <f>+'SEMANA DEL 21AL 28-3'!#REF!</f>
        <v>#REF!</v>
      </c>
      <c r="O44" s="284" t="e">
        <f>+'SEMANA DEL 21AL 28-3'!#REF!</f>
        <v>#REF!</v>
      </c>
      <c r="P44" s="284" t="e">
        <f>+'SEMANA DEL 21AL 28-3'!#REF!</f>
        <v>#REF!</v>
      </c>
      <c r="Q44" s="284" t="e">
        <f>+'SEMANA DEL 21AL 28-3'!#REF!</f>
        <v>#REF!</v>
      </c>
      <c r="R44" s="289"/>
      <c r="S44" s="289"/>
      <c r="T44" s="289"/>
      <c r="U44" s="289"/>
      <c r="V44" s="289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 t="e">
        <f t="shared" si="30"/>
        <v>#REF!</v>
      </c>
      <c r="AY44" s="190" t="e">
        <f t="shared" si="30"/>
        <v>#REF!</v>
      </c>
      <c r="AZ44" s="190" t="e">
        <f t="shared" si="30"/>
        <v>#REF!</v>
      </c>
      <c r="BA44" s="190" t="e">
        <f t="shared" si="30"/>
        <v>#REF!</v>
      </c>
      <c r="BB44" s="190" t="e">
        <f t="shared" si="30"/>
        <v>#REF!</v>
      </c>
      <c r="BC44" s="190" t="e">
        <f t="shared" si="30"/>
        <v>#REF!</v>
      </c>
      <c r="BD44" s="190" t="e">
        <f t="shared" si="30"/>
        <v>#REF!</v>
      </c>
      <c r="BE44" s="190" t="e">
        <f t="shared" si="30"/>
        <v>#REF!</v>
      </c>
      <c r="BF44" s="190" t="e">
        <f t="shared" si="30"/>
        <v>#REF!</v>
      </c>
      <c r="BG44" s="190" t="e">
        <f t="shared" si="30"/>
        <v>#REF!</v>
      </c>
      <c r="BH44" s="190" t="e">
        <f t="shared" si="30"/>
        <v>#REF!</v>
      </c>
      <c r="BI44" s="190" t="e">
        <f t="shared" si="30"/>
        <v>#REF!</v>
      </c>
      <c r="BJ44" s="190" t="e">
        <f t="shared" si="30"/>
        <v>#REF!</v>
      </c>
      <c r="BK44" s="190" t="e">
        <f t="shared" si="30"/>
        <v>#REF!</v>
      </c>
      <c r="BL44" s="190" t="e">
        <f t="shared" si="30"/>
        <v>#REF!</v>
      </c>
      <c r="BM44" s="190" t="e">
        <f t="shared" si="28"/>
        <v>#REF!</v>
      </c>
      <c r="BN44" s="190"/>
      <c r="BO44" s="170">
        <f t="shared" si="2"/>
        <v>0</v>
      </c>
      <c r="BP44" s="71">
        <f t="shared" si="3"/>
        <v>0</v>
      </c>
      <c r="BQ44" s="112">
        <f t="shared" si="4"/>
        <v>0</v>
      </c>
      <c r="BR44" s="112">
        <f t="shared" si="4"/>
        <v>0</v>
      </c>
      <c r="BS44" s="112">
        <f t="shared" si="5"/>
        <v>0</v>
      </c>
      <c r="BT44" s="112">
        <f t="shared" si="6"/>
        <v>0</v>
      </c>
      <c r="BU44" s="112">
        <f t="shared" si="7"/>
        <v>0</v>
      </c>
      <c r="BV44" s="112">
        <f t="shared" si="8"/>
        <v>0</v>
      </c>
      <c r="BW44" s="112">
        <f t="shared" si="9"/>
        <v>0</v>
      </c>
      <c r="BX44" s="112">
        <f t="shared" si="10"/>
        <v>0</v>
      </c>
      <c r="BY44" s="71">
        <f t="shared" si="11"/>
        <v>0</v>
      </c>
      <c r="BZ44" s="113">
        <f t="shared" si="12"/>
        <v>0</v>
      </c>
      <c r="CA44" s="71"/>
      <c r="CB44" s="71"/>
      <c r="CC44" s="71">
        <f t="shared" si="13"/>
        <v>0</v>
      </c>
      <c r="CD44" s="71">
        <f t="shared" si="14"/>
        <v>0</v>
      </c>
      <c r="CE44" s="71">
        <f t="shared" si="15"/>
        <v>0</v>
      </c>
      <c r="CF44" s="71">
        <f t="shared" si="16"/>
        <v>0</v>
      </c>
      <c r="CG44" s="71">
        <f t="shared" si="17"/>
        <v>0</v>
      </c>
      <c r="CH44" s="166">
        <f t="shared" si="18"/>
        <v>0</v>
      </c>
      <c r="CI44" s="263">
        <f t="shared" si="19"/>
        <v>0</v>
      </c>
      <c r="CJ44" s="77"/>
      <c r="CK44" s="73"/>
      <c r="CL44" s="172"/>
      <c r="CM44" s="177"/>
      <c r="CN44" s="173"/>
      <c r="CO44" s="178"/>
      <c r="CP44" s="195">
        <f>+AM57</f>
        <v>0</v>
      </c>
      <c r="CQ44" s="179"/>
      <c r="CR44" s="140"/>
      <c r="CS44" s="52"/>
      <c r="CT44" s="309" t="e">
        <f t="shared" si="1"/>
        <v>#REF!</v>
      </c>
      <c r="CU44" s="293" t="e">
        <f>+'SEMANA DEL 2 AL 7-3-26'!#REF!</f>
        <v>#REF!</v>
      </c>
      <c r="CV44" s="293">
        <f t="shared" si="20"/>
        <v>0</v>
      </c>
      <c r="CW44" s="293">
        <f t="shared" si="21"/>
        <v>0</v>
      </c>
      <c r="CX44" s="293"/>
      <c r="CY44" s="293">
        <f t="shared" si="22"/>
        <v>0</v>
      </c>
      <c r="CZ44" s="307"/>
      <c r="DA44" s="307"/>
      <c r="DB44" s="304">
        <f t="shared" si="23"/>
        <v>0</v>
      </c>
      <c r="DC44" s="169">
        <f t="shared" si="24"/>
        <v>0</v>
      </c>
      <c r="DD44" s="319">
        <f t="shared" si="25"/>
        <v>0</v>
      </c>
    </row>
    <row r="45" spans="1:110" ht="18.95" customHeight="1" x14ac:dyDescent="0.25">
      <c r="A45" s="50" t="e">
        <f>+'SEMANA DEL 14 AL 21 '!#REF!</f>
        <v>#REF!</v>
      </c>
      <c r="B45" s="284" t="e">
        <f>+'SEMANA DEL 21AL 28-3'!#REF!</f>
        <v>#REF!</v>
      </c>
      <c r="C45" s="284" t="e">
        <f>+'SEMANA DEL 21AL 28-3'!#REF!</f>
        <v>#REF!</v>
      </c>
      <c r="D45" s="284" t="e">
        <f>+'SEMANA DEL 21AL 28-3'!#REF!</f>
        <v>#REF!</v>
      </c>
      <c r="E45" s="284" t="e">
        <f>+'SEMANA DEL 21AL 28-3'!#REF!</f>
        <v>#REF!</v>
      </c>
      <c r="F45" s="284" t="e">
        <f>+'SEMANA DEL 21AL 28-3'!#REF!</f>
        <v>#REF!</v>
      </c>
      <c r="G45" s="284" t="e">
        <f>+'SEMANA DEL 21AL 28-3'!#REF!</f>
        <v>#REF!</v>
      </c>
      <c r="H45" s="284" t="e">
        <f>+'SEMANA DEL 21AL 28-3'!#REF!</f>
        <v>#REF!</v>
      </c>
      <c r="I45" s="284" t="e">
        <f>+'SEMANA DEL 21AL 28-3'!#REF!</f>
        <v>#REF!</v>
      </c>
      <c r="J45" s="284" t="e">
        <f>+'SEMANA DEL 21AL 28-3'!#REF!</f>
        <v>#REF!</v>
      </c>
      <c r="K45" s="284" t="e">
        <f>+'SEMANA DEL 21AL 28-3'!#REF!</f>
        <v>#REF!</v>
      </c>
      <c r="L45" s="284" t="e">
        <f>+'SEMANA DEL 21AL 28-3'!#REF!</f>
        <v>#REF!</v>
      </c>
      <c r="M45" s="284" t="e">
        <f>+'SEMANA DEL 21AL 28-3'!#REF!</f>
        <v>#REF!</v>
      </c>
      <c r="N45" s="284" t="e">
        <f>+'SEMANA DEL 21AL 28-3'!#REF!</f>
        <v>#REF!</v>
      </c>
      <c r="O45" s="284" t="e">
        <f>+'SEMANA DEL 21AL 28-3'!#REF!</f>
        <v>#REF!</v>
      </c>
      <c r="P45" s="284" t="e">
        <f>+'SEMANA DEL 21AL 28-3'!#REF!</f>
        <v>#REF!</v>
      </c>
      <c r="Q45" s="284" t="e">
        <f>+'SEMANA DEL 21AL 28-3'!#REF!</f>
        <v>#REF!</v>
      </c>
      <c r="R45" s="289"/>
      <c r="S45" s="289"/>
      <c r="T45" s="289"/>
      <c r="U45" s="289"/>
      <c r="V45" s="289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0"/>
      <c r="AX45" s="190" t="e">
        <f t="shared" si="30"/>
        <v>#REF!</v>
      </c>
      <c r="AY45" s="190" t="e">
        <f t="shared" si="30"/>
        <v>#REF!</v>
      </c>
      <c r="AZ45" s="190" t="e">
        <f t="shared" si="30"/>
        <v>#REF!</v>
      </c>
      <c r="BA45" s="190" t="e">
        <f t="shared" si="30"/>
        <v>#REF!</v>
      </c>
      <c r="BB45" s="190" t="e">
        <f t="shared" si="30"/>
        <v>#REF!</v>
      </c>
      <c r="BC45" s="190" t="e">
        <f t="shared" si="30"/>
        <v>#REF!</v>
      </c>
      <c r="BD45" s="190" t="e">
        <f t="shared" si="30"/>
        <v>#REF!</v>
      </c>
      <c r="BE45" s="190" t="e">
        <f t="shared" si="30"/>
        <v>#REF!</v>
      </c>
      <c r="BF45" s="190" t="e">
        <f t="shared" si="30"/>
        <v>#REF!</v>
      </c>
      <c r="BG45" s="190" t="e">
        <f t="shared" si="30"/>
        <v>#REF!</v>
      </c>
      <c r="BH45" s="190" t="e">
        <f t="shared" si="30"/>
        <v>#REF!</v>
      </c>
      <c r="BI45" s="190" t="e">
        <f t="shared" si="30"/>
        <v>#REF!</v>
      </c>
      <c r="BJ45" s="190" t="e">
        <f t="shared" si="30"/>
        <v>#REF!</v>
      </c>
      <c r="BK45" s="190" t="e">
        <f t="shared" si="30"/>
        <v>#REF!</v>
      </c>
      <c r="BL45" s="190" t="e">
        <f t="shared" si="30"/>
        <v>#REF!</v>
      </c>
      <c r="BM45" s="190" t="e">
        <f t="shared" si="28"/>
        <v>#REF!</v>
      </c>
      <c r="BN45" s="190"/>
      <c r="BO45" s="170">
        <f t="shared" si="2"/>
        <v>0</v>
      </c>
      <c r="BP45" s="71">
        <f t="shared" si="3"/>
        <v>0</v>
      </c>
      <c r="BQ45" s="112">
        <f t="shared" si="4"/>
        <v>0</v>
      </c>
      <c r="BR45" s="112">
        <f t="shared" si="4"/>
        <v>0</v>
      </c>
      <c r="BS45" s="112">
        <f t="shared" si="5"/>
        <v>0</v>
      </c>
      <c r="BT45" s="112">
        <f t="shared" si="6"/>
        <v>0</v>
      </c>
      <c r="BU45" s="112">
        <f t="shared" si="7"/>
        <v>0</v>
      </c>
      <c r="BV45" s="112">
        <f t="shared" si="8"/>
        <v>0</v>
      </c>
      <c r="BW45" s="112">
        <f t="shared" si="9"/>
        <v>0</v>
      </c>
      <c r="BX45" s="112">
        <f t="shared" si="10"/>
        <v>0</v>
      </c>
      <c r="BY45" s="71">
        <f t="shared" si="11"/>
        <v>0</v>
      </c>
      <c r="BZ45" s="113">
        <f t="shared" si="12"/>
        <v>0</v>
      </c>
      <c r="CA45" s="71"/>
      <c r="CB45" s="71"/>
      <c r="CC45" s="71">
        <f t="shared" si="13"/>
        <v>0</v>
      </c>
      <c r="CD45" s="71">
        <f t="shared" si="14"/>
        <v>0</v>
      </c>
      <c r="CE45" s="71">
        <f t="shared" si="15"/>
        <v>0</v>
      </c>
      <c r="CF45" s="71">
        <f t="shared" si="16"/>
        <v>0</v>
      </c>
      <c r="CG45" s="71">
        <f t="shared" si="17"/>
        <v>0</v>
      </c>
      <c r="CH45" s="166">
        <f t="shared" si="18"/>
        <v>0</v>
      </c>
      <c r="CI45" s="263">
        <f t="shared" si="19"/>
        <v>0</v>
      </c>
      <c r="CJ45" s="77"/>
      <c r="CK45" s="73"/>
      <c r="CL45" s="172" t="s">
        <v>65</v>
      </c>
      <c r="CM45" s="177" t="e">
        <f>+'SEMANA DEL 14 AL 21 '!#REF!</f>
        <v>#REF!</v>
      </c>
      <c r="CN45" s="173" t="e">
        <f>+#REF!</f>
        <v>#REF!</v>
      </c>
      <c r="CO45" s="178" t="e">
        <f>+CM45+CN45</f>
        <v>#REF!</v>
      </c>
      <c r="CP45" s="195">
        <f>+AM58</f>
        <v>0</v>
      </c>
      <c r="CQ45" s="179" t="e">
        <f>CO45-CP45</f>
        <v>#REF!</v>
      </c>
      <c r="CR45" s="140"/>
      <c r="CS45" s="52"/>
      <c r="CT45" s="309" t="e">
        <f t="shared" si="1"/>
        <v>#REF!</v>
      </c>
      <c r="CU45" s="293" t="str">
        <f>+'SEMANA DEL 2 AL 7-3-26'!CS42</f>
        <v>V-14,975,665</v>
      </c>
      <c r="CV45" s="293">
        <f t="shared" si="20"/>
        <v>0</v>
      </c>
      <c r="CW45" s="293">
        <f t="shared" si="21"/>
        <v>0</v>
      </c>
      <c r="CX45" s="293"/>
      <c r="CY45" s="293">
        <f t="shared" si="22"/>
        <v>0</v>
      </c>
      <c r="CZ45" s="307"/>
      <c r="DA45" s="307"/>
      <c r="DB45" s="304">
        <f t="shared" si="23"/>
        <v>0</v>
      </c>
      <c r="DC45" s="169">
        <f t="shared" si="24"/>
        <v>0</v>
      </c>
      <c r="DD45" s="319">
        <f t="shared" si="25"/>
        <v>0</v>
      </c>
      <c r="DF45">
        <v>0</v>
      </c>
    </row>
    <row r="46" spans="1:110" ht="18.95" customHeight="1" x14ac:dyDescent="0.25">
      <c r="A46" s="50" t="e">
        <f>+'SEMANA DEL 14 AL 21 '!#REF!</f>
        <v>#REF!</v>
      </c>
      <c r="B46" s="284" t="e">
        <f>+'SEMANA DEL 21AL 28-3'!#REF!</f>
        <v>#REF!</v>
      </c>
      <c r="C46" s="284" t="e">
        <f>+'SEMANA DEL 21AL 28-3'!#REF!</f>
        <v>#REF!</v>
      </c>
      <c r="D46" s="284" t="e">
        <f>+'SEMANA DEL 21AL 28-3'!#REF!</f>
        <v>#REF!</v>
      </c>
      <c r="E46" s="284" t="e">
        <f>+'SEMANA DEL 21AL 28-3'!#REF!</f>
        <v>#REF!</v>
      </c>
      <c r="F46" s="284" t="e">
        <f>+'SEMANA DEL 21AL 28-3'!#REF!</f>
        <v>#REF!</v>
      </c>
      <c r="G46" s="284" t="e">
        <f>+'SEMANA DEL 21AL 28-3'!#REF!</f>
        <v>#REF!</v>
      </c>
      <c r="H46" s="284" t="e">
        <f>+'SEMANA DEL 21AL 28-3'!#REF!</f>
        <v>#REF!</v>
      </c>
      <c r="I46" s="284" t="e">
        <f>+'SEMANA DEL 21AL 28-3'!#REF!</f>
        <v>#REF!</v>
      </c>
      <c r="J46" s="284" t="e">
        <f>+'SEMANA DEL 21AL 28-3'!#REF!</f>
        <v>#REF!</v>
      </c>
      <c r="K46" s="284" t="e">
        <f>+'SEMANA DEL 21AL 28-3'!#REF!</f>
        <v>#REF!</v>
      </c>
      <c r="L46" s="284" t="e">
        <f>+'SEMANA DEL 21AL 28-3'!#REF!</f>
        <v>#REF!</v>
      </c>
      <c r="M46" s="284" t="e">
        <f>+'SEMANA DEL 21AL 28-3'!#REF!</f>
        <v>#REF!</v>
      </c>
      <c r="N46" s="284" t="e">
        <f>+'SEMANA DEL 21AL 28-3'!#REF!</f>
        <v>#REF!</v>
      </c>
      <c r="O46" s="284" t="e">
        <f>+'SEMANA DEL 21AL 28-3'!#REF!</f>
        <v>#REF!</v>
      </c>
      <c r="P46" s="284" t="e">
        <f>+'SEMANA DEL 21AL 28-3'!#REF!</f>
        <v>#REF!</v>
      </c>
      <c r="Q46" s="284" t="e">
        <f>+'SEMANA DEL 21AL 28-3'!#REF!</f>
        <v>#REF!</v>
      </c>
      <c r="R46" s="289"/>
      <c r="S46" s="289"/>
      <c r="T46" s="289"/>
      <c r="U46" s="289"/>
      <c r="V46" s="289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 s="190"/>
      <c r="AX46" s="190" t="e">
        <f t="shared" si="30"/>
        <v>#REF!</v>
      </c>
      <c r="AY46" s="190" t="e">
        <f t="shared" si="30"/>
        <v>#REF!</v>
      </c>
      <c r="AZ46" s="190" t="e">
        <f t="shared" si="30"/>
        <v>#REF!</v>
      </c>
      <c r="BA46" s="190" t="e">
        <f t="shared" si="30"/>
        <v>#REF!</v>
      </c>
      <c r="BB46" s="190" t="e">
        <f t="shared" si="30"/>
        <v>#REF!</v>
      </c>
      <c r="BC46" s="190" t="e">
        <f t="shared" si="30"/>
        <v>#REF!</v>
      </c>
      <c r="BD46" s="190" t="e">
        <f t="shared" si="30"/>
        <v>#REF!</v>
      </c>
      <c r="BE46" s="190" t="e">
        <f t="shared" si="30"/>
        <v>#REF!</v>
      </c>
      <c r="BF46" s="190" t="e">
        <f t="shared" si="30"/>
        <v>#REF!</v>
      </c>
      <c r="BG46" s="190" t="e">
        <f t="shared" si="30"/>
        <v>#REF!</v>
      </c>
      <c r="BH46" s="190" t="e">
        <f t="shared" si="30"/>
        <v>#REF!</v>
      </c>
      <c r="BI46" s="190" t="e">
        <f t="shared" si="30"/>
        <v>#REF!</v>
      </c>
      <c r="BJ46" s="190" t="e">
        <f t="shared" si="30"/>
        <v>#REF!</v>
      </c>
      <c r="BK46" s="190" t="e">
        <f t="shared" si="30"/>
        <v>#REF!</v>
      </c>
      <c r="BL46" s="190" t="e">
        <f t="shared" si="30"/>
        <v>#REF!</v>
      </c>
      <c r="BM46" s="190" t="e">
        <f t="shared" si="28"/>
        <v>#REF!</v>
      </c>
      <c r="BN46" s="190"/>
      <c r="BO46" s="170">
        <f t="shared" si="2"/>
        <v>0</v>
      </c>
      <c r="BP46" s="71">
        <f t="shared" si="3"/>
        <v>0</v>
      </c>
      <c r="BQ46" s="112">
        <f t="shared" si="4"/>
        <v>0</v>
      </c>
      <c r="BR46" s="112">
        <f t="shared" si="4"/>
        <v>0</v>
      </c>
      <c r="BS46" s="112">
        <f t="shared" si="5"/>
        <v>0</v>
      </c>
      <c r="BT46" s="112">
        <f t="shared" si="6"/>
        <v>0</v>
      </c>
      <c r="BU46" s="112">
        <f t="shared" si="7"/>
        <v>0</v>
      </c>
      <c r="BV46" s="112">
        <f t="shared" si="8"/>
        <v>0</v>
      </c>
      <c r="BW46" s="112">
        <f t="shared" si="9"/>
        <v>0</v>
      </c>
      <c r="BX46" s="112">
        <f t="shared" si="10"/>
        <v>0</v>
      </c>
      <c r="BY46" s="71">
        <f t="shared" si="11"/>
        <v>0</v>
      </c>
      <c r="BZ46" s="113">
        <f t="shared" si="12"/>
        <v>0</v>
      </c>
      <c r="CA46" s="71"/>
      <c r="CB46" s="71"/>
      <c r="CC46" s="71">
        <f t="shared" si="13"/>
        <v>0</v>
      </c>
      <c r="CD46" s="71">
        <f t="shared" si="14"/>
        <v>0</v>
      </c>
      <c r="CE46" s="71">
        <f t="shared" si="15"/>
        <v>0</v>
      </c>
      <c r="CF46" s="71">
        <f t="shared" si="16"/>
        <v>0</v>
      </c>
      <c r="CG46" s="71">
        <f t="shared" si="17"/>
        <v>0</v>
      </c>
      <c r="CH46" s="166">
        <f t="shared" si="18"/>
        <v>0</v>
      </c>
      <c r="CI46" s="263">
        <f t="shared" si="19"/>
        <v>0</v>
      </c>
      <c r="CJ46" s="77"/>
      <c r="CK46" s="73"/>
      <c r="CL46" s="172"/>
      <c r="CM46" s="177"/>
      <c r="CN46" s="173"/>
      <c r="CO46" s="178"/>
      <c r="CP46" s="195"/>
      <c r="CQ46" s="179"/>
      <c r="CR46" s="140"/>
      <c r="CS46" s="52"/>
      <c r="CT46" s="309" t="e">
        <f t="shared" si="1"/>
        <v>#REF!</v>
      </c>
      <c r="CU46" s="293" t="str">
        <f>+'SEMANA DEL 2 AL 7-3-26'!CS43</f>
        <v>V-11.017.442</v>
      </c>
      <c r="CV46" s="293">
        <f t="shared" si="20"/>
        <v>0</v>
      </c>
      <c r="CW46" s="293">
        <f t="shared" si="21"/>
        <v>0</v>
      </c>
      <c r="CX46" s="293"/>
      <c r="CY46" s="293">
        <f t="shared" si="22"/>
        <v>0</v>
      </c>
      <c r="CZ46" s="307"/>
      <c r="DA46" s="307"/>
      <c r="DB46" s="304">
        <f t="shared" si="23"/>
        <v>0</v>
      </c>
      <c r="DC46" s="169">
        <f t="shared" si="24"/>
        <v>0</v>
      </c>
      <c r="DD46" s="319">
        <f t="shared" si="25"/>
        <v>0</v>
      </c>
    </row>
    <row r="47" spans="1:110" s="257" customFormat="1" ht="18.95" customHeight="1" x14ac:dyDescent="0.25">
      <c r="A47" s="50" t="e">
        <f>+'SEMANA DEL 14 AL 21 '!#REF!</f>
        <v>#REF!</v>
      </c>
      <c r="B47" s="264" t="e">
        <f t="shared" ref="B47:BM47" si="31">SUM(B5:B46)</f>
        <v>#REF!</v>
      </c>
      <c r="C47" s="264" t="e">
        <f t="shared" si="31"/>
        <v>#REF!</v>
      </c>
      <c r="D47" s="264" t="e">
        <f t="shared" si="31"/>
        <v>#REF!</v>
      </c>
      <c r="E47" s="264" t="e">
        <f t="shared" si="31"/>
        <v>#REF!</v>
      </c>
      <c r="F47" s="264" t="e">
        <f t="shared" si="31"/>
        <v>#REF!</v>
      </c>
      <c r="G47" s="264" t="e">
        <f t="shared" si="31"/>
        <v>#REF!</v>
      </c>
      <c r="H47" s="264" t="e">
        <f t="shared" si="31"/>
        <v>#REF!</v>
      </c>
      <c r="I47" s="264" t="e">
        <f t="shared" si="31"/>
        <v>#REF!</v>
      </c>
      <c r="J47" s="264" t="e">
        <f t="shared" si="31"/>
        <v>#REF!</v>
      </c>
      <c r="K47" s="264" t="e">
        <f t="shared" si="31"/>
        <v>#REF!</v>
      </c>
      <c r="L47" s="264" t="e">
        <f t="shared" si="31"/>
        <v>#REF!</v>
      </c>
      <c r="M47" s="264" t="e">
        <f t="shared" si="31"/>
        <v>#REF!</v>
      </c>
      <c r="N47" s="264" t="e">
        <f t="shared" si="31"/>
        <v>#REF!</v>
      </c>
      <c r="O47" s="264" t="e">
        <f t="shared" si="31"/>
        <v>#REF!</v>
      </c>
      <c r="P47" s="264" t="e">
        <f t="shared" si="31"/>
        <v>#REF!</v>
      </c>
      <c r="Q47" s="264" t="e">
        <f t="shared" si="31"/>
        <v>#REF!</v>
      </c>
      <c r="R47" s="320">
        <f t="shared" si="31"/>
        <v>0</v>
      </c>
      <c r="S47" s="320">
        <f t="shared" si="31"/>
        <v>0</v>
      </c>
      <c r="T47" s="320">
        <f t="shared" si="31"/>
        <v>0</v>
      </c>
      <c r="U47" s="320">
        <f t="shared" si="31"/>
        <v>0</v>
      </c>
      <c r="V47" s="320">
        <f t="shared" si="31"/>
        <v>0</v>
      </c>
      <c r="W47" s="264">
        <f t="shared" si="31"/>
        <v>0</v>
      </c>
      <c r="X47" s="264">
        <f t="shared" si="31"/>
        <v>0</v>
      </c>
      <c r="Y47" s="264">
        <f t="shared" si="31"/>
        <v>0</v>
      </c>
      <c r="Z47" s="264">
        <f t="shared" si="31"/>
        <v>0</v>
      </c>
      <c r="AA47" s="264">
        <f t="shared" si="31"/>
        <v>0</v>
      </c>
      <c r="AB47" s="264">
        <f t="shared" si="31"/>
        <v>0</v>
      </c>
      <c r="AC47" s="264">
        <f t="shared" si="31"/>
        <v>0</v>
      </c>
      <c r="AD47" s="264">
        <f t="shared" si="31"/>
        <v>0</v>
      </c>
      <c r="AE47" s="264">
        <f t="shared" si="31"/>
        <v>0</v>
      </c>
      <c r="AF47" s="264">
        <f t="shared" si="31"/>
        <v>0</v>
      </c>
      <c r="AG47" s="264">
        <f t="shared" si="31"/>
        <v>0</v>
      </c>
      <c r="AH47" s="264">
        <f t="shared" si="31"/>
        <v>0</v>
      </c>
      <c r="AI47" s="264">
        <f t="shared" si="31"/>
        <v>0</v>
      </c>
      <c r="AJ47" s="264">
        <f t="shared" si="31"/>
        <v>0</v>
      </c>
      <c r="AK47" s="264">
        <f t="shared" si="31"/>
        <v>0</v>
      </c>
      <c r="AL47" s="264">
        <f t="shared" si="31"/>
        <v>0</v>
      </c>
      <c r="AM47" s="264">
        <f t="shared" si="31"/>
        <v>0</v>
      </c>
      <c r="AN47" s="264">
        <f t="shared" si="31"/>
        <v>0</v>
      </c>
      <c r="AO47" s="264">
        <f t="shared" si="31"/>
        <v>0</v>
      </c>
      <c r="AP47" s="264">
        <f t="shared" si="31"/>
        <v>0</v>
      </c>
      <c r="AQ47" s="264">
        <f t="shared" si="31"/>
        <v>0</v>
      </c>
      <c r="AR47" s="264">
        <f t="shared" si="31"/>
        <v>0</v>
      </c>
      <c r="AS47" s="264">
        <f t="shared" si="31"/>
        <v>0</v>
      </c>
      <c r="AT47" s="264">
        <f t="shared" si="31"/>
        <v>0</v>
      </c>
      <c r="AU47" s="264">
        <f t="shared" si="31"/>
        <v>0</v>
      </c>
      <c r="AV47" s="264">
        <f t="shared" si="31"/>
        <v>0</v>
      </c>
      <c r="AW47" s="264">
        <f t="shared" si="31"/>
        <v>0</v>
      </c>
      <c r="AX47" s="264" t="e">
        <f t="shared" si="31"/>
        <v>#REF!</v>
      </c>
      <c r="AY47" s="264" t="e">
        <f t="shared" si="31"/>
        <v>#REF!</v>
      </c>
      <c r="AZ47" s="264" t="e">
        <f t="shared" si="31"/>
        <v>#REF!</v>
      </c>
      <c r="BA47" s="264" t="e">
        <f t="shared" si="31"/>
        <v>#REF!</v>
      </c>
      <c r="BB47" s="264" t="e">
        <f t="shared" si="31"/>
        <v>#REF!</v>
      </c>
      <c r="BC47" s="264" t="e">
        <f t="shared" si="31"/>
        <v>#REF!</v>
      </c>
      <c r="BD47" s="264" t="e">
        <f t="shared" si="31"/>
        <v>#REF!</v>
      </c>
      <c r="BE47" s="264" t="e">
        <f t="shared" si="31"/>
        <v>#REF!</v>
      </c>
      <c r="BF47" s="264" t="e">
        <f t="shared" si="31"/>
        <v>#REF!</v>
      </c>
      <c r="BG47" s="264" t="e">
        <f t="shared" si="31"/>
        <v>#REF!</v>
      </c>
      <c r="BH47" s="264" t="e">
        <f t="shared" si="31"/>
        <v>#REF!</v>
      </c>
      <c r="BI47" s="264" t="e">
        <f t="shared" si="31"/>
        <v>#REF!</v>
      </c>
      <c r="BJ47" s="264" t="e">
        <f t="shared" si="31"/>
        <v>#REF!</v>
      </c>
      <c r="BK47" s="264" t="e">
        <f t="shared" si="31"/>
        <v>#REF!</v>
      </c>
      <c r="BL47" s="264" t="e">
        <f t="shared" si="31"/>
        <v>#REF!</v>
      </c>
      <c r="BM47" s="264" t="e">
        <f t="shared" si="31"/>
        <v>#REF!</v>
      </c>
      <c r="BN47" s="264">
        <f t="shared" ref="BN47:CI47" si="32">SUM(BN5:BN46)</f>
        <v>0</v>
      </c>
      <c r="BO47" s="264">
        <f t="shared" si="32"/>
        <v>0</v>
      </c>
      <c r="BP47" s="264">
        <f t="shared" si="32"/>
        <v>0</v>
      </c>
      <c r="BQ47" s="264">
        <f t="shared" si="32"/>
        <v>0</v>
      </c>
      <c r="BR47" s="264">
        <f t="shared" si="32"/>
        <v>0</v>
      </c>
      <c r="BS47" s="264">
        <f t="shared" si="32"/>
        <v>0</v>
      </c>
      <c r="BT47" s="264">
        <f t="shared" si="32"/>
        <v>0</v>
      </c>
      <c r="BU47" s="264">
        <f t="shared" si="32"/>
        <v>0</v>
      </c>
      <c r="BV47" s="264">
        <f t="shared" si="32"/>
        <v>0</v>
      </c>
      <c r="BW47" s="264">
        <f t="shared" si="32"/>
        <v>0</v>
      </c>
      <c r="BX47" s="264">
        <f t="shared" si="32"/>
        <v>0</v>
      </c>
      <c r="BY47" s="264">
        <f t="shared" si="32"/>
        <v>0</v>
      </c>
      <c r="BZ47" s="264">
        <f t="shared" si="32"/>
        <v>0</v>
      </c>
      <c r="CA47" s="264">
        <f t="shared" si="32"/>
        <v>0</v>
      </c>
      <c r="CB47" s="264">
        <f t="shared" si="32"/>
        <v>0</v>
      </c>
      <c r="CC47" s="264">
        <f t="shared" si="32"/>
        <v>0</v>
      </c>
      <c r="CD47" s="264">
        <f t="shared" si="32"/>
        <v>0</v>
      </c>
      <c r="CE47" s="264">
        <f t="shared" si="32"/>
        <v>0</v>
      </c>
      <c r="CF47" s="264">
        <f t="shared" si="32"/>
        <v>0</v>
      </c>
      <c r="CG47" s="264">
        <f t="shared" si="32"/>
        <v>0</v>
      </c>
      <c r="CH47" s="264">
        <f t="shared" si="32"/>
        <v>0</v>
      </c>
      <c r="CI47" s="264">
        <f t="shared" si="32"/>
        <v>0</v>
      </c>
      <c r="CJ47" s="271"/>
      <c r="CK47" s="271"/>
      <c r="CL47" s="205"/>
      <c r="CM47" s="205"/>
      <c r="CN47" s="205"/>
      <c r="CO47" s="205"/>
      <c r="CP47" s="205"/>
      <c r="CQ47" s="205"/>
      <c r="CR47" s="205"/>
      <c r="CS47" s="205"/>
      <c r="CT47" s="309" t="e">
        <f t="shared" si="1"/>
        <v>#REF!</v>
      </c>
      <c r="CU47" s="293">
        <f>+'SEMANA DEL 2 AL 7-3-26'!CS45</f>
        <v>0</v>
      </c>
      <c r="CV47" s="293">
        <f>SUM(CV5:CV46)</f>
        <v>0</v>
      </c>
      <c r="CW47" s="293">
        <f>SUM(CW5:CW46)</f>
        <v>0</v>
      </c>
      <c r="CX47" s="293">
        <f>SUM(CX5:CX46)</f>
        <v>0</v>
      </c>
      <c r="CY47" s="293">
        <f>+CX47*230</f>
        <v>0</v>
      </c>
      <c r="CZ47" s="293">
        <f>SUM(CZ5:CZ46)</f>
        <v>0</v>
      </c>
      <c r="DA47" s="293">
        <f>SUM(DA5:DA46)</f>
        <v>0</v>
      </c>
      <c r="DB47" s="293">
        <f>SUM(DB5:DB46)</f>
        <v>0</v>
      </c>
      <c r="DC47" s="293">
        <f>SUM(DC5:DC46)</f>
        <v>0</v>
      </c>
      <c r="DD47" s="293">
        <f>SUM(DD5:DD46)</f>
        <v>0</v>
      </c>
    </row>
    <row r="48" spans="1:110" ht="15.75" x14ac:dyDescent="0.25">
      <c r="R48" s="285"/>
      <c r="S48" s="285"/>
      <c r="T48" s="285"/>
      <c r="U48" s="285"/>
      <c r="AH48" s="257"/>
      <c r="AI48" s="265"/>
      <c r="AJ48" s="265"/>
      <c r="AK48" s="265"/>
      <c r="AL48" s="265"/>
      <c r="AM48" s="265"/>
      <c r="AN48" s="265"/>
      <c r="AO48" s="265"/>
      <c r="AP48" s="265"/>
      <c r="AQ48" s="265"/>
      <c r="AR48" s="265"/>
      <c r="AS48" s="265"/>
      <c r="AT48" s="257"/>
      <c r="AU48" s="257"/>
      <c r="AV48" s="257"/>
      <c r="AW48" s="257"/>
      <c r="AX48" s="257"/>
      <c r="AY48" s="257"/>
      <c r="AZ48" s="257"/>
      <c r="BA48" s="257"/>
      <c r="BB48" s="257"/>
      <c r="BC48" s="257"/>
      <c r="BD48" s="257"/>
      <c r="BE48" s="257"/>
      <c r="BF48" s="257"/>
      <c r="BG48" s="257"/>
      <c r="BH48" s="257"/>
      <c r="BI48" s="257"/>
      <c r="BJ48" s="257"/>
      <c r="BK48" s="257"/>
      <c r="BL48" s="257"/>
      <c r="BM48" s="266"/>
      <c r="BN48" s="267"/>
      <c r="BO48" s="257"/>
      <c r="BP48" s="257"/>
      <c r="BQ48" s="257"/>
      <c r="BR48" s="257"/>
      <c r="BS48" s="257"/>
      <c r="BT48" s="257"/>
      <c r="BU48" s="257"/>
      <c r="BV48" s="257"/>
      <c r="BW48" s="257"/>
      <c r="BX48" s="257"/>
      <c r="BY48" s="257"/>
      <c r="BZ48" s="257"/>
      <c r="CA48" s="257"/>
      <c r="CB48" s="257"/>
      <c r="CC48" s="257"/>
      <c r="CD48" s="257"/>
      <c r="CE48" s="257"/>
      <c r="CF48" s="257"/>
      <c r="CG48" s="257"/>
      <c r="CH48" s="257"/>
      <c r="CI48" s="268">
        <f>+CI47+CH47</f>
        <v>0</v>
      </c>
      <c r="CT48" s="309">
        <f t="shared" si="1"/>
        <v>0</v>
      </c>
      <c r="CV48" s="285"/>
      <c r="CW48" s="285"/>
      <c r="CZ48" s="285"/>
      <c r="DA48" s="285"/>
    </row>
    <row r="49" spans="5:103" ht="15" x14ac:dyDescent="0.2">
      <c r="E49"/>
      <c r="F49"/>
      <c r="G49"/>
      <c r="H49"/>
      <c r="I49"/>
      <c r="J49"/>
      <c r="K49"/>
      <c r="L49"/>
      <c r="M49"/>
      <c r="N49"/>
      <c r="O49"/>
      <c r="AI49"/>
      <c r="AJ49"/>
      <c r="AK49"/>
      <c r="AL49"/>
      <c r="AM49"/>
      <c r="AN49"/>
      <c r="AO49"/>
      <c r="AP49"/>
      <c r="AQ49"/>
      <c r="AR49"/>
      <c r="AS49"/>
      <c r="BM49" s="44" t="s">
        <v>103</v>
      </c>
      <c r="CT49" s="234" t="s">
        <v>126</v>
      </c>
      <c r="CU49" s="44"/>
      <c r="CV49" s="339">
        <f>+CV47+CW47+CX47</f>
        <v>0</v>
      </c>
      <c r="CW49" s="285"/>
    </row>
    <row r="50" spans="5:103" x14ac:dyDescent="0.2">
      <c r="S50" s="68"/>
      <c r="BM50" s="44" t="s">
        <v>78</v>
      </c>
      <c r="BN50" s="47">
        <f>+BN47+BN49</f>
        <v>0</v>
      </c>
      <c r="CU50" s="44"/>
      <c r="CV50" s="340"/>
      <c r="CW50" s="340"/>
      <c r="CX50" s="47"/>
      <c r="CY50" s="47"/>
    </row>
    <row r="51" spans="5:103" x14ac:dyDescent="0.2">
      <c r="CV51" s="285"/>
      <c r="CW51" s="285" t="s">
        <v>2</v>
      </c>
    </row>
    <row r="52" spans="5:103" x14ac:dyDescent="0.2">
      <c r="CV52" s="285"/>
      <c r="CW52" s="285"/>
    </row>
    <row r="53" spans="5:103" x14ac:dyDescent="0.2">
      <c r="CV53" s="285"/>
      <c r="CW53" s="285"/>
    </row>
    <row r="54" spans="5:103" x14ac:dyDescent="0.2">
      <c r="CV54" s="285"/>
      <c r="CW54" s="285"/>
    </row>
    <row r="55" spans="5:103" x14ac:dyDescent="0.2">
      <c r="CV55" s="285"/>
      <c r="CW55" s="285"/>
    </row>
    <row r="56" spans="5:103" x14ac:dyDescent="0.2">
      <c r="CV56" s="285"/>
      <c r="CW56" s="285"/>
    </row>
    <row r="57" spans="5:103" x14ac:dyDescent="0.2">
      <c r="CV57" s="285"/>
      <c r="CW57" s="285"/>
    </row>
    <row r="58" spans="5:103" x14ac:dyDescent="0.2">
      <c r="CV58" s="285"/>
      <c r="CW58" s="285"/>
    </row>
    <row r="59" spans="5:103" x14ac:dyDescent="0.2">
      <c r="CV59" s="285"/>
      <c r="CW59" s="285"/>
    </row>
    <row r="60" spans="5:103" x14ac:dyDescent="0.2">
      <c r="CV60" s="285"/>
      <c r="CW60" s="285"/>
    </row>
    <row r="61" spans="5:103" x14ac:dyDescent="0.2">
      <c r="CV61" s="285"/>
      <c r="CW61" s="285"/>
    </row>
    <row r="62" spans="5:103" x14ac:dyDescent="0.2">
      <c r="CV62" s="285"/>
      <c r="CW62" s="285"/>
    </row>
    <row r="63" spans="5:103" x14ac:dyDescent="0.2">
      <c r="CV63" s="285"/>
      <c r="CW63" s="285"/>
    </row>
    <row r="64" spans="5:103" x14ac:dyDescent="0.2">
      <c r="CV64" s="285"/>
      <c r="CW64" s="285"/>
    </row>
    <row r="65" spans="100:101" x14ac:dyDescent="0.2">
      <c r="CV65" s="285"/>
      <c r="CW65" s="285"/>
    </row>
    <row r="66" spans="100:101" x14ac:dyDescent="0.2">
      <c r="CV66" s="285"/>
      <c r="CW66" s="285"/>
    </row>
    <row r="67" spans="100:101" x14ac:dyDescent="0.2">
      <c r="CV67" s="285"/>
      <c r="CW67" s="285"/>
    </row>
    <row r="68" spans="100:101" x14ac:dyDescent="0.2">
      <c r="CV68" s="285"/>
      <c r="CW68" s="285"/>
    </row>
    <row r="69" spans="100:101" x14ac:dyDescent="0.2">
      <c r="CV69" s="285"/>
      <c r="CW69" s="285"/>
    </row>
    <row r="70" spans="100:101" x14ac:dyDescent="0.2">
      <c r="CV70" s="285"/>
      <c r="CW70" s="285"/>
    </row>
    <row r="71" spans="100:101" x14ac:dyDescent="0.2">
      <c r="CV71" s="285"/>
      <c r="CW71" s="285"/>
    </row>
    <row r="72" spans="100:101" x14ac:dyDescent="0.2">
      <c r="CV72" s="285"/>
      <c r="CW72" s="285"/>
    </row>
    <row r="73" spans="100:101" x14ac:dyDescent="0.2">
      <c r="CV73" s="285"/>
      <c r="CW73" s="285"/>
    </row>
    <row r="74" spans="100:101" x14ac:dyDescent="0.2">
      <c r="CV74" s="285"/>
      <c r="CW74" s="285"/>
    </row>
    <row r="75" spans="100:101" x14ac:dyDescent="0.2">
      <c r="CV75" s="285"/>
      <c r="CW75" s="285"/>
    </row>
    <row r="76" spans="100:101" x14ac:dyDescent="0.2">
      <c r="CV76" s="285"/>
      <c r="CW76" s="285"/>
    </row>
    <row r="77" spans="100:101" x14ac:dyDescent="0.2">
      <c r="CV77" s="285"/>
      <c r="CW77" s="285"/>
    </row>
    <row r="78" spans="100:101" x14ac:dyDescent="0.2">
      <c r="CV78" s="285"/>
      <c r="CW78" s="285"/>
    </row>
    <row r="79" spans="100:101" x14ac:dyDescent="0.2">
      <c r="CV79" s="285"/>
      <c r="CW79" s="285"/>
    </row>
    <row r="80" spans="100:101" x14ac:dyDescent="0.2">
      <c r="CV80" s="285"/>
      <c r="CW80" s="285"/>
    </row>
    <row r="81" spans="100:101" x14ac:dyDescent="0.2">
      <c r="CV81" s="285"/>
      <c r="CW81" s="285"/>
    </row>
    <row r="82" spans="100:101" x14ac:dyDescent="0.2">
      <c r="CV82" s="285"/>
      <c r="CW82" s="285"/>
    </row>
    <row r="83" spans="100:101" x14ac:dyDescent="0.2">
      <c r="CV83" s="285"/>
      <c r="CW83" s="285"/>
    </row>
    <row r="84" spans="100:101" x14ac:dyDescent="0.2">
      <c r="CV84" s="285"/>
      <c r="CW84" s="285"/>
    </row>
    <row r="85" spans="100:101" x14ac:dyDescent="0.2">
      <c r="CV85" s="285"/>
      <c r="CW85" s="285"/>
    </row>
    <row r="86" spans="100:101" x14ac:dyDescent="0.2">
      <c r="CV86" s="285"/>
      <c r="CW86" s="285"/>
    </row>
    <row r="87" spans="100:101" x14ac:dyDescent="0.2">
      <c r="CV87" s="285"/>
      <c r="CW87" s="285"/>
    </row>
    <row r="88" spans="100:101" x14ac:dyDescent="0.2">
      <c r="CV88" s="285"/>
      <c r="CW88" s="285"/>
    </row>
    <row r="89" spans="100:101" x14ac:dyDescent="0.2">
      <c r="CV89" s="285"/>
      <c r="CW89" s="285"/>
    </row>
    <row r="90" spans="100:101" x14ac:dyDescent="0.2">
      <c r="CV90" s="285"/>
      <c r="CW90" s="285"/>
    </row>
    <row r="91" spans="100:101" x14ac:dyDescent="0.2">
      <c r="CV91" s="285"/>
      <c r="CW91" s="285"/>
    </row>
    <row r="92" spans="100:101" x14ac:dyDescent="0.2">
      <c r="CV92" s="285"/>
      <c r="CW92" s="285"/>
    </row>
    <row r="93" spans="100:101" x14ac:dyDescent="0.2">
      <c r="CV93" s="285"/>
      <c r="CW93" s="285"/>
    </row>
    <row r="94" spans="100:101" x14ac:dyDescent="0.2">
      <c r="CV94" s="285"/>
      <c r="CW94" s="285"/>
    </row>
    <row r="95" spans="100:101" x14ac:dyDescent="0.2">
      <c r="CV95" s="285"/>
      <c r="CW95" s="285"/>
    </row>
    <row r="96" spans="100:101" x14ac:dyDescent="0.2">
      <c r="CV96" s="285"/>
      <c r="CW96" s="285"/>
    </row>
    <row r="97" spans="100:101" x14ac:dyDescent="0.2">
      <c r="CV97" s="285"/>
      <c r="CW97" s="285"/>
    </row>
    <row r="98" spans="100:101" x14ac:dyDescent="0.2">
      <c r="CV98" s="285"/>
      <c r="CW98" s="285"/>
    </row>
    <row r="99" spans="100:101" x14ac:dyDescent="0.2">
      <c r="CV99" s="285"/>
      <c r="CW99" s="285"/>
    </row>
    <row r="100" spans="100:101" x14ac:dyDescent="0.2">
      <c r="CV100" s="285"/>
      <c r="CW100" s="285"/>
    </row>
    <row r="101" spans="100:101" x14ac:dyDescent="0.2">
      <c r="CV101" s="285"/>
      <c r="CW101" s="285"/>
    </row>
    <row r="102" spans="100:101" x14ac:dyDescent="0.2">
      <c r="CV102" s="285"/>
      <c r="CW102" s="285"/>
    </row>
    <row r="103" spans="100:101" x14ac:dyDescent="0.2">
      <c r="CV103" s="285"/>
      <c r="CW103" s="285"/>
    </row>
    <row r="104" spans="100:101" x14ac:dyDescent="0.2">
      <c r="CV104" s="285"/>
      <c r="CW104" s="285"/>
    </row>
    <row r="105" spans="100:101" x14ac:dyDescent="0.2">
      <c r="CV105" s="285"/>
      <c r="CW105" s="285"/>
    </row>
    <row r="106" spans="100:101" x14ac:dyDescent="0.2">
      <c r="CV106" s="285"/>
      <c r="CW106" s="285"/>
    </row>
    <row r="107" spans="100:101" x14ac:dyDescent="0.2">
      <c r="CV107" s="285"/>
      <c r="CW107" s="285"/>
    </row>
    <row r="108" spans="100:101" x14ac:dyDescent="0.2">
      <c r="CV108" s="285"/>
      <c r="CW108" s="285"/>
    </row>
    <row r="109" spans="100:101" x14ac:dyDescent="0.2">
      <c r="CV109" s="285"/>
      <c r="CW109" s="285"/>
    </row>
    <row r="110" spans="100:101" x14ac:dyDescent="0.2">
      <c r="CV110" s="285"/>
      <c r="CW110" s="285"/>
    </row>
    <row r="111" spans="100:101" x14ac:dyDescent="0.2">
      <c r="CV111" s="285"/>
      <c r="CW111" s="285"/>
    </row>
    <row r="112" spans="100:101" x14ac:dyDescent="0.2">
      <c r="CV112" s="285"/>
      <c r="CW112" s="285"/>
    </row>
    <row r="113" spans="100:101" x14ac:dyDescent="0.2">
      <c r="CV113" s="285"/>
      <c r="CW113" s="285"/>
    </row>
    <row r="114" spans="100:101" x14ac:dyDescent="0.2">
      <c r="CV114" s="285"/>
      <c r="CW114" s="285"/>
    </row>
    <row r="115" spans="100:101" x14ac:dyDescent="0.2">
      <c r="CV115" s="285"/>
      <c r="CW115" s="285"/>
    </row>
    <row r="116" spans="100:101" x14ac:dyDescent="0.2">
      <c r="CV116" s="285"/>
      <c r="CW116" s="285"/>
    </row>
    <row r="117" spans="100:101" x14ac:dyDescent="0.2">
      <c r="CV117" s="285"/>
      <c r="CW117" s="285"/>
    </row>
    <row r="118" spans="100:101" x14ac:dyDescent="0.2">
      <c r="CV118" s="285"/>
      <c r="CW118" s="285"/>
    </row>
    <row r="119" spans="100:101" x14ac:dyDescent="0.2">
      <c r="CV119" s="285"/>
      <c r="CW119" s="285"/>
    </row>
    <row r="120" spans="100:101" x14ac:dyDescent="0.2">
      <c r="CV120" s="285"/>
      <c r="CW120" s="285"/>
    </row>
    <row r="121" spans="100:101" x14ac:dyDescent="0.2">
      <c r="CV121" s="285"/>
      <c r="CW121" s="285"/>
    </row>
    <row r="122" spans="100:101" x14ac:dyDescent="0.2">
      <c r="CV122" s="285"/>
      <c r="CW122" s="285"/>
    </row>
    <row r="123" spans="100:101" x14ac:dyDescent="0.2">
      <c r="CV123" s="285"/>
      <c r="CW123" s="285"/>
    </row>
    <row r="124" spans="100:101" x14ac:dyDescent="0.2">
      <c r="CV124" s="285"/>
      <c r="CW124" s="285"/>
    </row>
    <row r="125" spans="100:101" x14ac:dyDescent="0.2">
      <c r="CV125" s="285"/>
      <c r="CW125" s="285"/>
    </row>
    <row r="126" spans="100:101" x14ac:dyDescent="0.2">
      <c r="CV126" s="285"/>
      <c r="CW126" s="285"/>
    </row>
    <row r="127" spans="100:101" x14ac:dyDescent="0.2">
      <c r="CV127" s="285"/>
      <c r="CW127" s="285"/>
    </row>
    <row r="128" spans="100:101" x14ac:dyDescent="0.2">
      <c r="CV128" s="285"/>
      <c r="CW128" s="285"/>
    </row>
    <row r="129" spans="99:101" x14ac:dyDescent="0.2">
      <c r="CV129" s="285"/>
      <c r="CW129" s="285"/>
    </row>
    <row r="130" spans="99:101" x14ac:dyDescent="0.2">
      <c r="CV130" s="285"/>
      <c r="CW130" s="285"/>
    </row>
    <row r="131" spans="99:101" x14ac:dyDescent="0.2">
      <c r="CV131" s="285"/>
      <c r="CW131" s="285"/>
    </row>
    <row r="132" spans="99:101" x14ac:dyDescent="0.2">
      <c r="CV132" s="285"/>
      <c r="CW132" s="285"/>
    </row>
    <row r="133" spans="99:101" x14ac:dyDescent="0.2">
      <c r="CV133" s="285"/>
      <c r="CW133" s="285"/>
    </row>
    <row r="139" spans="99:101" x14ac:dyDescent="0.2">
      <c r="CU139" t="s">
        <v>2</v>
      </c>
    </row>
    <row r="166" spans="108:108" x14ac:dyDescent="0.2">
      <c r="DD166" t="s">
        <v>2</v>
      </c>
    </row>
  </sheetData>
  <mergeCells count="1">
    <mergeCell ref="AX3:BL3"/>
  </mergeCells>
  <pageMargins left="0.70866141732283472" right="0.70866141732283472" top="0.74803149606299213" bottom="0.74803149606299213" header="0.31496062992125984" footer="0.31496062992125984"/>
  <pageSetup scale="57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>
    <tabColor indexed="24"/>
    <pageSetUpPr fitToPage="1"/>
  </sheetPr>
  <dimension ref="A1:I44"/>
  <sheetViews>
    <sheetView zoomScale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1" sqref="A41:XFD41"/>
    </sheetView>
  </sheetViews>
  <sheetFormatPr baseColWidth="10" defaultColWidth="11.42578125" defaultRowHeight="12.75" x14ac:dyDescent="0.2"/>
  <cols>
    <col min="1" max="1" width="46.140625" customWidth="1"/>
    <col min="2" max="2" width="19.42578125" customWidth="1"/>
    <col min="3" max="3" width="20" customWidth="1"/>
    <col min="4" max="4" width="21.5703125" customWidth="1"/>
    <col min="5" max="5" width="21" customWidth="1"/>
    <col min="6" max="7" width="16.28515625" customWidth="1"/>
    <col min="8" max="8" width="16.28515625" hidden="1" customWidth="1"/>
    <col min="9" max="9" width="20.7109375" customWidth="1"/>
  </cols>
  <sheetData>
    <row r="1" spans="1:9" ht="31.5" customHeight="1" thickBot="1" x14ac:dyDescent="0.3">
      <c r="A1" s="369" t="s">
        <v>52</v>
      </c>
      <c r="B1" s="370"/>
      <c r="C1" s="370"/>
      <c r="D1" s="370"/>
      <c r="E1" s="369" t="s">
        <v>245</v>
      </c>
      <c r="F1" s="370"/>
      <c r="G1" s="370"/>
      <c r="H1" s="370"/>
      <c r="I1" s="370"/>
    </row>
    <row r="2" spans="1:9" ht="15.75" x14ac:dyDescent="0.25">
      <c r="A2" s="131" t="s">
        <v>53</v>
      </c>
      <c r="B2" s="132" t="s">
        <v>25</v>
      </c>
      <c r="C2" s="132"/>
      <c r="D2" s="132" t="s">
        <v>54</v>
      </c>
      <c r="E2" s="132" t="s">
        <v>54</v>
      </c>
      <c r="F2" s="132" t="s">
        <v>54</v>
      </c>
      <c r="G2" s="132" t="s">
        <v>69</v>
      </c>
      <c r="H2" s="132" t="s">
        <v>69</v>
      </c>
      <c r="I2" s="133" t="s">
        <v>24</v>
      </c>
    </row>
    <row r="3" spans="1:9" ht="15.75" x14ac:dyDescent="0.25">
      <c r="A3" s="330" t="s">
        <v>55</v>
      </c>
      <c r="B3" s="331" t="s">
        <v>56</v>
      </c>
      <c r="C3" s="331" t="s">
        <v>57</v>
      </c>
      <c r="D3" s="161">
        <v>46060</v>
      </c>
      <c r="E3" s="161">
        <f>+D3+7</f>
        <v>46067</v>
      </c>
      <c r="F3" s="161">
        <f>+E3+7</f>
        <v>46074</v>
      </c>
      <c r="G3" s="161">
        <f>+F3+7</f>
        <v>46081</v>
      </c>
      <c r="H3" s="161">
        <f>+G3+7</f>
        <v>46088</v>
      </c>
      <c r="I3" s="332" t="s">
        <v>31</v>
      </c>
    </row>
    <row r="4" spans="1:9" ht="15.75" x14ac:dyDescent="0.25">
      <c r="A4" s="70" t="str">
        <f>+'SEMANA DEL 2 AL 7-3-26'!A5</f>
        <v xml:space="preserve">ALCIDES CORREA </v>
      </c>
      <c r="B4" s="166">
        <v>0</v>
      </c>
      <c r="C4" s="334"/>
      <c r="D4" s="166">
        <f>+'SEMANA DEL 2 AL 7-3-26'!CA5</f>
        <v>0</v>
      </c>
      <c r="E4" s="166">
        <f>+'SEMANA DEL 7 AL 14'!CA5</f>
        <v>0</v>
      </c>
      <c r="F4" s="166">
        <f>+'SEMANA DEL 14 AL 21 '!CA5</f>
        <v>0</v>
      </c>
      <c r="G4" s="166">
        <f>+'SEMANA DEL 21AL 28-3'!CA5</f>
        <v>0</v>
      </c>
      <c r="H4" s="166">
        <f>+'SEMANA DEL 2 AL 7-3-26'!CF5</f>
        <v>610</v>
      </c>
      <c r="I4" s="342">
        <f t="shared" ref="I4" si="0">+B4+C4-D4-E4-F4-G4</f>
        <v>0</v>
      </c>
    </row>
    <row r="5" spans="1:9" ht="15.75" x14ac:dyDescent="0.25">
      <c r="A5" s="70" t="str">
        <f>+'SEMANA DEL 2 AL 7-3-26'!A6</f>
        <v xml:space="preserve">ALBA SANABRIA </v>
      </c>
      <c r="B5" s="166">
        <v>0</v>
      </c>
      <c r="C5" s="334"/>
      <c r="D5" s="166">
        <f>+'SEMANA DEL 2 AL 7-3-26'!CA6</f>
        <v>0</v>
      </c>
      <c r="E5" s="166">
        <f>+'SEMANA DEL 7 AL 14'!CA6</f>
        <v>0</v>
      </c>
      <c r="F5" s="166">
        <f>+'SEMANA DEL 14 AL 21 '!CA6</f>
        <v>0</v>
      </c>
      <c r="G5" s="166">
        <f>+'SEMANA DEL 21AL 28-3'!CA6</f>
        <v>0</v>
      </c>
      <c r="H5" s="166">
        <f>+'SEMANA DEL 2 AL 7-3-26'!CF6</f>
        <v>305</v>
      </c>
      <c r="I5" s="342">
        <f t="shared" ref="I5:I40" si="1">+B5+C5-D5-E5-F5-G5</f>
        <v>0</v>
      </c>
    </row>
    <row r="6" spans="1:9" ht="15.75" x14ac:dyDescent="0.25">
      <c r="A6" s="70" t="str">
        <f>+'SEMANA DEL 2 AL 7-3-26'!A7</f>
        <v xml:space="preserve">BLANCA ALVARADO </v>
      </c>
      <c r="B6" s="166">
        <v>0</v>
      </c>
      <c r="C6" s="334"/>
      <c r="D6" s="166">
        <f>+'SEMANA DEL 2 AL 7-3-26'!CA7</f>
        <v>0</v>
      </c>
      <c r="E6" s="166">
        <f>+'SEMANA DEL 7 AL 14'!CA7</f>
        <v>0</v>
      </c>
      <c r="F6" s="166">
        <f>+'SEMANA DEL 14 AL 21 '!CA7</f>
        <v>0</v>
      </c>
      <c r="G6" s="166">
        <f>+'SEMANA DEL 21AL 28-3'!CA7</f>
        <v>0</v>
      </c>
      <c r="H6" s="166">
        <f>+'SEMANA DEL 2 AL 7-3-26'!CF7</f>
        <v>0</v>
      </c>
      <c r="I6" s="342">
        <f t="shared" si="1"/>
        <v>0</v>
      </c>
    </row>
    <row r="7" spans="1:9" ht="15.75" x14ac:dyDescent="0.25">
      <c r="A7" s="70" t="str">
        <f>+'SEMANA DEL 2 AL 7-3-26'!A8</f>
        <v>ESPERANZA REY</v>
      </c>
      <c r="B7" s="166">
        <v>0</v>
      </c>
      <c r="C7" s="337"/>
      <c r="D7" s="166">
        <f>+'SEMANA DEL 2 AL 7-3-26'!CA8</f>
        <v>0</v>
      </c>
      <c r="E7" s="166">
        <f>+'SEMANA DEL 7 AL 14'!CA8</f>
        <v>0</v>
      </c>
      <c r="F7" s="166">
        <f>+'SEMANA DEL 14 AL 21 '!CA8</f>
        <v>0</v>
      </c>
      <c r="G7" s="166">
        <f>+'SEMANA DEL 21AL 28-3'!CA8</f>
        <v>0</v>
      </c>
      <c r="H7" s="166">
        <f>+'SEMANA DEL 2 AL 7-3-26'!CF8</f>
        <v>0</v>
      </c>
      <c r="I7" s="342">
        <f t="shared" si="1"/>
        <v>0</v>
      </c>
    </row>
    <row r="8" spans="1:9" ht="15.75" x14ac:dyDescent="0.25">
      <c r="A8" s="70" t="str">
        <f>+'SEMANA DEL 2 AL 7-3-26'!A9</f>
        <v xml:space="preserve">ELIZABETH REYES SERRANO </v>
      </c>
      <c r="B8" s="166">
        <v>200000</v>
      </c>
      <c r="C8" s="337"/>
      <c r="D8" s="166">
        <f>+'SEMANA DEL 2 AL 7-3-26'!CA9</f>
        <v>50000</v>
      </c>
      <c r="E8" s="166">
        <f>+'SEMANA DEL 7 AL 14'!CA9</f>
        <v>50000</v>
      </c>
      <c r="F8" s="166">
        <f>+'SEMANA DEL 14 AL 21 '!CA9</f>
        <v>0</v>
      </c>
      <c r="G8" s="166">
        <f>+'SEMANA DEL 21AL 28-3'!CA9</f>
        <v>0</v>
      </c>
      <c r="H8" s="166">
        <f>+'SEMANA DEL 2 AL 7-3-26'!CF9</f>
        <v>427</v>
      </c>
      <c r="I8" s="342">
        <f t="shared" si="1"/>
        <v>100000</v>
      </c>
    </row>
    <row r="9" spans="1:9" ht="15.75" x14ac:dyDescent="0.25">
      <c r="A9" s="70" t="str">
        <f>+'SEMANA DEL 2 AL 7-3-26'!A10</f>
        <v>ELVIRA LOPEZ</v>
      </c>
      <c r="B9" s="166">
        <v>0</v>
      </c>
      <c r="C9" s="337"/>
      <c r="D9" s="166">
        <f>+'SEMANA DEL 2 AL 7-3-26'!CA10</f>
        <v>0</v>
      </c>
      <c r="E9" s="166">
        <f>+'SEMANA DEL 7 AL 14'!CA10</f>
        <v>0</v>
      </c>
      <c r="F9" s="166">
        <f>+'SEMANA DEL 14 AL 21 '!CA10</f>
        <v>0</v>
      </c>
      <c r="G9" s="166">
        <f>+'SEMANA DEL 21AL 28-3'!CA10</f>
        <v>0</v>
      </c>
      <c r="H9" s="166">
        <f>+'SEMANA DEL 2 AL 7-3-26'!CF10</f>
        <v>732</v>
      </c>
      <c r="I9" s="342">
        <f t="shared" si="1"/>
        <v>0</v>
      </c>
    </row>
    <row r="10" spans="1:9" ht="15.75" x14ac:dyDescent="0.25">
      <c r="A10" s="70" t="str">
        <f>+'SEMANA DEL 2 AL 7-3-26'!A11</f>
        <v>ERNESTO REYES</v>
      </c>
      <c r="B10" s="166">
        <v>0</v>
      </c>
      <c r="C10" s="337"/>
      <c r="D10" s="166">
        <f>+'SEMANA DEL 2 AL 7-3-26'!CA11</f>
        <v>0</v>
      </c>
      <c r="E10" s="166">
        <f>+'SEMANA DEL 7 AL 14'!CA11</f>
        <v>0</v>
      </c>
      <c r="F10" s="166">
        <f>+'SEMANA DEL 14 AL 21 '!CA11</f>
        <v>0</v>
      </c>
      <c r="G10" s="166">
        <f>+'SEMANA DEL 21AL 28-3'!CA11</f>
        <v>0</v>
      </c>
      <c r="H10" s="166">
        <f>+'SEMANA DEL 2 AL 7-3-26'!CF11</f>
        <v>183</v>
      </c>
      <c r="I10" s="342">
        <f t="shared" si="1"/>
        <v>0</v>
      </c>
    </row>
    <row r="11" spans="1:9" ht="15.75" x14ac:dyDescent="0.25">
      <c r="A11" s="70" t="str">
        <f>+'SEMANA DEL 2 AL 7-3-26'!A12</f>
        <v xml:space="preserve">GUILLERMO ZAMBRANO </v>
      </c>
      <c r="B11" s="166">
        <v>0</v>
      </c>
      <c r="C11" s="337"/>
      <c r="D11" s="166">
        <f>+'SEMANA DEL 2 AL 7-3-26'!CA12</f>
        <v>0</v>
      </c>
      <c r="E11" s="166">
        <f>+'SEMANA DEL 7 AL 14'!CA12</f>
        <v>0</v>
      </c>
      <c r="F11" s="166">
        <f>+'SEMANA DEL 14 AL 21 '!CA12</f>
        <v>0</v>
      </c>
      <c r="G11" s="166">
        <f>+'SEMANA DEL 21AL 28-3'!CA12</f>
        <v>0</v>
      </c>
      <c r="H11" s="166">
        <f>+'SEMANA DEL 2 AL 7-3-26'!CF12</f>
        <v>0</v>
      </c>
      <c r="I11" s="342">
        <f t="shared" si="1"/>
        <v>0</v>
      </c>
    </row>
    <row r="12" spans="1:9" ht="15.75" x14ac:dyDescent="0.25">
      <c r="A12" s="70" t="str">
        <f>+'SEMANA DEL 2 AL 7-3-26'!A13</f>
        <v>HUGO ALMEIDA</v>
      </c>
      <c r="B12" s="166">
        <v>0</v>
      </c>
      <c r="C12" s="337"/>
      <c r="D12" s="166">
        <f>+'SEMANA DEL 2 AL 7-3-26'!CA13</f>
        <v>0</v>
      </c>
      <c r="E12" s="166">
        <f>+'SEMANA DEL 7 AL 14'!CA13</f>
        <v>0</v>
      </c>
      <c r="F12" s="166">
        <f>+'SEMANA DEL 14 AL 21 '!CA13</f>
        <v>0</v>
      </c>
      <c r="G12" s="166">
        <f>+'SEMANA DEL 21AL 28-3'!CA13</f>
        <v>0</v>
      </c>
      <c r="H12" s="166" t="e">
        <f>+'SEMANA DEL 2 AL 7-3-26'!#REF!</f>
        <v>#REF!</v>
      </c>
      <c r="I12" s="342">
        <f t="shared" si="1"/>
        <v>0</v>
      </c>
    </row>
    <row r="13" spans="1:9" ht="15.75" x14ac:dyDescent="0.25">
      <c r="A13" s="70" t="str">
        <f>+'SEMANA DEL 2 AL 7-3-26'!A14</f>
        <v>HILDA SERRANO</v>
      </c>
      <c r="B13" s="166">
        <v>20000</v>
      </c>
      <c r="C13" s="337"/>
      <c r="D13" s="166">
        <f>+'SEMANA DEL 2 AL 7-3-26'!CA14</f>
        <v>20000</v>
      </c>
      <c r="E13" s="166">
        <f>+'SEMANA DEL 7 AL 14'!CA14</f>
        <v>0</v>
      </c>
      <c r="F13" s="166">
        <f>+'SEMANA DEL 14 AL 21 '!CA14</f>
        <v>0</v>
      </c>
      <c r="G13" s="166">
        <f>+'SEMANA DEL 21AL 28-3'!CA14</f>
        <v>0</v>
      </c>
      <c r="H13" s="166">
        <f>+'SEMANA DEL 2 AL 7-3-26'!CF13</f>
        <v>305</v>
      </c>
      <c r="I13" s="342">
        <f t="shared" si="1"/>
        <v>0</v>
      </c>
    </row>
    <row r="14" spans="1:9" ht="15.75" x14ac:dyDescent="0.25">
      <c r="A14" s="70" t="str">
        <f>+'SEMANA DEL 2 AL 7-3-26'!A15</f>
        <v xml:space="preserve">HUMBERTO LUNA </v>
      </c>
      <c r="B14" s="166">
        <v>0</v>
      </c>
      <c r="C14" s="337"/>
      <c r="D14" s="166">
        <f>+'SEMANA DEL 2 AL 7-3-26'!CA15</f>
        <v>0</v>
      </c>
      <c r="E14" s="166">
        <f>+'SEMANA DEL 7 AL 14'!CA15</f>
        <v>0</v>
      </c>
      <c r="F14" s="166">
        <f>+'SEMANA DEL 14 AL 21 '!CA15</f>
        <v>0</v>
      </c>
      <c r="G14" s="166">
        <f>+'SEMANA DEL 21AL 28-3'!CA15</f>
        <v>0</v>
      </c>
      <c r="H14" s="166">
        <f>+'SEMANA DEL 2 AL 7-3-26'!CF14</f>
        <v>427</v>
      </c>
      <c r="I14" s="342">
        <f t="shared" si="1"/>
        <v>0</v>
      </c>
    </row>
    <row r="15" spans="1:9" ht="15.75" x14ac:dyDescent="0.25">
      <c r="A15" s="70" t="str">
        <f>+'SEMANA DEL 2 AL 7-3-26'!A16</f>
        <v>JOSE EBLAN GIRON</v>
      </c>
      <c r="B15" s="166">
        <v>0</v>
      </c>
      <c r="C15" s="337"/>
      <c r="D15" s="166">
        <f>+'SEMANA DEL 2 AL 7-3-26'!CA16</f>
        <v>0</v>
      </c>
      <c r="E15" s="166">
        <f>+'SEMANA DEL 7 AL 14'!CA16</f>
        <v>0</v>
      </c>
      <c r="F15" s="166">
        <f>+'SEMANA DEL 14 AL 21 '!CA16</f>
        <v>0</v>
      </c>
      <c r="G15" s="166">
        <f>+'SEMANA DEL 21AL 28-3'!CA16</f>
        <v>0</v>
      </c>
      <c r="H15" s="166">
        <f>+'SEMANA DEL 2 AL 7-3-26'!CF15</f>
        <v>610</v>
      </c>
      <c r="I15" s="342">
        <f t="shared" si="1"/>
        <v>0</v>
      </c>
    </row>
    <row r="16" spans="1:9" ht="15.75" x14ac:dyDescent="0.25">
      <c r="A16" s="70" t="str">
        <f>+'SEMANA DEL 2 AL 7-3-26'!A17</f>
        <v xml:space="preserve">JOSE JURADO </v>
      </c>
      <c r="B16" s="166">
        <v>0</v>
      </c>
      <c r="C16" s="337"/>
      <c r="D16" s="166">
        <f>+'SEMANA DEL 2 AL 7-3-26'!CA17</f>
        <v>0</v>
      </c>
      <c r="E16" s="166">
        <f>+'SEMANA DEL 7 AL 14'!CA17</f>
        <v>0</v>
      </c>
      <c r="F16" s="166">
        <f>+'SEMANA DEL 14 AL 21 '!CA17</f>
        <v>0</v>
      </c>
      <c r="G16" s="166">
        <f>+'SEMANA DEL 21AL 28-3'!CA17</f>
        <v>0</v>
      </c>
      <c r="H16" s="166">
        <f>+'SEMANA DEL 2 AL 7-3-26'!CF16</f>
        <v>244</v>
      </c>
      <c r="I16" s="342">
        <f t="shared" si="1"/>
        <v>0</v>
      </c>
    </row>
    <row r="17" spans="1:9" ht="15.75" x14ac:dyDescent="0.25">
      <c r="A17" s="70" t="str">
        <f>+'SEMANA DEL 2 AL 7-3-26'!A18</f>
        <v xml:space="preserve">KARINA SILVA </v>
      </c>
      <c r="B17" s="166">
        <v>0</v>
      </c>
      <c r="C17" s="337"/>
      <c r="D17" s="166">
        <f>+'SEMANA DEL 2 AL 7-3-26'!CA18</f>
        <v>0</v>
      </c>
      <c r="E17" s="166">
        <f>+'SEMANA DEL 7 AL 14'!CA18</f>
        <v>0</v>
      </c>
      <c r="F17" s="166">
        <f>+'SEMANA DEL 14 AL 21 '!CA18</f>
        <v>0</v>
      </c>
      <c r="G17" s="166">
        <f>+'SEMANA DEL 21AL 28-3'!CA18</f>
        <v>0</v>
      </c>
      <c r="H17" s="166">
        <f>+'SEMANA DEL 2 AL 7-3-26'!CF17</f>
        <v>305</v>
      </c>
      <c r="I17" s="342">
        <f t="shared" si="1"/>
        <v>0</v>
      </c>
    </row>
    <row r="18" spans="1:9" ht="15.75" x14ac:dyDescent="0.25">
      <c r="A18" s="70" t="str">
        <f>+'SEMANA DEL 2 AL 7-3-26'!A19</f>
        <v>LUZ MERY ABAUNZA</v>
      </c>
      <c r="B18" s="166">
        <v>250000</v>
      </c>
      <c r="C18" s="337"/>
      <c r="D18" s="166">
        <f>+'SEMANA DEL 2 AL 7-3-26'!CA19</f>
        <v>50000</v>
      </c>
      <c r="E18" s="166">
        <f>+'SEMANA DEL 7 AL 14'!CA19</f>
        <v>50000</v>
      </c>
      <c r="F18" s="166">
        <f>+'SEMANA DEL 14 AL 21 '!CA19</f>
        <v>0</v>
      </c>
      <c r="G18" s="166">
        <f>+'SEMANA DEL 21AL 28-3'!CA19</f>
        <v>0</v>
      </c>
      <c r="H18" s="166">
        <f>+'SEMANA DEL 2 AL 7-3-26'!CF18</f>
        <v>308.05</v>
      </c>
      <c r="I18" s="342">
        <f t="shared" si="1"/>
        <v>150000</v>
      </c>
    </row>
    <row r="19" spans="1:9" ht="15.75" x14ac:dyDescent="0.25">
      <c r="A19" s="70" t="str">
        <f>+'SEMANA DEL 2 AL 7-3-26'!A20</f>
        <v>LUIS ROJAS</v>
      </c>
      <c r="B19" s="166">
        <v>0</v>
      </c>
      <c r="C19" s="337"/>
      <c r="D19" s="166">
        <f>+'SEMANA DEL 2 AL 7-3-26'!CA20</f>
        <v>0</v>
      </c>
      <c r="E19" s="166">
        <f>+'SEMANA DEL 7 AL 14'!CA20</f>
        <v>0</v>
      </c>
      <c r="F19" s="166">
        <f>+'SEMANA DEL 14 AL 21 '!CA20</f>
        <v>0</v>
      </c>
      <c r="G19" s="166">
        <f>+'SEMANA DEL 21AL 28-3'!CA20</f>
        <v>0</v>
      </c>
      <c r="H19" s="166">
        <f>+'SEMANA DEL 2 AL 7-3-26'!CF19</f>
        <v>305</v>
      </c>
      <c r="I19" s="342">
        <f t="shared" si="1"/>
        <v>0</v>
      </c>
    </row>
    <row r="20" spans="1:9" ht="15.75" x14ac:dyDescent="0.25">
      <c r="A20" s="70" t="str">
        <f>+'SEMANA DEL 2 AL 7-3-26'!A21</f>
        <v xml:space="preserve">LUIS VALDERRAMA </v>
      </c>
      <c r="B20" s="166">
        <v>0</v>
      </c>
      <c r="C20" s="337"/>
      <c r="D20" s="166">
        <f>+'SEMANA DEL 2 AL 7-3-26'!CA21</f>
        <v>0</v>
      </c>
      <c r="E20" s="166">
        <f>+'SEMANA DEL 7 AL 14'!CA21</f>
        <v>0</v>
      </c>
      <c r="F20" s="166">
        <f>+'SEMANA DEL 14 AL 21 '!CA21</f>
        <v>0</v>
      </c>
      <c r="G20" s="166">
        <f>+'SEMANA DEL 21AL 28-3'!CA21</f>
        <v>0</v>
      </c>
      <c r="H20" s="166">
        <f>+'SEMANA DEL 2 AL 7-3-26'!CF20</f>
        <v>0</v>
      </c>
      <c r="I20" s="342">
        <f t="shared" si="1"/>
        <v>0</v>
      </c>
    </row>
    <row r="21" spans="1:9" ht="15.75" x14ac:dyDescent="0.25">
      <c r="A21" s="70" t="str">
        <f>+'SEMANA DEL 2 AL 7-3-26'!A22</f>
        <v>LILIANA  VEGA</v>
      </c>
      <c r="B21" s="166">
        <v>0</v>
      </c>
      <c r="C21" s="337">
        <v>100000</v>
      </c>
      <c r="D21" s="166">
        <f>+'SEMANA DEL 2 AL 7-3-26'!CA22</f>
        <v>0</v>
      </c>
      <c r="E21" s="166">
        <f>+'SEMANA DEL 7 AL 14'!CA22</f>
        <v>50000</v>
      </c>
      <c r="F21" s="166">
        <f>+'SEMANA DEL 14 AL 21 '!CA22</f>
        <v>0</v>
      </c>
      <c r="G21" s="166">
        <f>+'SEMANA DEL 21AL 28-3'!CA22</f>
        <v>0</v>
      </c>
      <c r="H21" s="166">
        <f>+'SEMANA DEL 2 AL 7-3-26'!CF21</f>
        <v>915</v>
      </c>
      <c r="I21" s="342">
        <f t="shared" si="1"/>
        <v>50000</v>
      </c>
    </row>
    <row r="22" spans="1:9" ht="15.75" x14ac:dyDescent="0.25">
      <c r="A22" s="70" t="str">
        <f>+'SEMANA DEL 2 AL 7-3-26'!A23</f>
        <v xml:space="preserve">LUIS ERNESTO ALMEIDA </v>
      </c>
      <c r="B22" s="166">
        <v>149050</v>
      </c>
      <c r="C22" s="337"/>
      <c r="D22" s="166">
        <f>+'SEMANA DEL 2 AL 7-3-26'!CA23</f>
        <v>25000</v>
      </c>
      <c r="E22" s="166">
        <f>+'SEMANA DEL 7 AL 14'!CA23</f>
        <v>25000</v>
      </c>
      <c r="F22" s="166">
        <f>+'SEMANA DEL 14 AL 21 '!CA23</f>
        <v>0</v>
      </c>
      <c r="G22" s="166">
        <f>+'SEMANA DEL 21AL 28-3'!CA23</f>
        <v>0</v>
      </c>
      <c r="H22" s="166">
        <f>+'SEMANA DEL 2 AL 7-3-26'!CF22</f>
        <v>488</v>
      </c>
      <c r="I22" s="342">
        <f t="shared" si="1"/>
        <v>99050</v>
      </c>
    </row>
    <row r="23" spans="1:9" ht="15.75" x14ac:dyDescent="0.25">
      <c r="A23" s="70" t="str">
        <f>+'SEMANA DEL 2 AL 7-3-26'!A24</f>
        <v xml:space="preserve">LEIDY SERRANO </v>
      </c>
      <c r="B23" s="166">
        <v>0</v>
      </c>
      <c r="C23" s="337"/>
      <c r="D23" s="166">
        <f>+'SEMANA DEL 2 AL 7-3-26'!CA24</f>
        <v>0</v>
      </c>
      <c r="E23" s="166">
        <f>+'SEMANA DEL 7 AL 14'!CA24</f>
        <v>0</v>
      </c>
      <c r="F23" s="166">
        <f>+'SEMANA DEL 14 AL 21 '!CA24</f>
        <v>0</v>
      </c>
      <c r="G23" s="166">
        <f>+'SEMANA DEL 21AL 28-3'!CA24</f>
        <v>0</v>
      </c>
      <c r="H23" s="166">
        <f>+'SEMANA DEL 2 AL 7-3-26'!CF23</f>
        <v>488</v>
      </c>
      <c r="I23" s="342">
        <f t="shared" si="1"/>
        <v>0</v>
      </c>
    </row>
    <row r="24" spans="1:9" ht="15" customHeight="1" x14ac:dyDescent="0.25">
      <c r="A24" s="70" t="str">
        <f>+'SEMANA DEL 2 AL 7-3-26'!A25</f>
        <v xml:space="preserve">MAYERLIN BOLIVAR </v>
      </c>
      <c r="B24" s="166">
        <v>0</v>
      </c>
      <c r="C24" s="337"/>
      <c r="D24" s="166">
        <f>+'SEMANA DEL 2 AL 7-3-26'!CA25</f>
        <v>0</v>
      </c>
      <c r="E24" s="166">
        <f>+'SEMANA DEL 7 AL 14'!CA25</f>
        <v>0</v>
      </c>
      <c r="F24" s="166">
        <f>+'SEMANA DEL 14 AL 21 '!CA25</f>
        <v>0</v>
      </c>
      <c r="G24" s="166">
        <f>+'SEMANA DEL 21AL 28-3'!CA25</f>
        <v>0</v>
      </c>
      <c r="H24" s="166">
        <f>+'SEMANA DEL 2 AL 7-3-26'!CF24</f>
        <v>305</v>
      </c>
      <c r="I24" s="342">
        <f t="shared" si="1"/>
        <v>0</v>
      </c>
    </row>
    <row r="25" spans="1:9" ht="15" customHeight="1" x14ac:dyDescent="0.25">
      <c r="A25" s="70" t="str">
        <f>+'SEMANA DEL 2 AL 7-3-26'!A26</f>
        <v xml:space="preserve">MARTHA SILVA </v>
      </c>
      <c r="B25" s="166">
        <v>0</v>
      </c>
      <c r="C25" s="337"/>
      <c r="D25" s="166">
        <f>+'SEMANA DEL 2 AL 7-3-26'!CA26</f>
        <v>0</v>
      </c>
      <c r="E25" s="166">
        <f>+'SEMANA DEL 7 AL 14'!CA26</f>
        <v>0</v>
      </c>
      <c r="F25" s="166">
        <f>+'SEMANA DEL 14 AL 21 '!CA26</f>
        <v>0</v>
      </c>
      <c r="G25" s="166">
        <f>+'SEMANA DEL 21AL 28-3'!CA26</f>
        <v>0</v>
      </c>
      <c r="H25" s="166">
        <f>+'SEMANA DEL 2 AL 7-3-26'!CF25</f>
        <v>915</v>
      </c>
      <c r="I25" s="342">
        <f t="shared" si="1"/>
        <v>0</v>
      </c>
    </row>
    <row r="26" spans="1:9" ht="15" customHeight="1" x14ac:dyDescent="0.25">
      <c r="A26" s="70" t="str">
        <f>+'SEMANA DEL 2 AL 7-3-26'!A29</f>
        <v xml:space="preserve">MARIA MEDINA </v>
      </c>
      <c r="B26" s="166">
        <v>0</v>
      </c>
      <c r="C26" s="337"/>
      <c r="D26" s="166">
        <f>+'SEMANA DEL 2 AL 7-3-26'!CA29</f>
        <v>0</v>
      </c>
      <c r="E26" s="166">
        <f>+'SEMANA DEL 7 AL 14'!CA27</f>
        <v>0</v>
      </c>
      <c r="F26" s="166">
        <f>+'SEMANA DEL 14 AL 21 '!CA27</f>
        <v>0</v>
      </c>
      <c r="G26" s="166">
        <f>+'SEMANA DEL 21AL 28-3'!CA27</f>
        <v>0</v>
      </c>
      <c r="H26" s="166">
        <f>+'SEMANA DEL 2 AL 7-3-26'!CF26</f>
        <v>0</v>
      </c>
      <c r="I26" s="342">
        <f t="shared" si="1"/>
        <v>0</v>
      </c>
    </row>
    <row r="27" spans="1:9" ht="15.75" x14ac:dyDescent="0.25">
      <c r="A27" s="70" t="str">
        <f>+'SEMANA DEL 2 AL 7-3-26'!A30</f>
        <v xml:space="preserve">PETTER BENAVIDES </v>
      </c>
      <c r="B27" s="166">
        <v>0</v>
      </c>
      <c r="C27" s="337"/>
      <c r="D27" s="166">
        <f>+'SEMANA DEL 2 AL 7-3-26'!CA30</f>
        <v>0</v>
      </c>
      <c r="E27" s="166">
        <f>+'SEMANA DEL 7 AL 14'!CA28</f>
        <v>0</v>
      </c>
      <c r="F27" s="166">
        <f>+'SEMANA DEL 14 AL 21 '!CA28</f>
        <v>0</v>
      </c>
      <c r="G27" s="166">
        <f>+'SEMANA DEL 21AL 28-3'!CA28</f>
        <v>0</v>
      </c>
      <c r="H27" s="166">
        <f>+'SEMANA DEL 2 AL 7-3-26'!CF29</f>
        <v>305</v>
      </c>
      <c r="I27" s="342">
        <f t="shared" si="1"/>
        <v>0</v>
      </c>
    </row>
    <row r="28" spans="1:9" ht="15.75" x14ac:dyDescent="0.25">
      <c r="A28" s="70" t="str">
        <f>+'SEMANA DEL 2 AL 7-3-26'!A31</f>
        <v xml:space="preserve">RAMON PARRA </v>
      </c>
      <c r="B28" s="166">
        <v>0</v>
      </c>
      <c r="C28" s="337"/>
      <c r="D28" s="166">
        <f>+'SEMANA DEL 2 AL 7-3-26'!CA31</f>
        <v>0</v>
      </c>
      <c r="E28" s="166">
        <f>+'SEMANA DEL 7 AL 14'!CA29</f>
        <v>0</v>
      </c>
      <c r="F28" s="166">
        <f>+'SEMANA DEL 14 AL 21 '!CA29</f>
        <v>0</v>
      </c>
      <c r="G28" s="166">
        <f>+'SEMANA DEL 21AL 28-3'!CA29</f>
        <v>0</v>
      </c>
      <c r="H28" s="166" t="e">
        <f>+'SEMANA DEL 2 AL 7-3-26'!#REF!</f>
        <v>#REF!</v>
      </c>
      <c r="I28" s="342">
        <f t="shared" si="1"/>
        <v>0</v>
      </c>
    </row>
    <row r="29" spans="1:9" ht="15.75" x14ac:dyDescent="0.25">
      <c r="A29" s="70" t="str">
        <f>+'SEMANA DEL 2 AL 7-3-26'!A32</f>
        <v>SULAY ALMEIDA</v>
      </c>
      <c r="B29" s="166">
        <v>0</v>
      </c>
      <c r="C29" s="337"/>
      <c r="D29" s="166">
        <f>+'SEMANA DEL 2 AL 7-3-26'!CA32</f>
        <v>0</v>
      </c>
      <c r="E29" s="166">
        <f>+'SEMANA DEL 7 AL 14'!CA30</f>
        <v>0</v>
      </c>
      <c r="F29" s="166">
        <f>+'SEMANA DEL 14 AL 21 '!CA30</f>
        <v>0</v>
      </c>
      <c r="G29" s="166">
        <f>+'SEMANA DEL 21AL 28-3'!CA30</f>
        <v>0</v>
      </c>
      <c r="H29" s="166" t="e">
        <f>+'SEMANA DEL 2 AL 7-3-26'!#REF!</f>
        <v>#REF!</v>
      </c>
      <c r="I29" s="342">
        <f t="shared" si="1"/>
        <v>0</v>
      </c>
    </row>
    <row r="30" spans="1:9" ht="15.75" x14ac:dyDescent="0.25">
      <c r="A30" s="70" t="str">
        <f>+'SEMANA DEL 2 AL 7-3-26'!A33</f>
        <v xml:space="preserve">RENE ALMEIDA </v>
      </c>
      <c r="B30" s="166">
        <v>0</v>
      </c>
      <c r="C30" s="337"/>
      <c r="D30" s="166">
        <f>+'SEMANA DEL 2 AL 7-3-26'!CA33</f>
        <v>0</v>
      </c>
      <c r="E30" s="166">
        <f>+'SEMANA DEL 7 AL 14'!CA31</f>
        <v>0</v>
      </c>
      <c r="F30" s="166">
        <f>+'SEMANA DEL 14 AL 21 '!CA31</f>
        <v>0</v>
      </c>
      <c r="G30" s="166">
        <f>+'SEMANA DEL 21AL 28-3'!CA31</f>
        <v>0</v>
      </c>
      <c r="H30" s="166">
        <f>+'SEMANA DEL 2 AL 7-3-26'!CF30</f>
        <v>610</v>
      </c>
      <c r="I30" s="342">
        <f t="shared" si="1"/>
        <v>0</v>
      </c>
    </row>
    <row r="31" spans="1:9" ht="15.75" x14ac:dyDescent="0.25">
      <c r="A31" s="70" t="str">
        <f>+'SEMANA DEL 2 AL 7-3-26'!A34</f>
        <v>RUBIELA MARTINEZ</v>
      </c>
      <c r="B31" s="166">
        <v>0</v>
      </c>
      <c r="C31" s="337"/>
      <c r="D31" s="166">
        <f>+'SEMANA DEL 2 AL 7-3-26'!CA34</f>
        <v>0</v>
      </c>
      <c r="E31" s="166">
        <f>+'SEMANA DEL 7 AL 14'!CA32</f>
        <v>0</v>
      </c>
      <c r="F31" s="166">
        <f>+'SEMANA DEL 14 AL 21 '!CA32</f>
        <v>0</v>
      </c>
      <c r="G31" s="166">
        <f>+'SEMANA DEL 21AL 28-3'!CA32</f>
        <v>0</v>
      </c>
      <c r="H31" s="166">
        <f>+'SEMANA DEL 2 AL 7-3-26'!CF31</f>
        <v>305</v>
      </c>
      <c r="I31" s="342">
        <f t="shared" si="1"/>
        <v>0</v>
      </c>
    </row>
    <row r="32" spans="1:9" ht="15.75" x14ac:dyDescent="0.25">
      <c r="A32" s="70" t="str">
        <f>+'SEMANA DEL 2 AL 7-3-26'!A35</f>
        <v xml:space="preserve">ROSMIRA DURAN </v>
      </c>
      <c r="B32" s="166">
        <v>0</v>
      </c>
      <c r="C32" s="337"/>
      <c r="D32" s="166">
        <f>+'SEMANA DEL 2 AL 7-3-26'!CA35</f>
        <v>0</v>
      </c>
      <c r="E32" s="166">
        <f>+'SEMANA DEL 7 AL 14'!CA33</f>
        <v>0</v>
      </c>
      <c r="F32" s="166">
        <f>+'SEMANA DEL 14 AL 21 '!CA33</f>
        <v>0</v>
      </c>
      <c r="G32" s="166">
        <f>+'SEMANA DEL 21AL 28-3'!CA33</f>
        <v>0</v>
      </c>
      <c r="H32" s="166">
        <f>+'SEMANA DEL 2 AL 7-3-26'!CF32</f>
        <v>0</v>
      </c>
      <c r="I32" s="342">
        <f t="shared" si="1"/>
        <v>0</v>
      </c>
    </row>
    <row r="33" spans="1:9" ht="15.75" x14ac:dyDescent="0.25">
      <c r="A33" s="70" t="str">
        <f>+'SEMANA DEL 2 AL 7-3-26'!A36</f>
        <v xml:space="preserve">ROSALBA MATAGIRA </v>
      </c>
      <c r="B33" s="166">
        <v>0</v>
      </c>
      <c r="C33" s="337"/>
      <c r="D33" s="166">
        <f>+'SEMANA DEL 2 AL 7-3-26'!CA36</f>
        <v>0</v>
      </c>
      <c r="E33" s="166">
        <f>+'SEMANA DEL 7 AL 14'!CA34</f>
        <v>0</v>
      </c>
      <c r="F33" s="166">
        <f>+'SEMANA DEL 14 AL 21 '!CA34</f>
        <v>0</v>
      </c>
      <c r="G33" s="166">
        <f>+'SEMANA DEL 21AL 28-3'!CA34</f>
        <v>0</v>
      </c>
      <c r="H33" s="166" t="e">
        <f>+'SEMANA DEL 2 AL 7-3-26'!#REF!</f>
        <v>#REF!</v>
      </c>
      <c r="I33" s="342">
        <f t="shared" si="1"/>
        <v>0</v>
      </c>
    </row>
    <row r="34" spans="1:9" ht="15.75" x14ac:dyDescent="0.25">
      <c r="A34" s="70" t="str">
        <f>+'SEMANA DEL 2 AL 7-3-26'!A37</f>
        <v>STELLA SILVA</v>
      </c>
      <c r="B34" s="166">
        <v>0</v>
      </c>
      <c r="C34" s="337"/>
      <c r="D34" s="166">
        <f>+'SEMANA DEL 2 AL 7-3-26'!CA37</f>
        <v>30000</v>
      </c>
      <c r="E34" s="166">
        <f>+'SEMANA DEL 7 AL 14'!CA35</f>
        <v>0</v>
      </c>
      <c r="F34" s="166">
        <f>+'SEMANA DEL 14 AL 21 '!CA35</f>
        <v>0</v>
      </c>
      <c r="G34" s="166">
        <f>+'SEMANA DEL 21AL 28-3'!CA35</f>
        <v>0</v>
      </c>
      <c r="H34" s="166">
        <f>+'SEMANA DEL 2 AL 7-3-26'!CF33</f>
        <v>149.44999999999999</v>
      </c>
      <c r="I34" s="342">
        <f t="shared" si="1"/>
        <v>-30000</v>
      </c>
    </row>
    <row r="35" spans="1:9" ht="15.75" x14ac:dyDescent="0.25">
      <c r="A35" s="70" t="str">
        <f>+'SEMANA DEL 2 AL 7-3-26'!A38</f>
        <v>SANDRA MILENA ANTOLINES</v>
      </c>
      <c r="B35" s="166">
        <v>300000</v>
      </c>
      <c r="C35" s="337"/>
      <c r="D35" s="166">
        <f>+'SEMANA DEL 2 AL 7-3-26'!CA38</f>
        <v>0</v>
      </c>
      <c r="E35" s="166">
        <f>+'SEMANA DEL 7 AL 14'!CA36</f>
        <v>0</v>
      </c>
      <c r="F35" s="166">
        <f>+'SEMANA DEL 14 AL 21 '!CA36</f>
        <v>0</v>
      </c>
      <c r="G35" s="166">
        <f>+'SEMANA DEL 21AL 28-3'!CA36</f>
        <v>0</v>
      </c>
      <c r="H35" s="166">
        <f>+'SEMANA DEL 2 AL 7-3-26'!CF34</f>
        <v>610</v>
      </c>
      <c r="I35" s="342">
        <f t="shared" si="1"/>
        <v>300000</v>
      </c>
    </row>
    <row r="36" spans="1:9" ht="15.75" x14ac:dyDescent="0.25">
      <c r="A36" s="70" t="str">
        <f>+'SEMANA DEL 2 AL 7-3-26'!A39</f>
        <v xml:space="preserve">SANDRA MORENO </v>
      </c>
      <c r="B36" s="166">
        <v>0</v>
      </c>
      <c r="C36" s="337"/>
      <c r="D36" s="166">
        <f>+'SEMANA DEL 2 AL 7-3-26'!CA39</f>
        <v>0</v>
      </c>
      <c r="E36" s="166">
        <f>+'SEMANA DEL 7 AL 14'!CA37</f>
        <v>0</v>
      </c>
      <c r="F36" s="166">
        <f>+'SEMANA DEL 14 AL 21 '!CA37</f>
        <v>0</v>
      </c>
      <c r="G36" s="166">
        <f>+'SEMANA DEL 21AL 28-3'!CA37</f>
        <v>0</v>
      </c>
      <c r="H36" s="166">
        <f>+'SEMANA DEL 2 AL 7-3-26'!CF35</f>
        <v>152.5</v>
      </c>
      <c r="I36" s="342">
        <f t="shared" si="1"/>
        <v>0</v>
      </c>
    </row>
    <row r="37" spans="1:9" ht="15.75" x14ac:dyDescent="0.25">
      <c r="A37" s="70" t="str">
        <f>+'SEMANA DEL 2 AL 7-3-26'!A40</f>
        <v xml:space="preserve">YENDER PADILLA </v>
      </c>
      <c r="B37" s="166">
        <v>0</v>
      </c>
      <c r="C37" s="337"/>
      <c r="D37" s="166">
        <f>+'SEMANA DEL 2 AL 7-3-26'!CA40</f>
        <v>0</v>
      </c>
      <c r="E37" s="166">
        <f>+'SEMANA DEL 7 AL 14'!CA38</f>
        <v>0</v>
      </c>
      <c r="F37" s="166">
        <f>+'SEMANA DEL 14 AL 21 '!CA38</f>
        <v>0</v>
      </c>
      <c r="G37" s="166">
        <f>+'SEMANA DEL 21AL 28-3'!CA38</f>
        <v>0</v>
      </c>
      <c r="H37" s="166" t="e">
        <f>+'SEMANA DEL 2 AL 7-3-26'!#REF!</f>
        <v>#REF!</v>
      </c>
      <c r="I37" s="342">
        <f t="shared" si="1"/>
        <v>0</v>
      </c>
    </row>
    <row r="38" spans="1:9" ht="15.75" x14ac:dyDescent="0.25">
      <c r="A38" s="70" t="str">
        <f>+'SEMANA DEL 2 AL 7-3-26'!A42</f>
        <v>YARIRETH ROA</v>
      </c>
      <c r="B38" s="166">
        <v>0</v>
      </c>
      <c r="C38" s="337"/>
      <c r="D38" s="166">
        <f>+'SEMANA DEL 2 AL 7-3-26'!CA42</f>
        <v>0</v>
      </c>
      <c r="E38" s="166">
        <f>+'SEMANA DEL 7 AL 14'!CA39</f>
        <v>0</v>
      </c>
      <c r="F38" s="166">
        <f>+'SEMANA DEL 14 AL 21 '!CA39</f>
        <v>0</v>
      </c>
      <c r="G38" s="166">
        <f>+'SEMANA DEL 21AL 28-3'!CA39</f>
        <v>0</v>
      </c>
      <c r="H38" s="166">
        <f>+'SEMANA DEL 2 AL 7-3-26'!CF36</f>
        <v>671</v>
      </c>
      <c r="I38" s="342">
        <f t="shared" si="1"/>
        <v>0</v>
      </c>
    </row>
    <row r="39" spans="1:9" ht="15.75" x14ac:dyDescent="0.25">
      <c r="A39" s="70" t="str">
        <f>+'SEMANA DEL 2 AL 7-3-26'!A43</f>
        <v xml:space="preserve">YOLI BECERRA </v>
      </c>
      <c r="B39" s="166">
        <v>0</v>
      </c>
      <c r="C39" s="337"/>
      <c r="D39" s="166">
        <f>+'SEMANA DEL 2 AL 7-3-26'!CA43</f>
        <v>0</v>
      </c>
      <c r="E39" s="166">
        <f>+'SEMANA DEL 7 AL 14'!CA40</f>
        <v>0</v>
      </c>
      <c r="F39" s="166">
        <f>+'SEMANA DEL 14 AL 21 '!CA40</f>
        <v>0</v>
      </c>
      <c r="G39" s="166">
        <f>+'SEMANA DEL 21AL 28-3'!CA40</f>
        <v>0</v>
      </c>
      <c r="H39" s="166" t="e">
        <f>+'SEMANA DEL 2 AL 7-3-26'!#REF!</f>
        <v>#REF!</v>
      </c>
      <c r="I39" s="342">
        <f t="shared" si="1"/>
        <v>0</v>
      </c>
    </row>
    <row r="40" spans="1:9" ht="15.75" x14ac:dyDescent="0.25">
      <c r="A40" s="70" t="str">
        <f>+'SEMANA DEL 2 AL 7-3-26'!A44</f>
        <v xml:space="preserve">MUESTRAS SRA MARIA </v>
      </c>
      <c r="B40" s="166"/>
      <c r="C40" s="338"/>
      <c r="D40" s="166">
        <f>+'SEMANA DEL 2 AL 7-3-26'!CA44</f>
        <v>0</v>
      </c>
      <c r="E40" s="166">
        <f>+'SEMANA DEL 7 AL 14'!CA41</f>
        <v>0</v>
      </c>
      <c r="F40" s="166">
        <f>+'SEMANA DEL 14 AL 21 '!CA41</f>
        <v>0</v>
      </c>
      <c r="G40" s="166">
        <f>+'SEMANA DEL 21AL 28-3'!CA41</f>
        <v>0</v>
      </c>
      <c r="H40" s="166">
        <f>+'SEMANA DEL 2 AL 7-3-26'!CF37</f>
        <v>244</v>
      </c>
      <c r="I40" s="342">
        <f t="shared" si="1"/>
        <v>0</v>
      </c>
    </row>
    <row r="41" spans="1:9" ht="15.75" x14ac:dyDescent="0.25">
      <c r="A41" s="70">
        <f>+'SEMANA DEL 2 AL 7-3-26'!A45</f>
        <v>0</v>
      </c>
      <c r="B41" s="166">
        <f t="shared" ref="B41:I41" si="2">SUM(B4:B40)</f>
        <v>919050</v>
      </c>
      <c r="C41" s="166">
        <f t="shared" si="2"/>
        <v>100000</v>
      </c>
      <c r="D41" s="166">
        <f t="shared" si="2"/>
        <v>175000</v>
      </c>
      <c r="E41" s="166">
        <f t="shared" si="2"/>
        <v>175000</v>
      </c>
      <c r="F41" s="166">
        <f t="shared" si="2"/>
        <v>0</v>
      </c>
      <c r="G41" s="166">
        <f t="shared" si="2"/>
        <v>0</v>
      </c>
      <c r="H41" s="166" t="e">
        <f t="shared" si="2"/>
        <v>#REF!</v>
      </c>
      <c r="I41" s="166">
        <f t="shared" si="2"/>
        <v>669050</v>
      </c>
    </row>
    <row r="42" spans="1:9" ht="15.75" x14ac:dyDescent="0.25">
      <c r="A42" s="70"/>
      <c r="B42" s="286"/>
    </row>
    <row r="43" spans="1:9" x14ac:dyDescent="0.2">
      <c r="A43" s="286"/>
      <c r="B43" s="286"/>
    </row>
    <row r="44" spans="1:9" x14ac:dyDescent="0.2">
      <c r="A44" s="286"/>
      <c r="B44" s="286"/>
    </row>
  </sheetData>
  <phoneticPr fontId="5" type="noConversion"/>
  <pageMargins left="0.74803149606299213" right="0.74803149606299213" top="0.98425196850393704" bottom="0.98425196850393704" header="0" footer="0"/>
  <pageSetup scale="73" orientation="landscape" horizontalDpi="300" verticalDpi="300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indexed="24"/>
    <pageSetUpPr fitToPage="1"/>
  </sheetPr>
  <dimension ref="A1:H47"/>
  <sheetViews>
    <sheetView zoomScale="75" workbookViewId="0">
      <pane ySplit="3" topLeftCell="A4" activePane="bottomLeft" state="frozen"/>
      <selection pane="bottomLeft" activeCell="H4" sqref="H4"/>
    </sheetView>
  </sheetViews>
  <sheetFormatPr baseColWidth="10" defaultColWidth="14.28515625" defaultRowHeight="12.75" x14ac:dyDescent="0.2"/>
  <cols>
    <col min="1" max="1" width="45.42578125" customWidth="1"/>
    <col min="2" max="2" width="18.5703125" customWidth="1"/>
    <col min="3" max="3" width="17.140625" customWidth="1"/>
    <col min="4" max="5" width="17.28515625" customWidth="1"/>
    <col min="6" max="7" width="16.5703125" customWidth="1"/>
    <col min="8" max="8" width="21.42578125" customWidth="1"/>
  </cols>
  <sheetData>
    <row r="1" spans="1:8" ht="16.5" thickBot="1" x14ac:dyDescent="0.3">
      <c r="A1" s="79" t="s">
        <v>58</v>
      </c>
      <c r="B1" s="52"/>
      <c r="C1" s="52"/>
      <c r="D1" s="52"/>
      <c r="E1" s="52"/>
      <c r="F1" s="79" t="s">
        <v>179</v>
      </c>
      <c r="G1" s="52"/>
      <c r="H1" s="52"/>
    </row>
    <row r="2" spans="1:8" ht="15.75" x14ac:dyDescent="0.25">
      <c r="A2" s="131" t="s">
        <v>53</v>
      </c>
      <c r="B2" s="132" t="s">
        <v>25</v>
      </c>
      <c r="C2" s="132"/>
      <c r="D2" s="132" t="s">
        <v>80</v>
      </c>
      <c r="E2" s="132" t="s">
        <v>80</v>
      </c>
      <c r="F2" s="132" t="s">
        <v>80</v>
      </c>
      <c r="G2" s="132" t="s">
        <v>148</v>
      </c>
      <c r="H2" s="133" t="s">
        <v>24</v>
      </c>
    </row>
    <row r="3" spans="1:8" ht="15.75" x14ac:dyDescent="0.25">
      <c r="A3" s="330" t="s">
        <v>55</v>
      </c>
      <c r="B3" s="331" t="s">
        <v>56</v>
      </c>
      <c r="C3" s="160" t="s">
        <v>59</v>
      </c>
      <c r="D3" s="161">
        <v>46025</v>
      </c>
      <c r="E3" s="161">
        <f>+D3+7</f>
        <v>46032</v>
      </c>
      <c r="F3" s="161">
        <f>+E3+7</f>
        <v>46039</v>
      </c>
      <c r="G3" s="161">
        <f>+F3+7</f>
        <v>46046</v>
      </c>
      <c r="H3" s="161"/>
    </row>
    <row r="4" spans="1:8" ht="15.75" x14ac:dyDescent="0.25">
      <c r="A4" s="70" t="str">
        <f>+'SEMANA DEL 2 AL 7-3-26'!A5</f>
        <v xml:space="preserve">ALCIDES CORREA </v>
      </c>
      <c r="B4" s="72">
        <v>0</v>
      </c>
      <c r="C4" s="72"/>
      <c r="D4" s="72">
        <f>+'SEMANA DEL 2 AL 7-3-26'!CB5</f>
        <v>0</v>
      </c>
      <c r="E4" s="72">
        <f>+'SEMANA DEL 2 AL 7-3-26'!CC5</f>
        <v>160</v>
      </c>
      <c r="F4" s="72">
        <f>+'SEMANA DEL 2 AL 7-3-26'!CD5</f>
        <v>240</v>
      </c>
      <c r="G4" s="72">
        <f>+'SEMANA DEL 2 AL 7-3-26'!CE5</f>
        <v>210</v>
      </c>
      <c r="H4" s="72">
        <f t="shared" ref="H4:H45" si="0">+B4-C4+D4+E4+F4+G4</f>
        <v>610</v>
      </c>
    </row>
    <row r="5" spans="1:8" ht="15.75" x14ac:dyDescent="0.25">
      <c r="A5" s="70" t="str">
        <f>+'SEMANA DEL 2 AL 7-3-26'!A7</f>
        <v xml:space="preserve">BLANCA ALVARADO </v>
      </c>
      <c r="B5" s="72">
        <v>0</v>
      </c>
      <c r="C5" s="72"/>
      <c r="D5" s="72">
        <f>+'SEMANA DEL 2 AL 7-3-26'!CB7</f>
        <v>0</v>
      </c>
      <c r="E5" s="72">
        <f>+'SEMANA DEL 2 AL 7-3-26'!CC7</f>
        <v>0</v>
      </c>
      <c r="F5" s="72">
        <f>+'SEMANA DEL 2 AL 7-3-26'!CD7</f>
        <v>0</v>
      </c>
      <c r="G5" s="72">
        <f>+'SEMANA DEL 2 AL 7-3-26'!CE7</f>
        <v>0</v>
      </c>
      <c r="H5" s="72">
        <f t="shared" si="0"/>
        <v>0</v>
      </c>
    </row>
    <row r="6" spans="1:8" ht="15.75" hidden="1" x14ac:dyDescent="0.25">
      <c r="A6" s="70" t="str">
        <f>+'SEMANA DEL 2 AL 7-3-26'!A8</f>
        <v>ESPERANZA REY</v>
      </c>
      <c r="B6" s="72">
        <v>0</v>
      </c>
      <c r="C6" s="72"/>
      <c r="D6" s="72">
        <f>+'SEMANA DEL 2 AL 7-3-26'!CB8</f>
        <v>0</v>
      </c>
      <c r="E6" s="72">
        <f>+'SEMANA DEL 2 AL 7-3-26'!CC8</f>
        <v>0</v>
      </c>
      <c r="F6" s="72">
        <f>+'SEMANA DEL 2 AL 7-3-26'!CD8</f>
        <v>0</v>
      </c>
      <c r="G6" s="72">
        <f>+'SEMANA DEL 2 AL 7-3-26'!CE8</f>
        <v>0</v>
      </c>
      <c r="H6" s="72">
        <f t="shared" si="0"/>
        <v>0</v>
      </c>
    </row>
    <row r="7" spans="1:8" ht="15.75" hidden="1" x14ac:dyDescent="0.25">
      <c r="A7" s="70" t="str">
        <f>+'SEMANA DEL 2 AL 7-3-26'!A9</f>
        <v xml:space="preserve">ELIZABETH REYES SERRANO </v>
      </c>
      <c r="B7" s="72">
        <v>0</v>
      </c>
      <c r="C7" s="72"/>
      <c r="D7" s="72">
        <f>+'SEMANA DEL 2 AL 7-3-26'!CB9</f>
        <v>0</v>
      </c>
      <c r="E7" s="72">
        <f>+'SEMANA DEL 2 AL 7-3-26'!CC9</f>
        <v>112</v>
      </c>
      <c r="F7" s="72">
        <f>+'SEMANA DEL 2 AL 7-3-26'!CD9</f>
        <v>168</v>
      </c>
      <c r="G7" s="72">
        <f>+'SEMANA DEL 2 AL 7-3-26'!CE9</f>
        <v>147</v>
      </c>
      <c r="H7" s="72">
        <f t="shared" si="0"/>
        <v>427</v>
      </c>
    </row>
    <row r="8" spans="1:8" ht="15.75" hidden="1" x14ac:dyDescent="0.25">
      <c r="A8" s="70" t="str">
        <f>+'SEMANA DEL 2 AL 7-3-26'!A10</f>
        <v>ELVIRA LOPEZ</v>
      </c>
      <c r="B8" s="72">
        <v>0</v>
      </c>
      <c r="C8" s="72"/>
      <c r="D8" s="72">
        <f>+'SEMANA DEL 2 AL 7-3-26'!CB10</f>
        <v>0</v>
      </c>
      <c r="E8" s="72">
        <f>+'SEMANA DEL 2 AL 7-3-26'!CC10</f>
        <v>192</v>
      </c>
      <c r="F8" s="72">
        <f>+'SEMANA DEL 2 AL 7-3-26'!CD10</f>
        <v>288.00000000000006</v>
      </c>
      <c r="G8" s="72">
        <f>+'SEMANA DEL 2 AL 7-3-26'!CE10</f>
        <v>252</v>
      </c>
      <c r="H8" s="72">
        <f t="shared" si="0"/>
        <v>732</v>
      </c>
    </row>
    <row r="9" spans="1:8" ht="15.75" x14ac:dyDescent="0.25">
      <c r="A9" s="70" t="str">
        <f>+'SEMANA DEL 2 AL 7-3-26'!A11</f>
        <v>ERNESTO REYES</v>
      </c>
      <c r="B9" s="72">
        <v>0</v>
      </c>
      <c r="C9" s="72"/>
      <c r="D9" s="72">
        <f>+'SEMANA DEL 2 AL 7-3-26'!CB11</f>
        <v>0</v>
      </c>
      <c r="E9" s="72">
        <f>+'SEMANA DEL 2 AL 7-3-26'!CC11</f>
        <v>48</v>
      </c>
      <c r="F9" s="72">
        <f>+'SEMANA DEL 2 AL 7-3-26'!CD11</f>
        <v>72.000000000000014</v>
      </c>
      <c r="G9" s="72">
        <f>+'SEMANA DEL 2 AL 7-3-26'!CE11</f>
        <v>63</v>
      </c>
      <c r="H9" s="72">
        <f t="shared" si="0"/>
        <v>183</v>
      </c>
    </row>
    <row r="10" spans="1:8" ht="15.75" x14ac:dyDescent="0.25">
      <c r="A10" s="70" t="str">
        <f>+'SEMANA DEL 2 AL 7-3-26'!A12</f>
        <v xml:space="preserve">GUILLERMO ZAMBRANO </v>
      </c>
      <c r="B10" s="72">
        <v>0</v>
      </c>
      <c r="C10" s="72"/>
      <c r="D10" s="72">
        <f>+'SEMANA DEL 2 AL 7-3-26'!CB12</f>
        <v>0</v>
      </c>
      <c r="E10" s="72">
        <f>+'SEMANA DEL 2 AL 7-3-26'!CC12</f>
        <v>0</v>
      </c>
      <c r="F10" s="72">
        <f>+'SEMANA DEL 2 AL 7-3-26'!CD12</f>
        <v>0</v>
      </c>
      <c r="G10" s="72">
        <f>+'SEMANA DEL 2 AL 7-3-26'!CE12</f>
        <v>0</v>
      </c>
      <c r="H10" s="72">
        <f t="shared" si="0"/>
        <v>0</v>
      </c>
    </row>
    <row r="11" spans="1:8" ht="15.75" x14ac:dyDescent="0.25">
      <c r="A11" s="70" t="e">
        <f>+'SEMANA DEL 2 AL 7-3-26'!#REF!</f>
        <v>#REF!</v>
      </c>
      <c r="B11" s="72">
        <v>0</v>
      </c>
      <c r="C11" s="72"/>
      <c r="D11" s="72" t="e">
        <f>+'SEMANA DEL 2 AL 7-3-26'!#REF!</f>
        <v>#REF!</v>
      </c>
      <c r="E11" s="72" t="e">
        <f>+'SEMANA DEL 2 AL 7-3-26'!#REF!</f>
        <v>#REF!</v>
      </c>
      <c r="F11" s="72" t="e">
        <f>+'SEMANA DEL 2 AL 7-3-26'!#REF!</f>
        <v>#REF!</v>
      </c>
      <c r="G11" s="72" t="e">
        <f>+'SEMANA DEL 2 AL 7-3-26'!#REF!</f>
        <v>#REF!</v>
      </c>
      <c r="H11" s="72" t="e">
        <f t="shared" si="0"/>
        <v>#REF!</v>
      </c>
    </row>
    <row r="12" spans="1:8" ht="15.75" x14ac:dyDescent="0.25">
      <c r="A12" s="70" t="str">
        <f>+'SEMANA DEL 2 AL 7-3-26'!A13</f>
        <v>HUGO ALMEIDA</v>
      </c>
      <c r="B12" s="72">
        <v>0</v>
      </c>
      <c r="C12" s="72"/>
      <c r="D12" s="72">
        <f>+'SEMANA DEL 2 AL 7-3-26'!CB13</f>
        <v>0</v>
      </c>
      <c r="E12" s="72">
        <f>+'SEMANA DEL 2 AL 7-3-26'!CC13</f>
        <v>80</v>
      </c>
      <c r="F12" s="72">
        <f>+'SEMANA DEL 2 AL 7-3-26'!CD13</f>
        <v>120</v>
      </c>
      <c r="G12" s="72">
        <f>+'SEMANA DEL 2 AL 7-3-26'!CE13</f>
        <v>105</v>
      </c>
      <c r="H12" s="72">
        <f t="shared" si="0"/>
        <v>305</v>
      </c>
    </row>
    <row r="13" spans="1:8" ht="15.75" x14ac:dyDescent="0.25">
      <c r="A13" s="70" t="str">
        <f>+'SEMANA DEL 2 AL 7-3-26'!A14</f>
        <v>HILDA SERRANO</v>
      </c>
      <c r="B13" s="72">
        <v>0</v>
      </c>
      <c r="C13" s="72"/>
      <c r="D13" s="72">
        <f>+'SEMANA DEL 2 AL 7-3-26'!CB14</f>
        <v>0</v>
      </c>
      <c r="E13" s="72">
        <f>+'SEMANA DEL 2 AL 7-3-26'!CC14</f>
        <v>112</v>
      </c>
      <c r="F13" s="72">
        <f>+'SEMANA DEL 2 AL 7-3-26'!CD14</f>
        <v>168</v>
      </c>
      <c r="G13" s="72">
        <f>+'SEMANA DEL 2 AL 7-3-26'!CE14</f>
        <v>147</v>
      </c>
      <c r="H13" s="72">
        <f t="shared" si="0"/>
        <v>427</v>
      </c>
    </row>
    <row r="14" spans="1:8" ht="15.75" x14ac:dyDescent="0.25">
      <c r="A14" s="70" t="str">
        <f>+'SEMANA DEL 2 AL 7-3-26'!A15</f>
        <v xml:space="preserve">HUMBERTO LUNA </v>
      </c>
      <c r="B14" s="72">
        <v>0</v>
      </c>
      <c r="C14" s="72"/>
      <c r="D14" s="72">
        <f>+'SEMANA DEL 2 AL 7-3-26'!CB15</f>
        <v>0</v>
      </c>
      <c r="E14" s="72">
        <f>+'SEMANA DEL 2 AL 7-3-26'!CC15</f>
        <v>160</v>
      </c>
      <c r="F14" s="72">
        <f>+'SEMANA DEL 2 AL 7-3-26'!CD15</f>
        <v>240</v>
      </c>
      <c r="G14" s="72">
        <f>+'SEMANA DEL 2 AL 7-3-26'!CE15</f>
        <v>210</v>
      </c>
      <c r="H14" s="72">
        <f t="shared" si="0"/>
        <v>610</v>
      </c>
    </row>
    <row r="15" spans="1:8" ht="15.75" x14ac:dyDescent="0.25">
      <c r="A15" s="70" t="str">
        <f>+'SEMANA DEL 2 AL 7-3-26'!A16</f>
        <v>JOSE EBLAN GIRON</v>
      </c>
      <c r="B15" s="72">
        <v>0</v>
      </c>
      <c r="C15" s="72"/>
      <c r="D15" s="72">
        <f>+'SEMANA DEL 2 AL 7-3-26'!CB16</f>
        <v>0</v>
      </c>
      <c r="E15" s="72">
        <f>+'SEMANA DEL 2 AL 7-3-26'!CC16</f>
        <v>64</v>
      </c>
      <c r="F15" s="72">
        <f>+'SEMANA DEL 2 AL 7-3-26'!CD16</f>
        <v>96</v>
      </c>
      <c r="G15" s="72">
        <f>+'SEMANA DEL 2 AL 7-3-26'!CE16</f>
        <v>84</v>
      </c>
      <c r="H15" s="72">
        <f t="shared" si="0"/>
        <v>244</v>
      </c>
    </row>
    <row r="16" spans="1:8" ht="15.75" x14ac:dyDescent="0.25">
      <c r="A16" s="70" t="str">
        <f>+'SEMANA DEL 2 AL 7-3-26'!A17</f>
        <v xml:space="preserve">JOSE JURADO </v>
      </c>
      <c r="B16" s="72">
        <v>0</v>
      </c>
      <c r="C16" s="72"/>
      <c r="D16" s="72">
        <f>+'SEMANA DEL 2 AL 7-3-26'!CB17</f>
        <v>0</v>
      </c>
      <c r="E16" s="72">
        <f>+'SEMANA DEL 2 AL 7-3-26'!CC17</f>
        <v>80</v>
      </c>
      <c r="F16" s="72">
        <f>+'SEMANA DEL 2 AL 7-3-26'!CD17</f>
        <v>120</v>
      </c>
      <c r="G16" s="72">
        <f>+'SEMANA DEL 2 AL 7-3-26'!CE17</f>
        <v>105</v>
      </c>
      <c r="H16" s="72">
        <f t="shared" si="0"/>
        <v>305</v>
      </c>
    </row>
    <row r="17" spans="1:8" ht="15.75" x14ac:dyDescent="0.25">
      <c r="A17" s="70" t="str">
        <f>+'SEMANA DEL 2 AL 7-3-26'!A18</f>
        <v xml:space="preserve">KARINA SILVA </v>
      </c>
      <c r="B17" s="72">
        <v>0</v>
      </c>
      <c r="C17" s="72"/>
      <c r="D17" s="72">
        <f>+'SEMANA DEL 2 AL 7-3-26'!CB18</f>
        <v>0</v>
      </c>
      <c r="E17" s="72">
        <f>+'SEMANA DEL 2 AL 7-3-26'!CC18</f>
        <v>80.8</v>
      </c>
      <c r="F17" s="72">
        <f>+'SEMANA DEL 2 AL 7-3-26'!CD18</f>
        <v>121.2</v>
      </c>
      <c r="G17" s="72">
        <f>+'SEMANA DEL 2 AL 7-3-26'!CE18</f>
        <v>106.05000000000001</v>
      </c>
      <c r="H17" s="72">
        <f t="shared" si="0"/>
        <v>308.05</v>
      </c>
    </row>
    <row r="18" spans="1:8" ht="15.75" x14ac:dyDescent="0.25">
      <c r="A18" s="70" t="str">
        <f>+'SEMANA DEL 2 AL 7-3-26'!A19</f>
        <v>LUZ MERY ABAUNZA</v>
      </c>
      <c r="B18" s="72">
        <v>0</v>
      </c>
      <c r="C18" s="72"/>
      <c r="D18" s="72">
        <f>+'SEMANA DEL 2 AL 7-3-26'!CB19</f>
        <v>0</v>
      </c>
      <c r="E18" s="72">
        <f>+'SEMANA DEL 2 AL 7-3-26'!CC19</f>
        <v>80</v>
      </c>
      <c r="F18" s="72">
        <f>+'SEMANA DEL 2 AL 7-3-26'!CD19</f>
        <v>120</v>
      </c>
      <c r="G18" s="72">
        <f>+'SEMANA DEL 2 AL 7-3-26'!CE19</f>
        <v>105</v>
      </c>
      <c r="H18" s="72">
        <f t="shared" si="0"/>
        <v>305</v>
      </c>
    </row>
    <row r="19" spans="1:8" ht="15.75" x14ac:dyDescent="0.25">
      <c r="A19" s="70" t="str">
        <f>+'SEMANA DEL 2 AL 7-3-26'!A20</f>
        <v>LUIS ROJAS</v>
      </c>
      <c r="B19" s="72">
        <v>0</v>
      </c>
      <c r="C19" s="72"/>
      <c r="D19" s="72">
        <f>+'SEMANA DEL 2 AL 7-3-26'!CB20</f>
        <v>0</v>
      </c>
      <c r="E19" s="72">
        <f>+'SEMANA DEL 2 AL 7-3-26'!CC20</f>
        <v>0</v>
      </c>
      <c r="F19" s="72">
        <f>+'SEMANA DEL 2 AL 7-3-26'!CD20</f>
        <v>0</v>
      </c>
      <c r="G19" s="72">
        <f>+'SEMANA DEL 2 AL 7-3-26'!CE20</f>
        <v>0</v>
      </c>
      <c r="H19" s="72">
        <f t="shared" si="0"/>
        <v>0</v>
      </c>
    </row>
    <row r="20" spans="1:8" ht="15.75" x14ac:dyDescent="0.25">
      <c r="A20" s="70" t="str">
        <f>+'SEMANA DEL 2 AL 7-3-26'!A21</f>
        <v xml:space="preserve">LUIS VALDERRAMA </v>
      </c>
      <c r="B20" s="72">
        <v>0</v>
      </c>
      <c r="C20" s="72"/>
      <c r="D20" s="72">
        <f>+'SEMANA DEL 2 AL 7-3-26'!CB21</f>
        <v>0</v>
      </c>
      <c r="E20" s="72">
        <f>+'SEMANA DEL 2 AL 7-3-26'!CC21</f>
        <v>240</v>
      </c>
      <c r="F20" s="72">
        <f>+'SEMANA DEL 2 AL 7-3-26'!CD21</f>
        <v>360</v>
      </c>
      <c r="G20" s="72">
        <f>+'SEMANA DEL 2 AL 7-3-26'!CE21</f>
        <v>315</v>
      </c>
      <c r="H20" s="72">
        <f t="shared" si="0"/>
        <v>915</v>
      </c>
    </row>
    <row r="21" spans="1:8" ht="15.75" x14ac:dyDescent="0.25">
      <c r="A21" s="70" t="str">
        <f>+'SEMANA DEL 2 AL 7-3-26'!A22</f>
        <v>LILIANA  VEGA</v>
      </c>
      <c r="B21" s="72">
        <v>0</v>
      </c>
      <c r="C21" s="72"/>
      <c r="D21" s="72">
        <f>+'SEMANA DEL 2 AL 7-3-26'!CB22</f>
        <v>0</v>
      </c>
      <c r="E21" s="72">
        <f>+'SEMANA DEL 2 AL 7-3-26'!CC22</f>
        <v>128</v>
      </c>
      <c r="F21" s="72">
        <f>+'SEMANA DEL 2 AL 7-3-26'!CD22</f>
        <v>192</v>
      </c>
      <c r="G21" s="72">
        <f>+'SEMANA DEL 2 AL 7-3-26'!CE22</f>
        <v>168</v>
      </c>
      <c r="H21" s="72">
        <f t="shared" si="0"/>
        <v>488</v>
      </c>
    </row>
    <row r="22" spans="1:8" ht="15.75" x14ac:dyDescent="0.25">
      <c r="A22" s="70" t="str">
        <f>+'SEMANA DEL 2 AL 7-3-26'!A23</f>
        <v xml:space="preserve">LUIS ERNESTO ALMEIDA </v>
      </c>
      <c r="B22" s="72">
        <v>0</v>
      </c>
      <c r="C22" s="72"/>
      <c r="D22" s="72">
        <f>+'SEMANA DEL 2 AL 7-3-26'!CB23</f>
        <v>0</v>
      </c>
      <c r="E22" s="72">
        <f>+'SEMANA DEL 2 AL 7-3-26'!CC23</f>
        <v>128</v>
      </c>
      <c r="F22" s="72">
        <f>+'SEMANA DEL 2 AL 7-3-26'!CD23</f>
        <v>192</v>
      </c>
      <c r="G22" s="72">
        <f>+'SEMANA DEL 2 AL 7-3-26'!CE23</f>
        <v>168</v>
      </c>
      <c r="H22" s="72">
        <f t="shared" si="0"/>
        <v>488</v>
      </c>
    </row>
    <row r="23" spans="1:8" ht="15.75" x14ac:dyDescent="0.25">
      <c r="A23" s="70" t="str">
        <f>+'SEMANA DEL 2 AL 7-3-26'!A24</f>
        <v xml:space="preserve">LEIDY SERRANO </v>
      </c>
      <c r="B23" s="72">
        <v>0</v>
      </c>
      <c r="C23" s="72"/>
      <c r="D23" s="72">
        <f>+'SEMANA DEL 2 AL 7-3-26'!CB24</f>
        <v>0</v>
      </c>
      <c r="E23" s="72">
        <f>+'SEMANA DEL 2 AL 7-3-26'!CC24</f>
        <v>80</v>
      </c>
      <c r="F23" s="72">
        <f>+'SEMANA DEL 2 AL 7-3-26'!CD24</f>
        <v>120</v>
      </c>
      <c r="G23" s="72">
        <f>+'SEMANA DEL 2 AL 7-3-26'!CE24</f>
        <v>105</v>
      </c>
      <c r="H23" s="72">
        <f t="shared" si="0"/>
        <v>305</v>
      </c>
    </row>
    <row r="24" spans="1:8" ht="15.75" x14ac:dyDescent="0.25">
      <c r="A24" s="70" t="str">
        <f>+'SEMANA DEL 2 AL 7-3-26'!A25</f>
        <v xml:space="preserve">MAYERLIN BOLIVAR </v>
      </c>
      <c r="B24" s="72">
        <v>0</v>
      </c>
      <c r="C24" s="72"/>
      <c r="D24" s="72">
        <f>+'SEMANA DEL 2 AL 7-3-26'!CB25</f>
        <v>0</v>
      </c>
      <c r="E24" s="72">
        <f>+'SEMANA DEL 2 AL 7-3-26'!CC25</f>
        <v>240</v>
      </c>
      <c r="F24" s="72">
        <f>+'SEMANA DEL 2 AL 7-3-26'!CD25</f>
        <v>360</v>
      </c>
      <c r="G24" s="72">
        <f>+'SEMANA DEL 2 AL 7-3-26'!CE25</f>
        <v>315</v>
      </c>
      <c r="H24" s="72">
        <f t="shared" si="0"/>
        <v>915</v>
      </c>
    </row>
    <row r="25" spans="1:8" ht="15.75" x14ac:dyDescent="0.25">
      <c r="A25" s="70" t="str">
        <f>+'SEMANA DEL 2 AL 7-3-26'!A26</f>
        <v xml:space="preserve">MARTHA SILVA </v>
      </c>
      <c r="B25" s="72">
        <v>0</v>
      </c>
      <c r="C25" s="72"/>
      <c r="D25" s="72">
        <f>+'SEMANA DEL 2 AL 7-3-26'!CB26</f>
        <v>0</v>
      </c>
      <c r="E25" s="72">
        <f>+'SEMANA DEL 2 AL 7-3-26'!CC26</f>
        <v>0</v>
      </c>
      <c r="F25" s="72">
        <f>+'SEMANA DEL 2 AL 7-3-26'!CD26</f>
        <v>0</v>
      </c>
      <c r="G25" s="72">
        <f>+'SEMANA DEL 2 AL 7-3-26'!CE26</f>
        <v>0</v>
      </c>
      <c r="H25" s="72">
        <f t="shared" si="0"/>
        <v>0</v>
      </c>
    </row>
    <row r="26" spans="1:8" ht="15.75" x14ac:dyDescent="0.25">
      <c r="A26" s="70" t="str">
        <f>+'SEMANA DEL 2 AL 7-3-26'!A29</f>
        <v xml:space="preserve">MARIA MEDINA </v>
      </c>
      <c r="B26" s="72">
        <v>0</v>
      </c>
      <c r="C26" s="72"/>
      <c r="D26" s="72">
        <f>+'SEMANA DEL 2 AL 7-3-26'!CB29</f>
        <v>0</v>
      </c>
      <c r="E26" s="72">
        <f>+'SEMANA DEL 2 AL 7-3-26'!CC29</f>
        <v>80</v>
      </c>
      <c r="F26" s="72">
        <f>+'SEMANA DEL 2 AL 7-3-26'!CD29</f>
        <v>120</v>
      </c>
      <c r="G26" s="72">
        <f>+'SEMANA DEL 2 AL 7-3-26'!CE29</f>
        <v>105</v>
      </c>
      <c r="H26" s="72">
        <f t="shared" si="0"/>
        <v>305</v>
      </c>
    </row>
    <row r="27" spans="1:8" ht="15.75" hidden="1" x14ac:dyDescent="0.25">
      <c r="A27" s="70" t="e">
        <f>+'SEMANA DEL 2 AL 7-3-26'!#REF!</f>
        <v>#REF!</v>
      </c>
      <c r="B27" s="72">
        <v>0</v>
      </c>
      <c r="C27" s="72"/>
      <c r="D27" s="72" t="e">
        <f>+'SEMANA DEL 2 AL 7-3-26'!#REF!</f>
        <v>#REF!</v>
      </c>
      <c r="E27" s="72" t="e">
        <f>+'SEMANA DEL 2 AL 7-3-26'!#REF!</f>
        <v>#REF!</v>
      </c>
      <c r="F27" s="72" t="e">
        <f>+'SEMANA DEL 2 AL 7-3-26'!#REF!</f>
        <v>#REF!</v>
      </c>
      <c r="G27" s="72" t="e">
        <f>+'SEMANA DEL 2 AL 7-3-26'!#REF!</f>
        <v>#REF!</v>
      </c>
      <c r="H27" s="72" t="e">
        <f t="shared" si="0"/>
        <v>#REF!</v>
      </c>
    </row>
    <row r="28" spans="1:8" ht="15.75" hidden="1" x14ac:dyDescent="0.25">
      <c r="A28" s="70" t="e">
        <f>+'SEMANA DEL 2 AL 7-3-26'!#REF!</f>
        <v>#REF!</v>
      </c>
      <c r="B28" s="72">
        <v>0</v>
      </c>
      <c r="C28" s="72"/>
      <c r="D28" s="72" t="e">
        <f>+'SEMANA DEL 2 AL 7-3-26'!#REF!</f>
        <v>#REF!</v>
      </c>
      <c r="E28" s="72" t="e">
        <f>+'SEMANA DEL 2 AL 7-3-26'!#REF!</f>
        <v>#REF!</v>
      </c>
      <c r="F28" s="72" t="e">
        <f>+'SEMANA DEL 2 AL 7-3-26'!#REF!</f>
        <v>#REF!</v>
      </c>
      <c r="G28" s="72" t="e">
        <f>+'SEMANA DEL 2 AL 7-3-26'!#REF!</f>
        <v>#REF!</v>
      </c>
      <c r="H28" s="72" t="e">
        <f t="shared" si="0"/>
        <v>#REF!</v>
      </c>
    </row>
    <row r="29" spans="1:8" ht="15.75" x14ac:dyDescent="0.25">
      <c r="A29" s="70" t="str">
        <f>+'SEMANA DEL 2 AL 7-3-26'!A30</f>
        <v xml:space="preserve">PETTER BENAVIDES </v>
      </c>
      <c r="B29" s="72">
        <v>0</v>
      </c>
      <c r="C29" s="72"/>
      <c r="D29" s="72">
        <f>+'SEMANA DEL 2 AL 7-3-26'!CB30</f>
        <v>0</v>
      </c>
      <c r="E29" s="72">
        <f>+'SEMANA DEL 2 AL 7-3-26'!CC30</f>
        <v>160</v>
      </c>
      <c r="F29" s="72">
        <f>+'SEMANA DEL 2 AL 7-3-26'!CD30</f>
        <v>240</v>
      </c>
      <c r="G29" s="72">
        <f>+'SEMANA DEL 2 AL 7-3-26'!CE30</f>
        <v>210</v>
      </c>
      <c r="H29" s="72">
        <f t="shared" si="0"/>
        <v>610</v>
      </c>
    </row>
    <row r="30" spans="1:8" ht="15.75" x14ac:dyDescent="0.25">
      <c r="A30" s="70" t="str">
        <f>+'SEMANA DEL 2 AL 7-3-26'!A31</f>
        <v xml:space="preserve">RAMON PARRA </v>
      </c>
      <c r="B30" s="72">
        <v>0</v>
      </c>
      <c r="C30" s="72"/>
      <c r="D30" s="72">
        <f>+'SEMANA DEL 2 AL 7-3-26'!CB31</f>
        <v>0</v>
      </c>
      <c r="E30" s="72">
        <f>+'SEMANA DEL 2 AL 7-3-26'!CC31</f>
        <v>80</v>
      </c>
      <c r="F30" s="72">
        <f>+'SEMANA DEL 2 AL 7-3-26'!CD31</f>
        <v>120</v>
      </c>
      <c r="G30" s="72">
        <f>+'SEMANA DEL 2 AL 7-3-26'!CE31</f>
        <v>105</v>
      </c>
      <c r="H30" s="72">
        <f t="shared" si="0"/>
        <v>305</v>
      </c>
    </row>
    <row r="31" spans="1:8" ht="15.75" hidden="1" x14ac:dyDescent="0.25">
      <c r="A31" s="70" t="str">
        <f>+'SEMANA DEL 2 AL 7-3-26'!A32</f>
        <v>SULAY ALMEIDA</v>
      </c>
      <c r="B31" s="72">
        <v>0</v>
      </c>
      <c r="C31" s="72"/>
      <c r="D31" s="72">
        <f>+'SEMANA DEL 2 AL 7-3-26'!CB32</f>
        <v>0</v>
      </c>
      <c r="E31" s="72">
        <f>+'SEMANA DEL 2 AL 7-3-26'!CC32</f>
        <v>0</v>
      </c>
      <c r="F31" s="72">
        <f>+'SEMANA DEL 2 AL 7-3-26'!CD32</f>
        <v>0</v>
      </c>
      <c r="G31" s="72">
        <f>+'SEMANA DEL 2 AL 7-3-26'!CE32</f>
        <v>0</v>
      </c>
      <c r="H31" s="72">
        <f t="shared" si="0"/>
        <v>0</v>
      </c>
    </row>
    <row r="32" spans="1:8" ht="15.75" x14ac:dyDescent="0.25">
      <c r="A32" s="70" t="e">
        <f>+'SEMANA DEL 2 AL 7-3-26'!#REF!</f>
        <v>#REF!</v>
      </c>
      <c r="B32" s="72">
        <v>0</v>
      </c>
      <c r="C32" s="72"/>
      <c r="D32" s="72" t="e">
        <f>+'SEMANA DEL 2 AL 7-3-26'!#REF!</f>
        <v>#REF!</v>
      </c>
      <c r="E32" s="72" t="e">
        <f>+'SEMANA DEL 2 AL 7-3-26'!#REF!</f>
        <v>#REF!</v>
      </c>
      <c r="F32" s="72" t="e">
        <f>+'SEMANA DEL 2 AL 7-3-26'!#REF!</f>
        <v>#REF!</v>
      </c>
      <c r="G32" s="72" t="e">
        <f>+'SEMANA DEL 2 AL 7-3-26'!#REF!</f>
        <v>#REF!</v>
      </c>
      <c r="H32" s="72" t="e">
        <f t="shared" si="0"/>
        <v>#REF!</v>
      </c>
    </row>
    <row r="33" spans="1:8" ht="15.75" x14ac:dyDescent="0.25">
      <c r="A33" s="70" t="str">
        <f>+'SEMANA DEL 2 AL 7-3-26'!A33</f>
        <v xml:space="preserve">RENE ALMEIDA </v>
      </c>
      <c r="B33" s="72">
        <v>0</v>
      </c>
      <c r="C33" s="72"/>
      <c r="D33" s="72">
        <f>+'SEMANA DEL 2 AL 7-3-26'!CB33</f>
        <v>0</v>
      </c>
      <c r="E33" s="72">
        <f>+'SEMANA DEL 2 AL 7-3-26'!CC33</f>
        <v>39.200000000000003</v>
      </c>
      <c r="F33" s="72">
        <f>+'SEMANA DEL 2 AL 7-3-26'!CD33</f>
        <v>58.800000000000004</v>
      </c>
      <c r="G33" s="72">
        <f>+'SEMANA DEL 2 AL 7-3-26'!CE33</f>
        <v>51.449999999999996</v>
      </c>
      <c r="H33" s="72">
        <f t="shared" si="0"/>
        <v>149.44999999999999</v>
      </c>
    </row>
    <row r="34" spans="1:8" ht="15.75" x14ac:dyDescent="0.25">
      <c r="A34" s="70" t="str">
        <f>+'SEMANA DEL 2 AL 7-3-26'!A34</f>
        <v>RUBIELA MARTINEZ</v>
      </c>
      <c r="B34" s="72">
        <v>0</v>
      </c>
      <c r="C34" s="72"/>
      <c r="D34" s="72">
        <f>+'SEMANA DEL 2 AL 7-3-26'!CB34</f>
        <v>0</v>
      </c>
      <c r="E34" s="72">
        <f>+'SEMANA DEL 2 AL 7-3-26'!CC34</f>
        <v>160</v>
      </c>
      <c r="F34" s="72">
        <f>+'SEMANA DEL 2 AL 7-3-26'!CD34</f>
        <v>240</v>
      </c>
      <c r="G34" s="72">
        <f>+'SEMANA DEL 2 AL 7-3-26'!CE34</f>
        <v>210</v>
      </c>
      <c r="H34" s="72">
        <f t="shared" si="0"/>
        <v>610</v>
      </c>
    </row>
    <row r="35" spans="1:8" ht="15.75" x14ac:dyDescent="0.25">
      <c r="A35" s="70" t="str">
        <f>+'SEMANA DEL 2 AL 7-3-26'!A35</f>
        <v xml:space="preserve">ROSMIRA DURAN </v>
      </c>
      <c r="B35" s="72">
        <v>0</v>
      </c>
      <c r="C35" s="72"/>
      <c r="D35" s="72">
        <f>+'SEMANA DEL 2 AL 7-3-26'!CB35</f>
        <v>0</v>
      </c>
      <c r="E35" s="72">
        <f>+'SEMANA DEL 2 AL 7-3-26'!CC35</f>
        <v>48</v>
      </c>
      <c r="F35" s="72">
        <f>+'SEMANA DEL 2 AL 7-3-26'!CD35</f>
        <v>52</v>
      </c>
      <c r="G35" s="72">
        <f>+'SEMANA DEL 2 AL 7-3-26'!CE35</f>
        <v>52.5</v>
      </c>
      <c r="H35" s="72">
        <f t="shared" si="0"/>
        <v>152.5</v>
      </c>
    </row>
    <row r="36" spans="1:8" ht="15.75" x14ac:dyDescent="0.25">
      <c r="A36" s="70" t="e">
        <f>+'SEMANA DEL 2 AL 7-3-26'!#REF!</f>
        <v>#REF!</v>
      </c>
      <c r="B36" s="72">
        <v>0</v>
      </c>
      <c r="C36" s="46"/>
      <c r="D36" s="72" t="e">
        <f>+'SEMANA DEL 2 AL 7-3-26'!#REF!</f>
        <v>#REF!</v>
      </c>
      <c r="E36" s="72" t="e">
        <f>+'SEMANA DEL 2 AL 7-3-26'!#REF!</f>
        <v>#REF!</v>
      </c>
      <c r="F36" s="72" t="e">
        <f>+'SEMANA DEL 2 AL 7-3-26'!#REF!</f>
        <v>#REF!</v>
      </c>
      <c r="G36" s="72" t="e">
        <f>+'SEMANA DEL 2 AL 7-3-26'!#REF!</f>
        <v>#REF!</v>
      </c>
      <c r="H36" s="72" t="e">
        <f t="shared" si="0"/>
        <v>#REF!</v>
      </c>
    </row>
    <row r="37" spans="1:8" ht="15.75" x14ac:dyDescent="0.25">
      <c r="A37" s="70" t="str">
        <f>+'SEMANA DEL 2 AL 7-3-26'!A36</f>
        <v xml:space="preserve">ROSALBA MATAGIRA </v>
      </c>
      <c r="B37" s="72">
        <v>0</v>
      </c>
      <c r="C37" s="46"/>
      <c r="D37" s="72">
        <f>+'SEMANA DEL 2 AL 7-3-26'!CB36</f>
        <v>0</v>
      </c>
      <c r="E37" s="72">
        <f>+'SEMANA DEL 2 AL 7-3-26'!CC36</f>
        <v>176</v>
      </c>
      <c r="F37" s="72">
        <f>+'SEMANA DEL 2 AL 7-3-26'!CD36</f>
        <v>264</v>
      </c>
      <c r="G37" s="72">
        <f>+'SEMANA DEL 2 AL 7-3-26'!CE36</f>
        <v>231</v>
      </c>
      <c r="H37" s="72">
        <f t="shared" si="0"/>
        <v>671</v>
      </c>
    </row>
    <row r="38" spans="1:8" ht="15.75" x14ac:dyDescent="0.25">
      <c r="A38" s="70" t="e">
        <f>+'SEMANA DEL 2 AL 7-3-26'!#REF!</f>
        <v>#REF!</v>
      </c>
      <c r="B38" s="72">
        <v>0</v>
      </c>
      <c r="C38" s="46"/>
      <c r="D38" s="72" t="e">
        <f>+'SEMANA DEL 2 AL 7-3-26'!#REF!</f>
        <v>#REF!</v>
      </c>
      <c r="E38" s="72" t="e">
        <f>+'SEMANA DEL 2 AL 7-3-26'!#REF!</f>
        <v>#REF!</v>
      </c>
      <c r="F38" s="72" t="e">
        <f>+'SEMANA DEL 2 AL 7-3-26'!#REF!</f>
        <v>#REF!</v>
      </c>
      <c r="G38" s="72" t="e">
        <f>+'SEMANA DEL 2 AL 7-3-26'!#REF!</f>
        <v>#REF!</v>
      </c>
      <c r="H38" s="72" t="e">
        <f t="shared" si="0"/>
        <v>#REF!</v>
      </c>
    </row>
    <row r="39" spans="1:8" ht="15.75" x14ac:dyDescent="0.25">
      <c r="A39" s="70" t="str">
        <f>+'SEMANA DEL 2 AL 7-3-26'!A37</f>
        <v>STELLA SILVA</v>
      </c>
      <c r="B39" s="72">
        <v>0</v>
      </c>
      <c r="C39" s="46"/>
      <c r="D39" s="72">
        <f>+'SEMANA DEL 2 AL 7-3-26'!CB37</f>
        <v>0</v>
      </c>
      <c r="E39" s="72">
        <f>+'SEMANA DEL 2 AL 7-3-26'!CC37</f>
        <v>64</v>
      </c>
      <c r="F39" s="72">
        <f>+'SEMANA DEL 2 AL 7-3-26'!CD37</f>
        <v>96</v>
      </c>
      <c r="G39" s="72">
        <f>+'SEMANA DEL 2 AL 7-3-26'!CE37</f>
        <v>84</v>
      </c>
      <c r="H39" s="72">
        <f t="shared" si="0"/>
        <v>244</v>
      </c>
    </row>
    <row r="40" spans="1:8" ht="15.75" x14ac:dyDescent="0.25">
      <c r="A40" s="70" t="e">
        <f>+'SEMANA DEL 2 AL 7-3-26'!#REF!</f>
        <v>#REF!</v>
      </c>
      <c r="B40" s="72">
        <v>0</v>
      </c>
      <c r="C40" s="46"/>
      <c r="D40" s="72" t="e">
        <f>+'SEMANA DEL 2 AL 7-3-26'!#REF!</f>
        <v>#REF!</v>
      </c>
      <c r="E40" s="72" t="e">
        <f>+'SEMANA DEL 2 AL 7-3-26'!#REF!</f>
        <v>#REF!</v>
      </c>
      <c r="F40" s="72" t="e">
        <f>+'SEMANA DEL 2 AL 7-3-26'!#REF!</f>
        <v>#REF!</v>
      </c>
      <c r="G40" s="72" t="e">
        <f>+'SEMANA DEL 2 AL 7-3-26'!#REF!</f>
        <v>#REF!</v>
      </c>
      <c r="H40" s="72" t="e">
        <f t="shared" si="0"/>
        <v>#REF!</v>
      </c>
    </row>
    <row r="41" spans="1:8" ht="15.75" x14ac:dyDescent="0.25">
      <c r="A41" s="70" t="e">
        <f>+'SEMANA DEL 2 AL 7-3-26'!#REF!</f>
        <v>#REF!</v>
      </c>
      <c r="B41" s="72">
        <v>0</v>
      </c>
      <c r="C41" s="46"/>
      <c r="D41" s="72" t="e">
        <f>+'SEMANA DEL 2 AL 7-3-26'!#REF!</f>
        <v>#REF!</v>
      </c>
      <c r="E41" s="72" t="e">
        <f>+'SEMANA DEL 2 AL 7-3-26'!#REF!</f>
        <v>#REF!</v>
      </c>
      <c r="F41" s="72" t="e">
        <f>+'SEMANA DEL 2 AL 7-3-26'!#REF!</f>
        <v>#REF!</v>
      </c>
      <c r="G41" s="72" t="e">
        <f>+'SEMANA DEL 2 AL 7-3-26'!#REF!</f>
        <v>#REF!</v>
      </c>
      <c r="H41" s="72" t="e">
        <f t="shared" si="0"/>
        <v>#REF!</v>
      </c>
    </row>
    <row r="42" spans="1:8" ht="15.75" x14ac:dyDescent="0.25">
      <c r="A42" s="70" t="str">
        <f>+'SEMANA DEL 2 AL 7-3-26'!A40</f>
        <v xml:space="preserve">YENDER PADILLA </v>
      </c>
      <c r="B42" s="72">
        <v>0</v>
      </c>
      <c r="C42" s="46"/>
      <c r="D42" s="72">
        <f>+'SEMANA DEL 2 AL 7-3-26'!CB40</f>
        <v>0</v>
      </c>
      <c r="E42" s="72">
        <f>+'SEMANA DEL 2 AL 7-3-26'!CC40</f>
        <v>80</v>
      </c>
      <c r="F42" s="72">
        <f>+'SEMANA DEL 2 AL 7-3-26'!CD40</f>
        <v>120</v>
      </c>
      <c r="G42" s="72">
        <f>+'SEMANA DEL 2 AL 7-3-26'!CE40</f>
        <v>105</v>
      </c>
      <c r="H42" s="72">
        <f t="shared" si="0"/>
        <v>305</v>
      </c>
    </row>
    <row r="43" spans="1:8" ht="15.75" x14ac:dyDescent="0.25">
      <c r="A43" s="70" t="str">
        <f>+'SEMANA DEL 2 AL 7-3-26'!A42</f>
        <v>YARIRETH ROA</v>
      </c>
      <c r="B43" s="72">
        <v>0</v>
      </c>
      <c r="C43" s="46"/>
      <c r="D43" s="72">
        <f>+'SEMANA DEL 2 AL 7-3-26'!CB42</f>
        <v>0</v>
      </c>
      <c r="E43" s="72">
        <f>+'SEMANA DEL 2 AL 7-3-26'!CC42</f>
        <v>180</v>
      </c>
      <c r="F43" s="72">
        <f>+'SEMANA DEL 2 AL 7-3-26'!CD42</f>
        <v>270</v>
      </c>
      <c r="G43" s="72">
        <f>+'SEMANA DEL 2 AL 7-3-26'!CE42</f>
        <v>236.25</v>
      </c>
      <c r="H43" s="72">
        <f t="shared" si="0"/>
        <v>686.25</v>
      </c>
    </row>
    <row r="44" spans="1:8" ht="15.75" x14ac:dyDescent="0.25">
      <c r="A44" s="70" t="str">
        <f>+'SEMANA DEL 2 AL 7-3-26'!A43</f>
        <v xml:space="preserve">YOLI BECERRA </v>
      </c>
      <c r="B44" s="72">
        <v>0</v>
      </c>
      <c r="C44" s="333"/>
      <c r="D44" s="72">
        <f>+'SEMANA DEL 2 AL 7-3-26'!CB43</f>
        <v>0</v>
      </c>
      <c r="E44" s="72">
        <f>+'SEMANA DEL 2 AL 7-3-26'!CC43</f>
        <v>0</v>
      </c>
      <c r="F44" s="72">
        <f>+'SEMANA DEL 2 AL 7-3-26'!CD43</f>
        <v>0</v>
      </c>
      <c r="G44" s="72">
        <f>+'SEMANA DEL 2 AL 7-3-26'!CE43</f>
        <v>0</v>
      </c>
      <c r="H44" s="72">
        <f t="shared" si="0"/>
        <v>0</v>
      </c>
    </row>
    <row r="45" spans="1:8" ht="15.75" x14ac:dyDescent="0.25">
      <c r="A45" s="70">
        <f>+'SEMANA DEL 2 AL 7-3-26'!A45</f>
        <v>0</v>
      </c>
      <c r="B45" s="72">
        <v>0</v>
      </c>
      <c r="C45" s="46"/>
      <c r="D45" s="72">
        <f>+'SEMANA DEL 2 AL 7-3-26'!CB45</f>
        <v>0</v>
      </c>
      <c r="E45" s="72">
        <f>+'SEMANA DEL 2 AL 7-3-26'!CC45</f>
        <v>3295.2</v>
      </c>
      <c r="F45" s="72">
        <f>+'SEMANA DEL 2 AL 7-3-26'!CD45</f>
        <v>4922.8</v>
      </c>
      <c r="G45" s="72">
        <f>+'SEMANA DEL 2 AL 7-3-26'!CE45</f>
        <v>4314.45</v>
      </c>
      <c r="H45" s="72">
        <f t="shared" si="0"/>
        <v>12532.45</v>
      </c>
    </row>
    <row r="46" spans="1:8" ht="15.75" x14ac:dyDescent="0.25">
      <c r="A46" s="70">
        <f>+'SEMANA DEL 2 AL 7-3-26'!A46</f>
        <v>0</v>
      </c>
      <c r="B46" s="72">
        <v>0</v>
      </c>
      <c r="C46" s="46"/>
      <c r="D46" s="72" t="e">
        <f>SUM(D4:D45)</f>
        <v>#REF!</v>
      </c>
      <c r="E46" s="72" t="e">
        <f>SUM(E4:E45)</f>
        <v>#REF!</v>
      </c>
      <c r="F46" s="72" t="e">
        <f>SUM(F4:F45)</f>
        <v>#REF!</v>
      </c>
      <c r="G46" s="72" t="e">
        <f>SUM(G4:G45)</f>
        <v>#REF!</v>
      </c>
      <c r="H46" s="72" t="e">
        <f>+B46-C46+D46+E46+F46+G46+#REF!</f>
        <v>#REF!</v>
      </c>
    </row>
    <row r="47" spans="1:8" ht="15.75" x14ac:dyDescent="0.25">
      <c r="A47" s="70">
        <f>+'SEMANA DEL 2 AL 7-3-26'!A47</f>
        <v>0</v>
      </c>
    </row>
  </sheetData>
  <phoneticPr fontId="5" type="noConversion"/>
  <pageMargins left="0.47244094488188981" right="0.47244094488188981" top="0.6692913385826772" bottom="0.47244094488188981" header="7.874015748031496E-2" footer="0"/>
  <pageSetup scale="8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12</vt:i4>
      </vt:variant>
    </vt:vector>
  </HeadingPairs>
  <TitlesOfParts>
    <vt:vector size="26" baseType="lpstr">
      <vt:lpstr>CONTROL DE RAZAGOS</vt:lpstr>
      <vt:lpstr>CONTROL DE CALIDAD </vt:lpstr>
      <vt:lpstr>ENTREGA CESTAS </vt:lpstr>
      <vt:lpstr>ENTREGA MATERIAL </vt:lpstr>
      <vt:lpstr>RECP-TAB-FAB</vt:lpstr>
      <vt:lpstr>ACUM-RES</vt:lpstr>
      <vt:lpstr>ACUM-DET</vt:lpstr>
      <vt:lpstr>SEMANA DEL 2 AL 7-3-26</vt:lpstr>
      <vt:lpstr>SEMANA DEL 7 AL 14</vt:lpstr>
      <vt:lpstr>SEMANA DEL 14 AL 21 </vt:lpstr>
      <vt:lpstr>SEMANA DEL 21AL 28-3</vt:lpstr>
      <vt:lpstr>SEMANA DEL 28 AL-5-7</vt:lpstr>
      <vt:lpstr>PRESTAMOS</vt:lpstr>
      <vt:lpstr>AHORROS</vt:lpstr>
      <vt:lpstr>'ACUM-DET'!Área_de_impresión</vt:lpstr>
      <vt:lpstr>'ACUM-RES'!Área_de_impresión</vt:lpstr>
      <vt:lpstr>AHORROS!Área_de_impresión</vt:lpstr>
      <vt:lpstr>'CONTROL DE RAZAGOS'!Área_de_impresión</vt:lpstr>
      <vt:lpstr>'ENTREGA CESTAS '!Área_de_impresión</vt:lpstr>
      <vt:lpstr>PRESTAMOS!Área_de_impresión</vt:lpstr>
      <vt:lpstr>'RECP-TAB-FAB'!Área_de_impresión</vt:lpstr>
      <vt:lpstr>'SEMANA DEL 14 AL 21 '!Área_de_impresión</vt:lpstr>
      <vt:lpstr>'SEMANA DEL 2 AL 7-3-26'!Área_de_impresión</vt:lpstr>
      <vt:lpstr>'SEMANA DEL 21AL 28-3'!Área_de_impresión</vt:lpstr>
      <vt:lpstr>'SEMANA DEL 28 AL-5-7'!Área_de_impresión</vt:lpstr>
      <vt:lpstr>'SEMANA DEL 7 AL 14'!Área_de_impresión</vt:lpstr>
    </vt:vector>
  </TitlesOfParts>
  <Company>work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gerencia1</dc:creator>
  <cp:lastModifiedBy>GatoNegro5</cp:lastModifiedBy>
  <cp:lastPrinted>2026-03-13T14:27:53Z</cp:lastPrinted>
  <dcterms:created xsi:type="dcterms:W3CDTF">2006-09-05T18:45:49Z</dcterms:created>
  <dcterms:modified xsi:type="dcterms:W3CDTF">2026-03-14T17:05:28Z</dcterms:modified>
</cp:coreProperties>
</file>